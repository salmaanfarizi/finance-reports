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Banks_Comparison" sheetId="2" r:id="rId5"/>
    <sheet state="visible" name="Advances_Comparison" sheetId="3" r:id="rId6"/>
    <sheet state="visible" name="Suspense_Comparison" sheetId="4" r:id="rId7"/>
    <sheet state="visible" name="Outstanding_Comparison" sheetId="5" r:id="rId8"/>
    <sheet state="visible" name="Settings" sheetId="6" r:id="rId9"/>
    <sheet state="visible" name="Banks_NOV-2025" sheetId="7" r:id="rId10"/>
    <sheet state="visible" name="Advances_NOV-2025" sheetId="8" r:id="rId11"/>
    <sheet state="visible" name="Suspense_NOV-2025" sheetId="9" r:id="rId12"/>
    <sheet state="visible" name="Outstanding_NOV-2025" sheetId="10" r:id="rId13"/>
    <sheet state="hidden" name="Banks_SEP-2025" sheetId="11" r:id="rId14"/>
    <sheet state="hidden" name="Banks_OCT-2025" sheetId="12" r:id="rId15"/>
    <sheet state="hidden" name="Advances_OCT-2025" sheetId="13" r:id="rId16"/>
    <sheet state="hidden" name="Suspense_OCT-2025" sheetId="14" r:id="rId17"/>
    <sheet state="visible" name="Outstanding_OCT-2025" sheetId="15" r:id="rId18"/>
    <sheet state="visible" name="Advances_SEP-2025" sheetId="16" r:id="rId19"/>
    <sheet state="visible" name="Suspense_SEP-2025" sheetId="17" r:id="rId20"/>
    <sheet state="visible" name="Outstanding_SEP-2025" sheetId="18" r:id="rId21"/>
    <sheet state="visible" name="Banks_AUG-2025" sheetId="19" r:id="rId22"/>
    <sheet state="visible" name="Advances_AUG-2025" sheetId="20" r:id="rId23"/>
    <sheet state="visible" name="Suspense_AUG-2025" sheetId="21" r:id="rId24"/>
    <sheet state="visible" name="Advances_JAN-2025" sheetId="22" r:id="rId25"/>
    <sheet state="visible" name="Outstanding_AUG-2025" sheetId="23" r:id="rId26"/>
    <sheet state="visible" name="Banks_JAN-2025" sheetId="24" r:id="rId27"/>
    <sheet state="visible" name="Suspense_JAN-2025" sheetId="25" r:id="rId28"/>
    <sheet state="visible" name="Outstanding_JAN-2025" sheetId="26" r:id="rId29"/>
    <sheet state="visible" name="Banks_FEB-2025" sheetId="27" r:id="rId30"/>
    <sheet state="visible" name="Advances_FEB-2025" sheetId="28" r:id="rId31"/>
    <sheet state="visible" name="Suspense_FEB-2025" sheetId="29" r:id="rId32"/>
    <sheet state="visible" name="Outstanding_FEB-2025" sheetId="30" r:id="rId33"/>
    <sheet state="visible" name="Banks_MAR-2025" sheetId="31" r:id="rId34"/>
    <sheet state="visible" name="Advances_MAR-2025" sheetId="32" r:id="rId35"/>
    <sheet state="visible" name="Suspense_MAR-2025" sheetId="33" r:id="rId36"/>
    <sheet state="visible" name="Outstanding_MAR-2025" sheetId="34" r:id="rId37"/>
    <sheet state="visible" name="Banks_APR-2025" sheetId="35" r:id="rId38"/>
    <sheet state="visible" name="Advances_APR-2025" sheetId="36" r:id="rId39"/>
    <sheet state="visible" name="Suspense_APR-2025" sheetId="37" r:id="rId40"/>
    <sheet state="visible" name="Outstanding_APR-2025" sheetId="38" r:id="rId41"/>
    <sheet state="visible" name="Banks_MAY-2025" sheetId="39" r:id="rId42"/>
    <sheet state="visible" name="Advances_MAY-2025" sheetId="40" r:id="rId43"/>
    <sheet state="visible" name="Suspense_MAY-2025" sheetId="41" r:id="rId44"/>
    <sheet state="visible" name="Outstanding_MAY-2025" sheetId="42" r:id="rId45"/>
    <sheet state="visible" name="Banks_JUN-2025" sheetId="43" r:id="rId46"/>
    <sheet state="visible" name="Advances_JUN-2025" sheetId="44" r:id="rId47"/>
    <sheet state="visible" name="Suspense_JUN-2025" sheetId="45" r:id="rId48"/>
    <sheet state="visible" name="Outstanding_JUN-2025" sheetId="46" r:id="rId49"/>
    <sheet state="visible" name="Advances_JUL-2025" sheetId="47" r:id="rId50"/>
    <sheet state="visible" name="Banks_JUL-2025" sheetId="48" r:id="rId51"/>
    <sheet state="visible" name="Suspense_JUL-2025" sheetId="49" r:id="rId52"/>
    <sheet state="visible" name="Outstanding_JUL-2025" sheetId="50" r:id="rId53"/>
  </sheets>
  <definedNames/>
  <calcPr/>
</workbook>
</file>

<file path=xl/sharedStrings.xml><?xml version="1.0" encoding="utf-8"?>
<sst xmlns="http://schemas.openxmlformats.org/spreadsheetml/2006/main" count="20322" uniqueCount="2617">
  <si>
    <t>FINANCIAL DASHBOARD - CUMULATIVE SUMMARY</t>
  </si>
  <si>
    <t>CURRENT STATUS</t>
  </si>
  <si>
    <t>YEAR-TO-DATE SUMMARY</t>
  </si>
  <si>
    <t>Latest Month:</t>
  </si>
  <si>
    <t>Total Received:</t>
  </si>
  <si>
    <t>Bank Balance:</t>
  </si>
  <si>
    <t>Total Payments:</t>
  </si>
  <si>
    <t>Total Outstanding:</t>
  </si>
  <si>
    <t>Net Cash Flow:</t>
  </si>
  <si>
    <t>Advance Balance:</t>
  </si>
  <si>
    <t>Avg Outstanding:</t>
  </si>
  <si>
    <t>Suspense Balance:</t>
  </si>
  <si>
    <t>KEY PERFORMANCE INDICATORS</t>
  </si>
  <si>
    <t>Months Tracked</t>
  </si>
  <si>
    <t>Highest Bank Balance</t>
  </si>
  <si>
    <t>Lowest Bank Balance</t>
  </si>
  <si>
    <t>Average Monthly Revenue</t>
  </si>
  <si>
    <t>Total Advances Given</t>
  </si>
  <si>
    <t>Total Advances Settled</t>
  </si>
  <si>
    <t>Outstanding Growth Rate</t>
  </si>
  <si>
    <t>Cash Position</t>
  </si>
  <si>
    <t>BANKS - MONTHLY COMPARISON</t>
  </si>
  <si>
    <t>Metric</t>
  </si>
  <si>
    <t>Opening Balance</t>
  </si>
  <si>
    <t>Total Received</t>
  </si>
  <si>
    <t>Bank Charges</t>
  </si>
  <si>
    <t>Total Payments</t>
  </si>
  <si>
    <t>Closing Balance</t>
  </si>
  <si>
    <t>Net Cash Flow</t>
  </si>
  <si>
    <t>Month-over-Month %</t>
  </si>
  <si>
    <t>ADVANCES - MONTHLY COMPARISON</t>
  </si>
  <si>
    <t>Advances Given</t>
  </si>
  <si>
    <t>Advances Settled</t>
  </si>
  <si>
    <t>Settlement Rate %</t>
  </si>
  <si>
    <t>Average Advance</t>
  </si>
  <si>
    <t>SUSPENSE - MONTHLY COMPARISON</t>
  </si>
  <si>
    <t>Total Debits</t>
  </si>
  <si>
    <t>Total Credits</t>
  </si>
  <si>
    <t>Unidentified Items</t>
  </si>
  <si>
    <t>Resolution Rate %</t>
  </si>
  <si>
    <t>CUSTOMER OUTSTANDING - MONTHLY COMPARISON</t>
  </si>
  <si>
    <t>Salesman</t>
  </si>
  <si>
    <t>Trend</t>
  </si>
  <si>
    <t>nidheesh</t>
  </si>
  <si>
    <t>jaseel</t>
  </si>
  <si>
    <t>bassam</t>
  </si>
  <si>
    <t>akmal</t>
  </si>
  <si>
    <t>arshad</t>
  </si>
  <si>
    <t>Shameer riyadh</t>
  </si>
  <si>
    <t>company sales</t>
  </si>
  <si>
    <t>shafi</t>
  </si>
  <si>
    <t>ashik</t>
  </si>
  <si>
    <t>dhiya</t>
  </si>
  <si>
    <t>khalid</t>
  </si>
  <si>
    <t>shabeer</t>
  </si>
  <si>
    <t>al ahsa-4</t>
  </si>
  <si>
    <t>samir dmm</t>
  </si>
  <si>
    <t>shareef</t>
  </si>
  <si>
    <t>samir</t>
  </si>
  <si>
    <t>TOTAL</t>
  </si>
  <si>
    <t>MoM Δ (TOTAL)</t>
  </si>
  <si>
    <t>SYSTEM SETTINGS &amp; CONFIGURATION</t>
  </si>
  <si>
    <t>INSTRUCTIONS FOR USE</t>
  </si>
  <si>
    <t>1. Add new months using the menu: Monthly Reports &gt; Add New Month</t>
  </si>
  <si>
    <t>2. Update data in the current month sheets (Banks, Advances, Suspense, Outstanding)</t>
  </si>
  <si>
    <t>3. View comparison reports and dashboard to track trends</t>
  </si>
  <si>
    <t>4. Edit the master lists below to customize dropdowns in all sheets</t>
  </si>
  <si>
    <t>5. Use "Fix Dropdowns" menu item after editing lists to update all sheets</t>
  </si>
  <si>
    <t>MASTER LISTS</t>
  </si>
  <si>
    <t>BANKS</t>
  </si>
  <si>
    <t>SALESMEN</t>
  </si>
  <si>
    <t>AREAS</t>
  </si>
  <si>
    <t>Alrajhi-1097</t>
  </si>
  <si>
    <t>Al Ahsa Wholesale</t>
  </si>
  <si>
    <t>Alrajhi-new</t>
  </si>
  <si>
    <t>Riyadh</t>
  </si>
  <si>
    <t>SNB Al Ahsa Branch</t>
  </si>
  <si>
    <t>Dammam wholesale</t>
  </si>
  <si>
    <t>Albilad USD</t>
  </si>
  <si>
    <t>Company Direct Sales</t>
  </si>
  <si>
    <t>Dammam Retail</t>
  </si>
  <si>
    <t>Al Ahsa-2</t>
  </si>
  <si>
    <t>Al Ahsa-3</t>
  </si>
  <si>
    <t>Al Ahsa-1</t>
  </si>
  <si>
    <t>Hafar Al Batin</t>
  </si>
  <si>
    <t>Qaseem</t>
  </si>
  <si>
    <t>Dammam Retail-2</t>
  </si>
  <si>
    <t>Version:</t>
  </si>
  <si>
    <t>SYSTEM INFORMATION</t>
  </si>
  <si>
    <t>Last Updated:</t>
  </si>
  <si>
    <t>SUSPENSE Base (Jan)</t>
  </si>
  <si>
    <t>Created By:</t>
  </si>
  <si>
    <t>Account Department</t>
  </si>
  <si>
    <t>ADVANCES Base (Jan)</t>
  </si>
  <si>
    <t>BANK SUMMARY - NOV-2025</t>
  </si>
  <si>
    <t>Bank Name</t>
  </si>
  <si>
    <t>Notes</t>
  </si>
  <si>
    <t>Albilad</t>
  </si>
  <si>
    <t>SUB-TOTAL SAR</t>
  </si>
  <si>
    <t>USD ACCOUNTS</t>
  </si>
  <si>
    <t>Opening</t>
  </si>
  <si>
    <t>Amount Received</t>
  </si>
  <si>
    <t>Bank Charge</t>
  </si>
  <si>
    <t>Payment</t>
  </si>
  <si>
    <t>Balance</t>
  </si>
  <si>
    <t>SUB-TOTAL USD</t>
  </si>
  <si>
    <t>GRAND TOTAL (SAR + USD Converted)</t>
  </si>
  <si>
    <t>SUMMARY</t>
  </si>
  <si>
    <t>Total Bank Balance (SAR):</t>
  </si>
  <si>
    <t>ADVANCE RECONCILIATION - NOV-2025</t>
  </si>
  <si>
    <t>OPENING BALANCE</t>
  </si>
  <si>
    <t>CLOSING BALANCE</t>
  </si>
  <si>
    <t>TRANSACTIONS</t>
  </si>
  <si>
    <t>Date</t>
  </si>
  <si>
    <t>Voucher No</t>
  </si>
  <si>
    <t>Description</t>
  </si>
  <si>
    <t>Person/Party</t>
  </si>
  <si>
    <t>Advance Given</t>
  </si>
  <si>
    <t>Amount Settled</t>
  </si>
  <si>
    <t>Running Balance</t>
  </si>
  <si>
    <t>SUSPENSE RECONCILIATION - NOV-2025</t>
  </si>
  <si>
    <t>UNIDENTIFIED TRANSACTIONS</t>
  </si>
  <si>
    <t>Journal No</t>
  </si>
  <si>
    <t>Reference</t>
  </si>
  <si>
    <t>Debit</t>
  </si>
  <si>
    <t>Credit</t>
  </si>
  <si>
    <t>CUSTOMER OUTSTANDING - NOV-2025</t>
  </si>
  <si>
    <t>Total Outstanding</t>
  </si>
  <si>
    <t>No. of Customers</t>
  </si>
  <si>
    <t>Average</t>
  </si>
  <si>
    <t>Customer Code</t>
  </si>
  <si>
    <t>Customer Name</t>
  </si>
  <si>
    <t>Area</t>
  </si>
  <si>
    <t>Invoice Amount</t>
  </si>
  <si>
    <t>Paid Amount</t>
  </si>
  <si>
    <t>Days</t>
  </si>
  <si>
    <t>CUST63</t>
  </si>
  <si>
    <t>Saudi marketting</t>
  </si>
  <si>
    <t>CUST84</t>
  </si>
  <si>
    <t>Najmath AL khayrath</t>
  </si>
  <si>
    <t>CUST163</t>
  </si>
  <si>
    <t>Al sahla oasis groceri for foodstuff</t>
  </si>
  <si>
    <t>CUST204</t>
  </si>
  <si>
    <t>Thamveenath Noorul usam</t>
  </si>
  <si>
    <t>CUST561</t>
  </si>
  <si>
    <t>Grocery naster</t>
  </si>
  <si>
    <t>CUST1482</t>
  </si>
  <si>
    <t>Wahab Al khaleej 2</t>
  </si>
  <si>
    <t>CUST1999</t>
  </si>
  <si>
    <t>Zone mart (j)</t>
  </si>
  <si>
    <t>CUST2141</t>
  </si>
  <si>
    <t>Al Qafila al khalijiyyah supermarket</t>
  </si>
  <si>
    <t>CUST2237</t>
  </si>
  <si>
    <t>Ghaith al safat food supplies</t>
  </si>
  <si>
    <t>CUST2326</t>
  </si>
  <si>
    <t>Al Zahra (umm</t>
  </si>
  <si>
    <t>CUST2446</t>
  </si>
  <si>
    <t>Durrat alshakhs foodstuff supplies</t>
  </si>
  <si>
    <t>CUST2493</t>
  </si>
  <si>
    <t>Kayf al alha market</t>
  </si>
  <si>
    <t>CUST2585</t>
  </si>
  <si>
    <t>Darb al shati food (maz)</t>
  </si>
  <si>
    <t>CUST2727</t>
  </si>
  <si>
    <t>Shunukh nour grocery (Qatar)</t>
  </si>
  <si>
    <t>CUST2755</t>
  </si>
  <si>
    <t>Al faisaliah super market</t>
  </si>
  <si>
    <t>CUST3913</t>
  </si>
  <si>
    <t>Sedrah supermarket</t>
  </si>
  <si>
    <t>CUST5716</t>
  </si>
  <si>
    <t>Marasi al khairat food supplies (Qatar)</t>
  </si>
  <si>
    <t>CUST57</t>
  </si>
  <si>
    <t>Essa Muhammad al Abbadi</t>
  </si>
  <si>
    <t>CUST119</t>
  </si>
  <si>
    <t>Costumer for food minimarket</t>
  </si>
  <si>
    <t>CUST154</t>
  </si>
  <si>
    <t>Moona al aila family</t>
  </si>
  <si>
    <t>CUST156</t>
  </si>
  <si>
    <t>Al nouri grocery to sell food</t>
  </si>
  <si>
    <t>CUST175</t>
  </si>
  <si>
    <t>Red apple supermarket</t>
  </si>
  <si>
    <t>CUST195</t>
  </si>
  <si>
    <t>Yemmart 1</t>
  </si>
  <si>
    <t>CUST199</t>
  </si>
  <si>
    <t>Thamuniyath wajihath al busthan</t>
  </si>
  <si>
    <t>CUST202</t>
  </si>
  <si>
    <t>Athareek al mothi</t>
  </si>
  <si>
    <t>CUST203</t>
  </si>
  <si>
    <t>Al Amana foodstuff market. 2</t>
  </si>
  <si>
    <t>CUST206</t>
  </si>
  <si>
    <t>Nada al azhar foodstuff grocery</t>
  </si>
  <si>
    <t>CUST285</t>
  </si>
  <si>
    <t>Mosasath likuli almujtamae altijaria</t>
  </si>
  <si>
    <t>CUST347</t>
  </si>
  <si>
    <t>Markaz Darth al shahsi</t>
  </si>
  <si>
    <t>CUST421</t>
  </si>
  <si>
    <t>Nasaem al nada..</t>
  </si>
  <si>
    <t>CUST478</t>
  </si>
  <si>
    <t>Sharikath toufirul al Ghada lithijara</t>
  </si>
  <si>
    <t>CUST487</t>
  </si>
  <si>
    <t>Althuraya mood limwad alghdhayyt</t>
  </si>
  <si>
    <t>CUST584</t>
  </si>
  <si>
    <t>Wajihathul andaleeb foodstuff</t>
  </si>
  <si>
    <t>CUST593</t>
  </si>
  <si>
    <t>Zain al abidin super market</t>
  </si>
  <si>
    <t>CUST679</t>
  </si>
  <si>
    <t>Midan al safa hypermarket.</t>
  </si>
  <si>
    <t>CUST710</t>
  </si>
  <si>
    <t>Aswaq al wesam (24)</t>
  </si>
  <si>
    <t>CUST797</t>
  </si>
  <si>
    <t>Saudi marketting. R</t>
  </si>
  <si>
    <t>CUST813</t>
  </si>
  <si>
    <t>Maqhaa Diwniyah dar Al shamokh</t>
  </si>
  <si>
    <t>CUST859</t>
  </si>
  <si>
    <t>Joule fule company</t>
  </si>
  <si>
    <t>CUST919</t>
  </si>
  <si>
    <t>Thamuniyath tawfeer al nafoora</t>
  </si>
  <si>
    <t>CUST922</t>
  </si>
  <si>
    <t>Supermarket Sama reema</t>
  </si>
  <si>
    <t>CUST976</t>
  </si>
  <si>
    <t>Narjs food training Co.</t>
  </si>
  <si>
    <t>CUST1521</t>
  </si>
  <si>
    <t>Mahal muslim mubarak</t>
  </si>
  <si>
    <t>CUST1621</t>
  </si>
  <si>
    <t>Mohammed sali</t>
  </si>
  <si>
    <t>CUST1715</t>
  </si>
  <si>
    <t>Sharikat Tamwinat durat alshaksh</t>
  </si>
  <si>
    <t>CUST1820</t>
  </si>
  <si>
    <t>Badar Al Badar</t>
  </si>
  <si>
    <t>CUST1838</t>
  </si>
  <si>
    <t>Thamveenath sadrath al riffa</t>
  </si>
  <si>
    <t>CUST1896</t>
  </si>
  <si>
    <t>Al Zuhari Foodstuff Supplies</t>
  </si>
  <si>
    <t>CUST1929</t>
  </si>
  <si>
    <t>Thamveenath Arab alahd</t>
  </si>
  <si>
    <t>CUST2072</t>
  </si>
  <si>
    <t>Dadan wasel</t>
  </si>
  <si>
    <t>CUST2111</t>
  </si>
  <si>
    <t>Kharia al Ali</t>
  </si>
  <si>
    <t>CUST2158</t>
  </si>
  <si>
    <t>Athra grcoeries fod foodstuff</t>
  </si>
  <si>
    <t>CUST2176</t>
  </si>
  <si>
    <t>Aswaq Green apple</t>
  </si>
  <si>
    <t>CUST2235</t>
  </si>
  <si>
    <t>CIRCLE K.</t>
  </si>
  <si>
    <t>CUST2264</t>
  </si>
  <si>
    <t>Thamveenath anawar al fadhiyath</t>
  </si>
  <si>
    <t>CUST2315</t>
  </si>
  <si>
    <t>Ahalal baladh..</t>
  </si>
  <si>
    <t>CUST2439</t>
  </si>
  <si>
    <t>CIRCLE K...</t>
  </si>
  <si>
    <t>CUST2492</t>
  </si>
  <si>
    <t>Jawaher al itqan foodstuff market company</t>
  </si>
  <si>
    <t>CUST2633</t>
  </si>
  <si>
    <t>Thamveenath asala al haleetha</t>
  </si>
  <si>
    <t>CUST2679</t>
  </si>
  <si>
    <t>Thamwenath wasat al hassa food stuff</t>
  </si>
  <si>
    <t>CUST2743</t>
  </si>
  <si>
    <t>Al andalusia fronds grocery</t>
  </si>
  <si>
    <t>CUST3275</t>
  </si>
  <si>
    <t>Sharikath Narjus</t>
  </si>
  <si>
    <t>CUST3353</t>
  </si>
  <si>
    <t>Zahrat al mukhtaim foodstuff grocery</t>
  </si>
  <si>
    <t>CUST3708</t>
  </si>
  <si>
    <t>Unique destination trading est</t>
  </si>
  <si>
    <t>CUST4008</t>
  </si>
  <si>
    <t>Zone mart (B)</t>
  </si>
  <si>
    <t>CUST4071</t>
  </si>
  <si>
    <t>Ghaith al dunya</t>
  </si>
  <si>
    <t>CUST4187</t>
  </si>
  <si>
    <t>Sharikath Imthiyas wucood lithijara(Dmm)</t>
  </si>
  <si>
    <t>CUST5890</t>
  </si>
  <si>
    <t>Ali supermarket</t>
  </si>
  <si>
    <t>CUST6054</t>
  </si>
  <si>
    <t>Tamweenathi Darbi shathy</t>
  </si>
  <si>
    <t>CUST6089</t>
  </si>
  <si>
    <t>Tamwinat taj hajar (s)</t>
  </si>
  <si>
    <t>CUST6218</t>
  </si>
  <si>
    <t>Rawan Basket Food Supplies</t>
  </si>
  <si>
    <t>CUST5</t>
  </si>
  <si>
    <t>Midan AL safa hypermarket</t>
  </si>
  <si>
    <t>CUST7</t>
  </si>
  <si>
    <t>Durrat al safa</t>
  </si>
  <si>
    <t>CUST12</t>
  </si>
  <si>
    <t>Al hazam market</t>
  </si>
  <si>
    <t>CUST127</t>
  </si>
  <si>
    <t>Grocery marasi al khairath</t>
  </si>
  <si>
    <t>CUST245</t>
  </si>
  <si>
    <t>Campany Alamiyat al mubarraz hypermarket</t>
  </si>
  <si>
    <t>CUST259</t>
  </si>
  <si>
    <t>Sonbol al khaleej supermarket.</t>
  </si>
  <si>
    <t>CUST288</t>
  </si>
  <si>
    <t>Jawahrat AL nuzha markets for food stuff</t>
  </si>
  <si>
    <t>CUST326</t>
  </si>
  <si>
    <t>Sheel food catering</t>
  </si>
  <si>
    <t>CUST523</t>
  </si>
  <si>
    <t>Al abadi catering company for foodstuff</t>
  </si>
  <si>
    <t>CUST1701</t>
  </si>
  <si>
    <t>Al khar sharki</t>
  </si>
  <si>
    <t>CUST2085</t>
  </si>
  <si>
    <t>Hussain Ali (bathaliya)</t>
  </si>
  <si>
    <t>CUST2296</t>
  </si>
  <si>
    <t>Tamwenathi Anwar Hassan</t>
  </si>
  <si>
    <t>CUST2655</t>
  </si>
  <si>
    <t>Sharikkath narjas (new)</t>
  </si>
  <si>
    <t>CUST4236</t>
  </si>
  <si>
    <t>Sharikkath nahlath aldoha lithijarah</t>
  </si>
  <si>
    <t>CUST5001</t>
  </si>
  <si>
    <t>Yemmart(shoba)</t>
  </si>
  <si>
    <t>CUST723</t>
  </si>
  <si>
    <t>Sharikath najoom hayrath halvayath val mukassarath</t>
  </si>
  <si>
    <t>CUST842</t>
  </si>
  <si>
    <t>Golden message co. Sweets&amp;Nuts</t>
  </si>
  <si>
    <t>CUST844</t>
  </si>
  <si>
    <t>Lala Star Trading company.</t>
  </si>
  <si>
    <t>CUST845</t>
  </si>
  <si>
    <t>Taste of sweets company</t>
  </si>
  <si>
    <t>CUST850</t>
  </si>
  <si>
    <t>Abdullah A. Al-Amer&amp;Bros. Trading. Com</t>
  </si>
  <si>
    <t>CUST851</t>
  </si>
  <si>
    <t>Sidrat al-madina trading est.</t>
  </si>
  <si>
    <t>CUST902</t>
  </si>
  <si>
    <t>GATE WAY OF JAFER</t>
  </si>
  <si>
    <t>CUST928</t>
  </si>
  <si>
    <t>DURRAT AL SAFA SWEETS &amp; NUTS</t>
  </si>
  <si>
    <t>CUST983</t>
  </si>
  <si>
    <t>MUNTHAJATH AL BARAKAH TRADING CO.</t>
  </si>
  <si>
    <t>CUST1743</t>
  </si>
  <si>
    <t>Hasna hussain al menhali supermarket</t>
  </si>
  <si>
    <t>CUST1787</t>
  </si>
  <si>
    <t>Al Subaie Sweets</t>
  </si>
  <si>
    <t>CUST1851</t>
  </si>
  <si>
    <t>Mr pistachio sweets &amp; nuts store</t>
  </si>
  <si>
    <t>CUST1859</t>
  </si>
  <si>
    <t>Bahar Al Mayamin Trading</t>
  </si>
  <si>
    <t>CUST1946</t>
  </si>
  <si>
    <t>Golden Message Co. Sweets and Nuts (3)</t>
  </si>
  <si>
    <t>CUST1969</t>
  </si>
  <si>
    <t>Golden Message Co. Sweets and Nuts (2)</t>
  </si>
  <si>
    <t>CUST2358</t>
  </si>
  <si>
    <t>Ala&amp;wala sweet(mrs pistachio)kolabiya</t>
  </si>
  <si>
    <t>CUST2486</t>
  </si>
  <si>
    <t>Hanain&amp;hasnain</t>
  </si>
  <si>
    <t>CUST2613</t>
  </si>
  <si>
    <t>Resource Shield Trading Est:</t>
  </si>
  <si>
    <t>CUST2615</t>
  </si>
  <si>
    <t>Rukn Basmi Food Industries Company</t>
  </si>
  <si>
    <t>CUST4251</t>
  </si>
  <si>
    <t>Muhamis altaarikh alearabii</t>
  </si>
  <si>
    <t>CUST5240</t>
  </si>
  <si>
    <t>sharakuh alqutan</t>
  </si>
  <si>
    <t>CUST1179</t>
  </si>
  <si>
    <t>Sidrh market</t>
  </si>
  <si>
    <t>CUST1250</t>
  </si>
  <si>
    <t>Italala Al musna supermarket</t>
  </si>
  <si>
    <t>CUST1286</t>
  </si>
  <si>
    <t>Qalaat Al watan Al alma supermarket</t>
  </si>
  <si>
    <t>CUST1296</t>
  </si>
  <si>
    <t>Eaalm Al ahram supermarket</t>
  </si>
  <si>
    <t>CUST1375</t>
  </si>
  <si>
    <t>Here market</t>
  </si>
  <si>
    <t>CUST1376</t>
  </si>
  <si>
    <t>Del alwarefah supermarket</t>
  </si>
  <si>
    <t>CUST1378</t>
  </si>
  <si>
    <t>Aswak va mahabas najath almarkaziyya</t>
  </si>
  <si>
    <t>CUST1401</t>
  </si>
  <si>
    <t>Al hawasim trad. Co</t>
  </si>
  <si>
    <t>CUST1405</t>
  </si>
  <si>
    <t>Sharikath hidmaath almusafir for food stuff</t>
  </si>
  <si>
    <t>CUST1439</t>
  </si>
  <si>
    <t>BIN KHAMIS INTERNATIONAL TRADING COMPANY DARULBAIDA</t>
  </si>
  <si>
    <t>CUST1502</t>
  </si>
  <si>
    <t>Sharikath navafad alyasmine lilmuqavalath</t>
  </si>
  <si>
    <t>CUST1608</t>
  </si>
  <si>
    <t>Safka supermarket</t>
  </si>
  <si>
    <t>CUST1622</t>
  </si>
  <si>
    <t>Tajkinda trading est.2</t>
  </si>
  <si>
    <t>CUST2252</t>
  </si>
  <si>
    <t>Sharikath amazon alsaudia lithijarah</t>
  </si>
  <si>
    <t>CUST2254</t>
  </si>
  <si>
    <t>Sharikath Thamveenath thaibath alsharaqiyyah athijariah(shifa)</t>
  </si>
  <si>
    <t>CUST2534</t>
  </si>
  <si>
    <t>Rawabi Al qassim food Market</t>
  </si>
  <si>
    <t>CUST2599</t>
  </si>
  <si>
    <t>smoo hypermarket</t>
  </si>
  <si>
    <t>CUST3819</t>
  </si>
  <si>
    <t>Sharikath Imthiyas Jawharath al Thamveen al thijaariyya</t>
  </si>
  <si>
    <t>CUST3910</t>
  </si>
  <si>
    <t>Aswaak va makhabis Al Daana</t>
  </si>
  <si>
    <t>CUST3930</t>
  </si>
  <si>
    <t>Express</t>
  </si>
  <si>
    <t>CUST4219</t>
  </si>
  <si>
    <t>Top Mart 2</t>
  </si>
  <si>
    <t>CUST4361</t>
  </si>
  <si>
    <t>AL DANA MARKETS</t>
  </si>
  <si>
    <t>CUST4499</t>
  </si>
  <si>
    <t>CENTRAL NEEDS MARKETS</t>
  </si>
  <si>
    <t>CUST4819</t>
  </si>
  <si>
    <t>SHARIKATH AMAZON ALSAUDIA LITHIJARAH (SAKAFA)</t>
  </si>
  <si>
    <t>CUST5092</t>
  </si>
  <si>
    <t>KYAN MARKET AL HAIR ROAD</t>
  </si>
  <si>
    <t>CUST5402</t>
  </si>
  <si>
    <t>RASEEL AL SHARRQ MARKET</t>
  </si>
  <si>
    <t>CUST5409</t>
  </si>
  <si>
    <t>MUROOJ SULTANA FOODSTUFF MARKETS</t>
  </si>
  <si>
    <t>CUST5496</t>
  </si>
  <si>
    <t>OKAZ CENTRAL MARKETS</t>
  </si>
  <si>
    <t>CUST5618</t>
  </si>
  <si>
    <t>ALSAWAHIL COMPANY FOR TRADING</t>
  </si>
  <si>
    <t>CUST5634</t>
  </si>
  <si>
    <t>DEEM ISMAIL FANTOUK FOUNDATION</t>
  </si>
  <si>
    <t>CUST5635</t>
  </si>
  <si>
    <t>NIGHTS FUN FOR SWEETS AND NUTS</t>
  </si>
  <si>
    <t>CUST5758</t>
  </si>
  <si>
    <t>MADHAQ SUKKAR SWEETS SHIFA</t>
  </si>
  <si>
    <t>CUST6021</t>
  </si>
  <si>
    <t>ARABA AL TAYEBAT FOODSTUFF &amp;SWEETS ATHEEQA</t>
  </si>
  <si>
    <t>CUST6088</t>
  </si>
  <si>
    <t>AMAN EXCEL HURAYMILA</t>
  </si>
  <si>
    <t>CUST6278</t>
  </si>
  <si>
    <t>WASM TOP TRADING COMPANY(LILLO MART)DAMMAM ROAD</t>
  </si>
  <si>
    <t>CUST6299</t>
  </si>
  <si>
    <t>SULTHAN TRADING COMPANY RIYADH</t>
  </si>
  <si>
    <t>CUST6302</t>
  </si>
  <si>
    <t>DAR AL LULUAH TRADING</t>
  </si>
  <si>
    <t>CUST1013</t>
  </si>
  <si>
    <t>Salat nova supermarket</t>
  </si>
  <si>
    <t>CUST1032</t>
  </si>
  <si>
    <t>SAHABA CORNER AL SAHBA FOOD ESTABLISHMENT</t>
  </si>
  <si>
    <t>CUST1039</t>
  </si>
  <si>
    <t>Remarket (Re)</t>
  </si>
  <si>
    <t>CUST1054</t>
  </si>
  <si>
    <t>Gala alwurud market</t>
  </si>
  <si>
    <t>CUST1153</t>
  </si>
  <si>
    <t>Reef alkhalig market (haijama)</t>
  </si>
  <si>
    <t>CUST1176</t>
  </si>
  <si>
    <t>Aswaq thamama</t>
  </si>
  <si>
    <t>CUST1197</t>
  </si>
  <si>
    <t>Shaman supermarket</t>
  </si>
  <si>
    <t>CUST1270</t>
  </si>
  <si>
    <t>Arkan company</t>
  </si>
  <si>
    <t>CUST1274</t>
  </si>
  <si>
    <t>Dubai food market</t>
  </si>
  <si>
    <t>CUST1276</t>
  </si>
  <si>
    <t>Salat al bustan hypermarket</t>
  </si>
  <si>
    <t>CUST1291</t>
  </si>
  <si>
    <t>Aswaq zahrath al bayaall</t>
  </si>
  <si>
    <t>CUST1331</t>
  </si>
  <si>
    <t>Rukun wanasat alkharj</t>
  </si>
  <si>
    <t>CUST1442</t>
  </si>
  <si>
    <t>Al rajba triangle trading est</t>
  </si>
  <si>
    <t>CUST1454</t>
  </si>
  <si>
    <t>Pistachio sweets &amp; nuts</t>
  </si>
  <si>
    <t>CUST1906</t>
  </si>
  <si>
    <t>Thamveenath daravab al sahab</t>
  </si>
  <si>
    <t>CUST1928</t>
  </si>
  <si>
    <t>Azhar al wadi supermarket</t>
  </si>
  <si>
    <t>CUST1975</t>
  </si>
  <si>
    <t>Markets and bakeries thikrayat</t>
  </si>
  <si>
    <t>CUST2021</t>
  </si>
  <si>
    <t>REEF AL KHALIJ MARKET DILAM ROAD</t>
  </si>
  <si>
    <t>CUST2188</t>
  </si>
  <si>
    <t>Fuelway(MF)</t>
  </si>
  <si>
    <t>CUST2394</t>
  </si>
  <si>
    <t>Hawasim trading co kharj</t>
  </si>
  <si>
    <t>CUST2611</t>
  </si>
  <si>
    <t>duroob asahabah market for food stuff</t>
  </si>
  <si>
    <t>CUST3653</t>
  </si>
  <si>
    <t>aswak zahrath albustan al markaziya</t>
  </si>
  <si>
    <t>CUST4396</t>
  </si>
  <si>
    <t>DAR AL WANASA</t>
  </si>
  <si>
    <t>CUST4728</t>
  </si>
  <si>
    <t>ALWANASA WORLD FOR SWEET</t>
  </si>
  <si>
    <t>CUST2747</t>
  </si>
  <si>
    <t>OHUD STORE ,MATAJER OHOD</t>
  </si>
  <si>
    <t>CUST2749</t>
  </si>
  <si>
    <t>Top Mart Al-Rimal</t>
  </si>
  <si>
    <t>CUST2767</t>
  </si>
  <si>
    <t>Barakha</t>
  </si>
  <si>
    <t>CUST2769</t>
  </si>
  <si>
    <t>mualim khair</t>
  </si>
  <si>
    <t>CUST2770</t>
  </si>
  <si>
    <t>lamazath al sali</t>
  </si>
  <si>
    <t>CUST2774</t>
  </si>
  <si>
    <t>sidrh</t>
  </si>
  <si>
    <t>CUST2782</t>
  </si>
  <si>
    <t>bark dubai</t>
  </si>
  <si>
    <t>CUST2783</t>
  </si>
  <si>
    <t>star Hawazen</t>
  </si>
  <si>
    <t>CUST2791</t>
  </si>
  <si>
    <t>top mart nadeem</t>
  </si>
  <si>
    <t>CUST2796</t>
  </si>
  <si>
    <t>darath nadeem</t>
  </si>
  <si>
    <t>CUST2799</t>
  </si>
  <si>
    <t>athamath janadriya</t>
  </si>
  <si>
    <t>CUST2800</t>
  </si>
  <si>
    <t>ayiman market</t>
  </si>
  <si>
    <t>CUST2807</t>
  </si>
  <si>
    <t>rabiya mart</t>
  </si>
  <si>
    <t>CUST2811</t>
  </si>
  <si>
    <t>al awael market</t>
  </si>
  <si>
    <t>CUST2821</t>
  </si>
  <si>
    <t>ZADYGOLDENMARKET</t>
  </si>
  <si>
    <t>CUST2822</t>
  </si>
  <si>
    <t>Rashid al markkazi</t>
  </si>
  <si>
    <t>CUST2823</t>
  </si>
  <si>
    <t>Asass al rajaba</t>
  </si>
  <si>
    <t>CUST2827</t>
  </si>
  <si>
    <t>alisalehbazuhair</t>
  </si>
  <si>
    <t>CUST2831</t>
  </si>
  <si>
    <t>qawaed</t>
  </si>
  <si>
    <t>CUST2839</t>
  </si>
  <si>
    <t>runaq market</t>
  </si>
  <si>
    <t>CUST2841</t>
  </si>
  <si>
    <t>A2Z DUbai market</t>
  </si>
  <si>
    <t>CUST2845</t>
  </si>
  <si>
    <t>Al kaif wadi laban</t>
  </si>
  <si>
    <t>CUST2846</t>
  </si>
  <si>
    <t>Al kaif thaif street</t>
  </si>
  <si>
    <t>CUST2847</t>
  </si>
  <si>
    <t>bab al khair market thaif stret</t>
  </si>
  <si>
    <t>CUST2866</t>
  </si>
  <si>
    <t>Fathima</t>
  </si>
  <si>
    <t>CUST2869</t>
  </si>
  <si>
    <t>Mathajar al wasthi muhamadiya</t>
  </si>
  <si>
    <t>CUST2909</t>
  </si>
  <si>
    <t>Alamul hamami kharj</t>
  </si>
  <si>
    <t>CUST2956</t>
  </si>
  <si>
    <t>Como market</t>
  </si>
  <si>
    <t>CUST2981</t>
  </si>
  <si>
    <t>Sada food mart thumama</t>
  </si>
  <si>
    <t>CUST2984</t>
  </si>
  <si>
    <t>Hira market no 4 remal</t>
  </si>
  <si>
    <t>CUST3001</t>
  </si>
  <si>
    <t>Rukunal thakfiz exit 8</t>
  </si>
  <si>
    <t>CUST3006</t>
  </si>
  <si>
    <t>Al kaif yermuk</t>
  </si>
  <si>
    <t>CUST3015</t>
  </si>
  <si>
    <t>Food apple market thuvaik</t>
  </si>
  <si>
    <t>CUST3024</t>
  </si>
  <si>
    <t>BASKET DAYS MARKET SHIFA</t>
  </si>
  <si>
    <t>CUST3095</t>
  </si>
  <si>
    <t>Arzaq al qaseem jazmeen</t>
  </si>
  <si>
    <t>CUST3098</t>
  </si>
  <si>
    <t>Makani market</t>
  </si>
  <si>
    <t>CUST3102</t>
  </si>
  <si>
    <t>Corner jazmeen</t>
  </si>
  <si>
    <t>CUST3203</t>
  </si>
  <si>
    <t>Zaharth modhesh company</t>
  </si>
  <si>
    <t>CUST3232</t>
  </si>
  <si>
    <t>RAYIHANATHUL MUSTHAQBAL SHIFA IMAM MALIK</t>
  </si>
  <si>
    <t>CUST3236</t>
  </si>
  <si>
    <t>BARK DUBAI SHIFA</t>
  </si>
  <si>
    <t>CUST3268</t>
  </si>
  <si>
    <t>Hira aflaj</t>
  </si>
  <si>
    <t>CUST3278</t>
  </si>
  <si>
    <t>ASRAR HABAT AL BARAKHA KHARJ</t>
  </si>
  <si>
    <t>CUST3282</t>
  </si>
  <si>
    <t>AL BUSTHAN THUWAIQ</t>
  </si>
  <si>
    <t>CUST3293</t>
  </si>
  <si>
    <t>AL BARAKA QASAR MARKET THUWAIQ</t>
  </si>
  <si>
    <t>CUST3306</t>
  </si>
  <si>
    <t>MAOWANA SUPER MARKET RIMAL</t>
  </si>
  <si>
    <t>CUST3320</t>
  </si>
  <si>
    <t>Azal al rajaba badiya exit 24</t>
  </si>
  <si>
    <t>CUST3357</t>
  </si>
  <si>
    <t>Thamar lymona laban street</t>
  </si>
  <si>
    <t>CUST3360</t>
  </si>
  <si>
    <t>Al kaif yanbu street</t>
  </si>
  <si>
    <t>CUST3369</t>
  </si>
  <si>
    <t>A2Z DUBAI MARKET SANAYA</t>
  </si>
  <si>
    <t>CUST3380</t>
  </si>
  <si>
    <t>BEAT AL MOSTAHLIK</t>
  </si>
  <si>
    <t>CUST3386</t>
  </si>
  <si>
    <t>HALA EISAA MARKET THUWAIQ STREET</t>
  </si>
  <si>
    <t>CUST3410</t>
  </si>
  <si>
    <t>RIZQ AL AILAH THUMAMA</t>
  </si>
  <si>
    <t>CUST3412</t>
  </si>
  <si>
    <t>FILWA BAHRAIN MARKET THUMAMA</t>
  </si>
  <si>
    <t>CUST3413</t>
  </si>
  <si>
    <t>AGHSAH AL TUFAH THUMAMA</t>
  </si>
  <si>
    <t>CUST3424</t>
  </si>
  <si>
    <t>THAMAR JANIYN HASSAN BIN HUSSAIN STREET EXIT 8</t>
  </si>
  <si>
    <t>CUST3426</t>
  </si>
  <si>
    <t>SALHATH AL BASTHEN EXIT 8</t>
  </si>
  <si>
    <t>CUST3453</t>
  </si>
  <si>
    <t>CATERING STORE THUWAIQ</t>
  </si>
  <si>
    <t>CUST3456</t>
  </si>
  <si>
    <t>RUKUN AL MAHAREEB TRADING ATHIQA</t>
  </si>
  <si>
    <t>CUST3467</t>
  </si>
  <si>
    <t>SHOPPING WORLD</t>
  </si>
  <si>
    <t>CUST3476</t>
  </si>
  <si>
    <t>AL MOWASAM MARKET NAJRAN STREET LABAN</t>
  </si>
  <si>
    <t>CUST3481</t>
  </si>
  <si>
    <t>KAYAN AL OSRA MARKET NADEEM</t>
  </si>
  <si>
    <t>CUST3493</t>
  </si>
  <si>
    <t>KEF AL ASALA MARKET</t>
  </si>
  <si>
    <t>CUST3538</t>
  </si>
  <si>
    <t>LAZOOM RIMAL STREET</t>
  </si>
  <si>
    <t>CUST3550</t>
  </si>
  <si>
    <t>AL KAIFAK RIMAL STREET THUMAMA</t>
  </si>
  <si>
    <t>CUST3552</t>
  </si>
  <si>
    <t>THAMAR LAYMONA THABUK STREET LABAN</t>
  </si>
  <si>
    <t>CUST3561</t>
  </si>
  <si>
    <t>JINAN WORLD FOOD AFLAJ</t>
  </si>
  <si>
    <t>CUST3573</t>
  </si>
  <si>
    <t>SULTHAN MARKET COMPANY ASEER STREET LABAN</t>
  </si>
  <si>
    <t>CUST3579</t>
  </si>
  <si>
    <t>NAZAR MUHAMMED OBAID TRADING COMPANY</t>
  </si>
  <si>
    <t>CUST3624</t>
  </si>
  <si>
    <t>FILWA BAHRAIN NO 2</t>
  </si>
  <si>
    <t>CUST3632</t>
  </si>
  <si>
    <t>KHERAT AL MOKHTAR SUPER MARKET MANZOORA STREET</t>
  </si>
  <si>
    <t>CUST3718</t>
  </si>
  <si>
    <t>ROZZANA DHEERA</t>
  </si>
  <si>
    <t>CUST3750</t>
  </si>
  <si>
    <t>WAHAT KARAZ SUPER MARKET SHIFA</t>
  </si>
  <si>
    <t>CUST3751</t>
  </si>
  <si>
    <t>MOWASAM THANVIN</t>
  </si>
  <si>
    <t>CUST3753</t>
  </si>
  <si>
    <t>SMILE THAIF STREET LABAN NO 1</t>
  </si>
  <si>
    <t>CUST3755</t>
  </si>
  <si>
    <t>ASWAQ MEEZAN HEEL LABAN STREET</t>
  </si>
  <si>
    <t>CUST3773</t>
  </si>
  <si>
    <t>SALLAT YUDI MARKET THUWAIQ STREET MUSI</t>
  </si>
  <si>
    <t>CUST3803</t>
  </si>
  <si>
    <t>CANDY WORLD COMPANY YORMUKK EXIT 8</t>
  </si>
  <si>
    <t>CUST3804</t>
  </si>
  <si>
    <t>KUWAIT MARKET AND BAKERIES YORMUKK</t>
  </si>
  <si>
    <t>CUST3821</t>
  </si>
  <si>
    <t>MATAJER OUQAR THUWAIQ STREET</t>
  </si>
  <si>
    <t>CUST3834</t>
  </si>
  <si>
    <t>AL SUBAIE SWEETS COMPANY WHOLESALE</t>
  </si>
  <si>
    <t>CUST3843</t>
  </si>
  <si>
    <t>OBTHANI SWEETS</t>
  </si>
  <si>
    <t>CUST3862</t>
  </si>
  <si>
    <t>SAMA WATHAN MUZAMIYA</t>
  </si>
  <si>
    <t>CUST3894</t>
  </si>
  <si>
    <t>AL NAHDI SUPER MARKET NAJRAN STREET</t>
  </si>
  <si>
    <t>CUST3919</t>
  </si>
  <si>
    <t>KHAMIS ARABIYA COMPANY AZIZIYA</t>
  </si>
  <si>
    <t>CUST3921</t>
  </si>
  <si>
    <t>SAS AL KHAIR SWEETS COMPANY WHOLESALE AZIZIYA STREET</t>
  </si>
  <si>
    <t>CUST3924</t>
  </si>
  <si>
    <t>JAWAHAR AL FAHAR COMPANY ATHIQA</t>
  </si>
  <si>
    <t>CUST4002</t>
  </si>
  <si>
    <t>SAHAL AL SHARQ COMPANY WHOLESALE AZIZIYA STREET</t>
  </si>
  <si>
    <t>CUST4022</t>
  </si>
  <si>
    <t>ASWAQ ABDULLAH NAHADI HYPER MARKET THUWAIQ STREET</t>
  </si>
  <si>
    <t>CUST4037</t>
  </si>
  <si>
    <t>NANA COMPANY FOR SWEETS AZIZIYA STREET DARALBAYDHA</t>
  </si>
  <si>
    <t>CUST4099</t>
  </si>
  <si>
    <t>RAWAE AL NADA SUPER MARKET,&amp;BAKERIES KHALIDIYA STREET MANSURA</t>
  </si>
  <si>
    <t>CUST4107</t>
  </si>
  <si>
    <t>AL NAHDI BADAR STREET SHIFA</t>
  </si>
  <si>
    <t>CUST4212</t>
  </si>
  <si>
    <t>BIYOOTH AL WANASA COMPANY THUWAIQ STREET</t>
  </si>
  <si>
    <t>CUST4291</t>
  </si>
  <si>
    <t>AL KAIF HAIG MUSI STREET THUWAIQ</t>
  </si>
  <si>
    <t>CUST4415</t>
  </si>
  <si>
    <t>SALLAT AL NADEE</t>
  </si>
  <si>
    <t>CUST4482</t>
  </si>
  <si>
    <t>Marsi Development Trading Company</t>
  </si>
  <si>
    <t>CUST4599</t>
  </si>
  <si>
    <t>HIRA MARKET NO 6 RIMAL STREET</t>
  </si>
  <si>
    <t>CUST4646</t>
  </si>
  <si>
    <t>ZAHRAT AL SABTI HAYPER MARKET MUZAMIYA</t>
  </si>
  <si>
    <t>CUST4719</t>
  </si>
  <si>
    <t>NODA TRADING CO (RIYADH)</t>
  </si>
  <si>
    <t>CUST4727</t>
  </si>
  <si>
    <t>MUHAMMAD RASHEED AL RASHEED TRADING COMPANY (Whole Sale)</t>
  </si>
  <si>
    <t>CUST4731</t>
  </si>
  <si>
    <t>MUHAMMAD RASHEED AL RASHEED HYPER</t>
  </si>
  <si>
    <t>CUST4828</t>
  </si>
  <si>
    <t>ESTABLISHMENT NABA FODE FOOD TRADING</t>
  </si>
  <si>
    <t>CUST5136</t>
  </si>
  <si>
    <t>ATHAA KENZA AL KHAIR COMPANY AL AMEER MOH.BIN.SAUD STREET</t>
  </si>
  <si>
    <t>CUST5166</t>
  </si>
  <si>
    <t>NADA AL RIYADH SWEETS COMPANY STORES AZIZIYA DARALBAYDHA</t>
  </si>
  <si>
    <t>CUST5371</t>
  </si>
  <si>
    <t>MARKET &amp;BAKERIES FIRST SHOPPING BADIYA</t>
  </si>
  <si>
    <t>CUST5464</t>
  </si>
  <si>
    <t>SALE MARKET MUNZIYA</t>
  </si>
  <si>
    <t>CUST5498</t>
  </si>
  <si>
    <t>WARD AL TAWFEER FOOD STUFF COMPANY AL MALAZ</t>
  </si>
  <si>
    <t>CUST5556</t>
  </si>
  <si>
    <t>THANVINATH ARKAAN SALLA NASEEM</t>
  </si>
  <si>
    <t>CUST5571</t>
  </si>
  <si>
    <t>FIRST FAMILY TRADING COMPANY NASEEM</t>
  </si>
  <si>
    <t>CUST5904</t>
  </si>
  <si>
    <t>AL KAIF TRADING COMPANY BADAR STREET SHIFA</t>
  </si>
  <si>
    <t>CUST5923</t>
  </si>
  <si>
    <t>SAMA MARKET COMPANY HIGH AL BAYAN</t>
  </si>
  <si>
    <t>CUST6009</t>
  </si>
  <si>
    <t>WARATHATH AL MUSTLAK YANBU STREET LABAN</t>
  </si>
  <si>
    <t>CUST6155</t>
  </si>
  <si>
    <t>TALAL TRADING COMPANY</t>
  </si>
  <si>
    <t>CUST2921</t>
  </si>
  <si>
    <t>Shareekath kasar Al asaar lil kamaliyath amazon arabiya Khafji</t>
  </si>
  <si>
    <t>CUST2923</t>
  </si>
  <si>
    <t>RIHAB AL SUNDHUS</t>
  </si>
  <si>
    <t>CUST3072</t>
  </si>
  <si>
    <t>MANAFID</t>
  </si>
  <si>
    <t>CUST3073</t>
  </si>
  <si>
    <t>MANAFID 2ND</t>
  </si>
  <si>
    <t>CUST3346</t>
  </si>
  <si>
    <t>TAMWENAT MUNTASF AL JAWHRAH</t>
  </si>
  <si>
    <t>CUST3815</t>
  </si>
  <si>
    <t>CONSUMERS COOPERATIVE SOCIETY</t>
  </si>
  <si>
    <t>CUST4001</t>
  </si>
  <si>
    <t>MUSASATH AL GADHA AL MUMAIZ</t>
  </si>
  <si>
    <t>CUST5444</t>
  </si>
  <si>
    <t>Zone shop</t>
  </si>
  <si>
    <t>CUST6256</t>
  </si>
  <si>
    <t>SHAREEKATH ZAVIYATH KAASAR AQTHASADHIYA LIL KAMALIYATH (AMAZONE KUWAIT )</t>
  </si>
  <si>
    <t>CUST1470</t>
  </si>
  <si>
    <t>Salal rabeeh company promo mart -1</t>
  </si>
  <si>
    <t>CUST1472</t>
  </si>
  <si>
    <t>SALAL RABEEH COMPANY(PROMO3)</t>
  </si>
  <si>
    <t>CUST1574</t>
  </si>
  <si>
    <t>Aswaq sharik imtiyaz vakood</t>
  </si>
  <si>
    <t>CUST2329</t>
  </si>
  <si>
    <t>Hala mart (m)</t>
  </si>
  <si>
    <t>CUST2925</t>
  </si>
  <si>
    <t>Cabir</t>
  </si>
  <si>
    <t>CUST2963</t>
  </si>
  <si>
    <t>Ashwaq muhbas simbula</t>
  </si>
  <si>
    <t>CUST2991</t>
  </si>
  <si>
    <t>Saleh Ali turki al zaidi supermarket</t>
  </si>
  <si>
    <t>CUST3007</t>
  </si>
  <si>
    <t>Thanweenath Reefan bascut</t>
  </si>
  <si>
    <t>CUST3074</t>
  </si>
  <si>
    <t>AL NOGHEMSHI</t>
  </si>
  <si>
    <t>CUST3122</t>
  </si>
  <si>
    <t>Q mart super market</t>
  </si>
  <si>
    <t>CUST3136</t>
  </si>
  <si>
    <t>Jawahir Markets</t>
  </si>
  <si>
    <t>CUST3166</t>
  </si>
  <si>
    <t>Dorrat fatafeat foodstuff Est-1</t>
  </si>
  <si>
    <t>CUST3373</t>
  </si>
  <si>
    <t>Al raha basket mini Markets for foodstuffs</t>
  </si>
  <si>
    <t>CUST3591</t>
  </si>
  <si>
    <t>THAMWEENATH ABDUL RAHMAN AL HARBI</t>
  </si>
  <si>
    <t>CUST3640</t>
  </si>
  <si>
    <t>Thanweenath basmath rose -2</t>
  </si>
  <si>
    <t>CUST3641</t>
  </si>
  <si>
    <t>Thamweenath basmath rose-3</t>
  </si>
  <si>
    <t>CUST4070</t>
  </si>
  <si>
    <t>Selal Al Rebia Promo Mart 1</t>
  </si>
  <si>
    <t>CUST5085</t>
  </si>
  <si>
    <t>OUR SEASON GROCERY</t>
  </si>
  <si>
    <t>CUST5165</t>
  </si>
  <si>
    <t>Sils Al khair trading company</t>
  </si>
  <si>
    <t>CUST5217</t>
  </si>
  <si>
    <t>Bin khamis international trading company 2</t>
  </si>
  <si>
    <t>CUST5303</t>
  </si>
  <si>
    <t>Salata Al-Nafth Trading Company</t>
  </si>
  <si>
    <t>CUST5659</t>
  </si>
  <si>
    <t>Nana Sweet. ( Buraydah )</t>
  </si>
  <si>
    <t>CUST5877</t>
  </si>
  <si>
    <t>Sama Stores</t>
  </si>
  <si>
    <t>CUST5903</t>
  </si>
  <si>
    <t>Thanweenath basmath rose. 1</t>
  </si>
  <si>
    <t>CUST6026</t>
  </si>
  <si>
    <t>Raheeq Asar TRADING</t>
  </si>
  <si>
    <t>CUST6027</t>
  </si>
  <si>
    <t>FURE FOODS</t>
  </si>
  <si>
    <t>CUST2418</t>
  </si>
  <si>
    <t>Beans and Seeds Trading WLL</t>
  </si>
  <si>
    <t>CUST2612</t>
  </si>
  <si>
    <t>Rayana Al Gharb Trading Company</t>
  </si>
  <si>
    <t>CUST2614</t>
  </si>
  <si>
    <t>Zahra Mohammed Abdullah Al-Hardani Trading</t>
  </si>
  <si>
    <t>CUST2628</t>
  </si>
  <si>
    <t>The Jewels Basket Trading Establishment</t>
  </si>
  <si>
    <t>CUST2631</t>
  </si>
  <si>
    <t>Al Halawa Trading Est:</t>
  </si>
  <si>
    <t>CUST2732</t>
  </si>
  <si>
    <t>Mohammed Ibrahim Abdul Aziz Al Aidan Trading Establishment</t>
  </si>
  <si>
    <t>CUST2771</t>
  </si>
  <si>
    <t>Al Wafa Al Abyadh Food Company</t>
  </si>
  <si>
    <t>CUST2786</t>
  </si>
  <si>
    <t>Atharathul Bahrain</t>
  </si>
  <si>
    <t>CUST2787</t>
  </si>
  <si>
    <t>Waadi muthaff</t>
  </si>
  <si>
    <t>CUST3069</t>
  </si>
  <si>
    <t>Green Knowledge Trading Company</t>
  </si>
  <si>
    <t>CUST3164</t>
  </si>
  <si>
    <t>Ghadeer Arabian Trading Company</t>
  </si>
  <si>
    <t>CUST3329</t>
  </si>
  <si>
    <t>Zahra Food Packaging Est.</t>
  </si>
  <si>
    <t>CUST3492</t>
  </si>
  <si>
    <t>Al Ansari and Partners Trading Company</t>
  </si>
  <si>
    <t>CUST3612</t>
  </si>
  <si>
    <t>BAHARAT AL-NOKHBAH</t>
  </si>
  <si>
    <t>CUST85</t>
  </si>
  <si>
    <t>WORLD SUNRISE TRADING EST</t>
  </si>
  <si>
    <t>CUST1933</t>
  </si>
  <si>
    <t>Nahla Al Wadi Trading Company</t>
  </si>
  <si>
    <t>CUST1934</t>
  </si>
  <si>
    <t>LALA STAR TRADING COMPANY (DAMMAM)</t>
  </si>
  <si>
    <t>CUST1937</t>
  </si>
  <si>
    <t>Al Mirash Saudia Trading (4)</t>
  </si>
  <si>
    <t>CUST1941</t>
  </si>
  <si>
    <t>Al Mirash Saudia Trading (2)</t>
  </si>
  <si>
    <t>CUST1942</t>
  </si>
  <si>
    <t>NANA SWEET</t>
  </si>
  <si>
    <t>CUST1943</t>
  </si>
  <si>
    <t>ARAB SWEET TRADING COMPANY</t>
  </si>
  <si>
    <t>CUST1945</t>
  </si>
  <si>
    <t>Al Mirash Saudia Trading (1)</t>
  </si>
  <si>
    <t>CUST1954</t>
  </si>
  <si>
    <t>SHERIKKATH ARKAN AL SATHI</t>
  </si>
  <si>
    <t>CUST1962</t>
  </si>
  <si>
    <t>ROSHEN SWEET TRADING CO.</t>
  </si>
  <si>
    <t>CUST1963</t>
  </si>
  <si>
    <t>BOUNTY (KOBHAR)</t>
  </si>
  <si>
    <t>CUST1966</t>
  </si>
  <si>
    <t>topsee bondy (zeeko)</t>
  </si>
  <si>
    <t>CUST1982</t>
  </si>
  <si>
    <t>MANAFIZ (SWEETS&amp;NUTS</t>
  </si>
  <si>
    <t>CUST2011</t>
  </si>
  <si>
    <t>BOUNTY(TOYOTA 2)</t>
  </si>
  <si>
    <t>CUST2173</t>
  </si>
  <si>
    <t>MARKAZ BURJ DUBAI</t>
  </si>
  <si>
    <t>CUST2210</t>
  </si>
  <si>
    <t>FUEL WAY MARKET (KOBAR)</t>
  </si>
  <si>
    <t>CUST2224</t>
  </si>
  <si>
    <t>SHERIKKATH ZAEIM TRADING</t>
  </si>
  <si>
    <t>CUST2359</t>
  </si>
  <si>
    <t>KINDER JOY SWEET (SEECO DAMMAM)</t>
  </si>
  <si>
    <t>CUST2458</t>
  </si>
  <si>
    <t>SHARQ AL MADEENA TRADING</t>
  </si>
  <si>
    <t>CUST2515</t>
  </si>
  <si>
    <t>SHERIKKATH AL NOORA ( AFRAL BATAN )</t>
  </si>
  <si>
    <t>CUST2562</t>
  </si>
  <si>
    <t>Mansour mofarah trading</t>
  </si>
  <si>
    <t>CUST2579</t>
  </si>
  <si>
    <t>Mazak Al Khimmath Trading (halwiyath) Toyota new</t>
  </si>
  <si>
    <t>CUST3254</t>
  </si>
  <si>
    <t>ROSHEN SWEET Trading 2</t>
  </si>
  <si>
    <t>CUST3334</t>
  </si>
  <si>
    <t>Hussain Ali Abu Zaid Trading company</t>
  </si>
  <si>
    <t>CUST3462</t>
  </si>
  <si>
    <t>Green knowledge trading company 2</t>
  </si>
  <si>
    <t>CUST3526</t>
  </si>
  <si>
    <t>MANAFIZ AL HALAWIYAT TRADING CO-1</t>
  </si>
  <si>
    <t>CUST6034</t>
  </si>
  <si>
    <t>AL IMTIAZ PRODUCTS TRADING COMPANY</t>
  </si>
  <si>
    <t>CUST4248</t>
  </si>
  <si>
    <t>Salla Al wafaa</t>
  </si>
  <si>
    <t>CUST4259</t>
  </si>
  <si>
    <t>Nukhbet Al makan market</t>
  </si>
  <si>
    <t>CUST4261</t>
  </si>
  <si>
    <t>Over Consumer Trading</t>
  </si>
  <si>
    <t>CUST4322</t>
  </si>
  <si>
    <t>Loaloat jamala foodstuffs</t>
  </si>
  <si>
    <t>CUST4410</t>
  </si>
  <si>
    <t>Lara Al Sharq</t>
  </si>
  <si>
    <t>CUST4472</t>
  </si>
  <si>
    <t>Kanz Al Safa Markets</t>
  </si>
  <si>
    <t>CUST4488</t>
  </si>
  <si>
    <t>Azizia Grocery Refrigerator</t>
  </si>
  <si>
    <t>CUST4496</t>
  </si>
  <si>
    <t>Al Nahla Markets And Stores</t>
  </si>
  <si>
    <t>CUST4509</t>
  </si>
  <si>
    <t>Rukn nujoom Company</t>
  </si>
  <si>
    <t>CUST4541</t>
  </si>
  <si>
    <t>Jozor Al Itifaq Trading Co.</t>
  </si>
  <si>
    <t>CUST4573</t>
  </si>
  <si>
    <t>Bashiah Trading Company, One-person Company</t>
  </si>
  <si>
    <t>CUST4590</t>
  </si>
  <si>
    <t>Hillway Chocolate and Nuts Saudi Arabia Company</t>
  </si>
  <si>
    <t>CUST4777</t>
  </si>
  <si>
    <t>Rukn Al Waha Foodstuff Markets Company</t>
  </si>
  <si>
    <t>CUST5037</t>
  </si>
  <si>
    <t>Jawharat Al Manar Grocery</t>
  </si>
  <si>
    <t>CUST5143</t>
  </si>
  <si>
    <t>Al Jawhara Foodstuff Markets</t>
  </si>
  <si>
    <t>CUST5233</t>
  </si>
  <si>
    <t>Hillway Chocolate and Nuts saudi Arabia Company .2</t>
  </si>
  <si>
    <t>CUST5243</t>
  </si>
  <si>
    <t>TAJ FOODS TRADING COMPANY</t>
  </si>
  <si>
    <t>CUST5253</t>
  </si>
  <si>
    <t>Al Qafilah SUPERMARKET</t>
  </si>
  <si>
    <t>CUST5262</t>
  </si>
  <si>
    <t>RANA MUHAMMED SALEEM</t>
  </si>
  <si>
    <t>CUST5405</t>
  </si>
  <si>
    <t>Najd Grocery</t>
  </si>
  <si>
    <t>CUST5466</t>
  </si>
  <si>
    <t>Al Hada supermarket</t>
  </si>
  <si>
    <t>CUST5554</t>
  </si>
  <si>
    <t>SEAVEN MART.</t>
  </si>
  <si>
    <t>CUST5640</t>
  </si>
  <si>
    <t>Al Falak Advanced Trading Company</t>
  </si>
  <si>
    <t>CUST5641</t>
  </si>
  <si>
    <t>Diaa Al kar Shopping Markets</t>
  </si>
  <si>
    <t>CUST5644</t>
  </si>
  <si>
    <t>Arab Markets And Bakeries</t>
  </si>
  <si>
    <t>CUST5666</t>
  </si>
  <si>
    <t>Al Qaswa Markets</t>
  </si>
  <si>
    <t>CUST5697</t>
  </si>
  <si>
    <t>NUKHBET AL MAKAN MARKET.2</t>
  </si>
  <si>
    <t>CUST5705</t>
  </si>
  <si>
    <t>NAIF. GROCERY</t>
  </si>
  <si>
    <t>CUST5710</t>
  </si>
  <si>
    <t>Al Qaswa Plus Stores Markets</t>
  </si>
  <si>
    <t>CUST5711</t>
  </si>
  <si>
    <t>THAHAMA MARKETS</t>
  </si>
  <si>
    <t>CUST5777</t>
  </si>
  <si>
    <t>Baraka Ahram Trading Company</t>
  </si>
  <si>
    <t>CUST5785</t>
  </si>
  <si>
    <t>Sanabel Al Ezz Trading Company. 2</t>
  </si>
  <si>
    <t>CUST5792</t>
  </si>
  <si>
    <t>THAHAMA MARKETS .2</t>
  </si>
  <si>
    <t>CUST6077</t>
  </si>
  <si>
    <t>Baraka Ahram Trading company. 2</t>
  </si>
  <si>
    <t>CUST6086</t>
  </si>
  <si>
    <t>Al Saada supermarket</t>
  </si>
  <si>
    <t>CUST4500</t>
  </si>
  <si>
    <t>Thamveenath khulura val khulaar</t>
  </si>
  <si>
    <t>CUST4501</t>
  </si>
  <si>
    <t>Ala-a Saeed Super market</t>
  </si>
  <si>
    <t>CUST4542</t>
  </si>
  <si>
    <t>G-Seven central Markets</t>
  </si>
  <si>
    <t>CUST4586</t>
  </si>
  <si>
    <t>Mirakish super market</t>
  </si>
  <si>
    <t>CUST4604</t>
  </si>
  <si>
    <t>Thamveenath Shams Al Mueeb</t>
  </si>
  <si>
    <t>CUST4625</t>
  </si>
  <si>
    <t>Aswaak Al Bandar Al Sai-ary</t>
  </si>
  <si>
    <t>CUST4631</t>
  </si>
  <si>
    <t>Thamveenath Hassaam Abdulla Halvani</t>
  </si>
  <si>
    <t>CUST4641</t>
  </si>
  <si>
    <t>Thamveenath Zad Al Khamees</t>
  </si>
  <si>
    <t>CUST4649</t>
  </si>
  <si>
    <t>Amal Super Market</t>
  </si>
  <si>
    <t>CUST4764</t>
  </si>
  <si>
    <t>Bakkala Assiyooth Super Market</t>
  </si>
  <si>
    <t>CUST4840</t>
  </si>
  <si>
    <t>Sherikkath Salaath Jiser Al Musthahlik Al thijariyya</t>
  </si>
  <si>
    <t>CUST4901</t>
  </si>
  <si>
    <t>Thamveenath Quima Al wad Super Market</t>
  </si>
  <si>
    <t>CUST4949</t>
  </si>
  <si>
    <t>Reem Musfir Trading</t>
  </si>
  <si>
    <t>CUST4987</t>
  </si>
  <si>
    <t>Thamveenath Najoom Al Thadaval</t>
  </si>
  <si>
    <t>CUST4993</t>
  </si>
  <si>
    <t>Aswaq Nana Al Hadeetha super market</t>
  </si>
  <si>
    <t>CUST5057</t>
  </si>
  <si>
    <t>Yara Hyper</t>
  </si>
  <si>
    <t>CUST5209</t>
  </si>
  <si>
    <t>Thamveenath Nabd Thihama, Abaha</t>
  </si>
  <si>
    <t>CUST1387</t>
  </si>
  <si>
    <t>Wusta food company stuff</t>
  </si>
  <si>
    <t>CUST2282</t>
  </si>
  <si>
    <t>CIRCLE K(DAMMAM)</t>
  </si>
  <si>
    <t>CUST2495</t>
  </si>
  <si>
    <t>Gafa market(judah)</t>
  </si>
  <si>
    <t>CUST4148</t>
  </si>
  <si>
    <t>Costumer service (khobar)</t>
  </si>
  <si>
    <t>CUST4205</t>
  </si>
  <si>
    <t>LAMSAT DARY</t>
  </si>
  <si>
    <t>CUST4254</t>
  </si>
  <si>
    <t>Nahla Al Wadi (jubail)</t>
  </si>
  <si>
    <t>CUST4346</t>
  </si>
  <si>
    <t>Bakkala arkan (Corniche)</t>
  </si>
  <si>
    <t>CUST5079</t>
  </si>
  <si>
    <t>Zawya Jawharat Al -Asear Co.</t>
  </si>
  <si>
    <t>CUST5387</t>
  </si>
  <si>
    <t>Jeewel of offers (dammam)</t>
  </si>
  <si>
    <t>CUST5474</t>
  </si>
  <si>
    <t>Costumer Service Rakah</t>
  </si>
  <si>
    <t>CUST5487</t>
  </si>
  <si>
    <t>Hussain thubaba(Top up)</t>
  </si>
  <si>
    <t>CUST5667</t>
  </si>
  <si>
    <t>Dokan al hara Grocery</t>
  </si>
  <si>
    <t>CUST5990</t>
  </si>
  <si>
    <t>AL DOHA PALM TRADING COMPANY (Khobar)</t>
  </si>
  <si>
    <t>CUST6152</t>
  </si>
  <si>
    <t>Shareekth kamal al thawfeer al thijariyath dl dammam</t>
  </si>
  <si>
    <t>CUST6</t>
  </si>
  <si>
    <t>Amazon Saudi trading company</t>
  </si>
  <si>
    <t>CUST2319</t>
  </si>
  <si>
    <t>Sharikkath Shati athoufeer thijariyya</t>
  </si>
  <si>
    <t>CUST6024</t>
  </si>
  <si>
    <t>FIVE FOR K</t>
  </si>
  <si>
    <t>CUST6045</t>
  </si>
  <si>
    <t>SHERIKKATH THAUFIR AL SHAMIL</t>
  </si>
  <si>
    <t>CUST6078</t>
  </si>
  <si>
    <t>ECONOMIC HALL</t>
  </si>
  <si>
    <t>CUST6085</t>
  </si>
  <si>
    <t>DISCONTED PRICE TRADING COMPANY</t>
  </si>
  <si>
    <t>CUST6150</t>
  </si>
  <si>
    <t>Zawiyat al asalah (qat)</t>
  </si>
  <si>
    <t>CUST6153</t>
  </si>
  <si>
    <t>Sharikat ealam almustahlik (om)</t>
  </si>
  <si>
    <t>CUST6207</t>
  </si>
  <si>
    <t>Salat bazar market bakeries</t>
  </si>
  <si>
    <t>CUST4157</t>
  </si>
  <si>
    <t>Amazon (1) Dmm</t>
  </si>
  <si>
    <t>CUST4206</t>
  </si>
  <si>
    <t>Amazon (Alnoor)</t>
  </si>
  <si>
    <t>CUST4673</t>
  </si>
  <si>
    <t>Shareekth Jawaharath Musthahaliq</t>
  </si>
  <si>
    <t>CUST5408</t>
  </si>
  <si>
    <t>Amazon saudi ( Al bathoon)</t>
  </si>
  <si>
    <t>CUST5562</t>
  </si>
  <si>
    <t>Five Mart</t>
  </si>
  <si>
    <t>CUST5840</t>
  </si>
  <si>
    <t>Day N Day</t>
  </si>
  <si>
    <t>CUST5979</t>
  </si>
  <si>
    <t>Noon (Khobar)</t>
  </si>
  <si>
    <t>CUST6195</t>
  </si>
  <si>
    <t>Amazon saudi Trading CO(Prince mohammed bin fahd)</t>
  </si>
  <si>
    <t>CUST6221</t>
  </si>
  <si>
    <t>Amazon Al khobar</t>
  </si>
  <si>
    <t>CUST6225</t>
  </si>
  <si>
    <t>Amazon saudi Trading CO (al Azeeziya)</t>
  </si>
  <si>
    <t>GRAND TOTAL</t>
  </si>
  <si>
    <t>BANK SUMMARY - SEP-2025</t>
  </si>
  <si>
    <t>BANK SUMMARY - OCT-2025</t>
  </si>
  <si>
    <t>ADVANCE RECONCILIATION - OCT-2025</t>
  </si>
  <si>
    <t>17/04/2024</t>
  </si>
  <si>
    <t>EXP3391</t>
  </si>
  <si>
    <t>Shirfan - Cash withdraw --</t>
  </si>
  <si>
    <t>27/05/2024</t>
  </si>
  <si>
    <t>EXP3462</t>
  </si>
  <si>
    <t>THOYYIB VEHICLE WINGE EXP-</t>
  </si>
  <si>
    <t>ADVANCES -THOYYIBE VEHICLE COMPLAINT-</t>
  </si>
  <si>
    <t>16/06/2024</t>
  </si>
  <si>
    <t>JN5365</t>
  </si>
  <si>
    <t>COLLECTION CASH TAKEN BY HANI</t>
  </si>
  <si>
    <t>24/06/2024</t>
  </si>
  <si>
    <t>EXP3614</t>
  </si>
  <si>
    <t>ADVANCE-SALMANUL FARIZ-RIYADH-</t>
  </si>
  <si>
    <t>EXP3645</t>
  </si>
  <si>
    <t>ASHIK-ADVANCE-</t>
  </si>
  <si>
    <t>EXP3699</t>
  </si>
  <si>
    <t>FT24188664289852 Ben WHITE GRAPHICS-ADVANCE FOR RECEPTION WORK-</t>
  </si>
  <si>
    <t>13/08/2024</t>
  </si>
  <si>
    <t>EXP4197</t>
  </si>
  <si>
    <t>AL JARAHA ADVANCE PAYMENT-METAL DETECTOR AND HIGHSPEED PACKING MACHINE-FT24226303374754-</t>
  </si>
  <si>
    <t>EXP4198</t>
  </si>
  <si>
    <t>AL JARAHA ADVANCE PAYMENT-METAL DETECTOR AND HIGHSPEED PACKING MACHINE-FT24226094147820-</t>
  </si>
  <si>
    <t>27/08/2024</t>
  </si>
  <si>
    <t>EXP4327</t>
  </si>
  <si>
    <t>FT24240219059921 Ben EGYPTIAN SAUDI IMPORT EXPORT PAPER-DOUBLE TRANSFER-AMOUNT-</t>
  </si>
  <si>
    <t>13/10/2024</t>
  </si>
  <si>
    <t>EXP4386</t>
  </si>
  <si>
    <t>SHIRFAN ADVANCE FROM NIDHEESH COLLECTION-</t>
  </si>
  <si>
    <t>20/10/2024</t>
  </si>
  <si>
    <t>EXP4423</t>
  </si>
  <si>
    <t>THOYYIB ADVANCE QASEEM NEW ROUTE-</t>
  </si>
  <si>
    <t>31/10/2024</t>
  </si>
  <si>
    <t>MANAFIZ RENT DMM ROUTE</t>
  </si>
  <si>
    <t>EXP4569</t>
  </si>
  <si>
    <t>SALMAN FARIZ ADVANCE FROM NIDHEESH COLLECTION-</t>
  </si>
  <si>
    <t>EXP4573</t>
  </si>
  <si>
    <t>ASLAM ADVANCE TO SALMAN FARIZ-</t>
  </si>
  <si>
    <t>EXP4697</t>
  </si>
  <si>
    <t>25/12/2024</t>
  </si>
  <si>
    <t>EXP4747</t>
  </si>
  <si>
    <t>SHIRFAN ADVANCE NIDHEESH COLLECTION-</t>
  </si>
  <si>
    <t>30/12/2024</t>
  </si>
  <si>
    <t>EXP4756</t>
  </si>
  <si>
    <t>FUEL-ADVANCE-FAWAS-</t>
  </si>
  <si>
    <t>14/01/2025</t>
  </si>
  <si>
    <t>EXP4790</t>
  </si>
  <si>
    <t>Al jara machinary payment-</t>
  </si>
  <si>
    <t>EXP4884</t>
  </si>
  <si>
    <t>PURCHASE ADVANCE-ASHOK-</t>
  </si>
  <si>
    <t>16/02/2025</t>
  </si>
  <si>
    <t>EXP4912</t>
  </si>
  <si>
    <t>NNA REPAIR EXP-ASLAM-</t>
  </si>
  <si>
    <t>NNA REPAIR EXP-AKMAL-</t>
  </si>
  <si>
    <t>EXP5155</t>
  </si>
  <si>
    <t>PURCHASE ADVANCE-ASLAM-</t>
  </si>
  <si>
    <t>24/05/2025</t>
  </si>
  <si>
    <t>EXP5247</t>
  </si>
  <si>
    <t>SHIRFAN ADVANCES-</t>
  </si>
  <si>
    <t>31/05/2025</t>
  </si>
  <si>
    <t>VEHICLE SERVICE BALANCE-SHIRFAN SIR</t>
  </si>
  <si>
    <t>EXP5275</t>
  </si>
  <si>
    <t>ADVANCE-SALMAN SIR-</t>
  </si>
  <si>
    <t>26/06/2025</t>
  </si>
  <si>
    <t>EXP5389</t>
  </si>
  <si>
    <t>BAYCITY BALANCE-AMOUNT PAID-20000 SETTLED-11000 -</t>
  </si>
  <si>
    <t>29/06/2025</t>
  </si>
  <si>
    <t>EXP5402</t>
  </si>
  <si>
    <t>SALARY ADVANCE-ASLAM-</t>
  </si>
  <si>
    <t>21/07/2025</t>
  </si>
  <si>
    <t>EXP5475</t>
  </si>
  <si>
    <t>SHIRFAN SIR ADVANCE-</t>
  </si>
  <si>
    <t>19/08/2025</t>
  </si>
  <si>
    <t>EXP5590</t>
  </si>
  <si>
    <t>SUSHI ADVANCE -LABOUR CHARGE-09-08-2025 TO 14-08-2025-TOTAL AMOUNT-7500/--</t>
  </si>
  <si>
    <t>SALMAN SIR ADVANCE FOR TRAFFIC VIOLATION-</t>
  </si>
  <si>
    <t>21/08/2025</t>
  </si>
  <si>
    <t>EXP5603</t>
  </si>
  <si>
    <t>SALMAN SIR ADVANCE-NIDHEESH-</t>
  </si>
  <si>
    <t>EXP5681</t>
  </si>
  <si>
    <t>VEHICLE KEY DUPLICATE-</t>
  </si>
  <si>
    <t>13/09/2025</t>
  </si>
  <si>
    <t>EXP5683</t>
  </si>
  <si>
    <t>KOYA ADVANCE FROM DHIYA CLLECTION NNA FUEL-</t>
  </si>
  <si>
    <t>14/09/2025</t>
  </si>
  <si>
    <t>EXP5684</t>
  </si>
  <si>
    <t>ADVANCE SHIRFAN SIR-</t>
  </si>
  <si>
    <t>21/09/2025</t>
  </si>
  <si>
    <t>EXP5690</t>
  </si>
  <si>
    <t>22/09/2025</t>
  </si>
  <si>
    <t>EXP5691</t>
  </si>
  <si>
    <t>AL HASA PLASTIC OUTSTANDING PAYMENT-</t>
  </si>
  <si>
    <t>27/09/2025</t>
  </si>
  <si>
    <t>EXP5718</t>
  </si>
  <si>
    <t>ADVANCE MEDICAL EXP-MUNEESH-</t>
  </si>
  <si>
    <t>28/09/2025</t>
  </si>
  <si>
    <t>EXP5719</t>
  </si>
  <si>
    <t>AL AHSA PLASTIC BALANCE PAYMENT-</t>
  </si>
  <si>
    <t>ADVANCE BALANCE-SABARI-</t>
  </si>
  <si>
    <t>30/09/2025</t>
  </si>
  <si>
    <t>EXP5721</t>
  </si>
  <si>
    <t>DRILL FOR OFFICE RENOVATION-</t>
  </si>
  <si>
    <t>ADVANCE CLOSING BALANCE CHANGE</t>
  </si>
  <si>
    <t>EXP5764</t>
  </si>
  <si>
    <t>ADVANCE-NIDHEESH-</t>
  </si>
  <si>
    <t>EXP5765</t>
  </si>
  <si>
    <t>ADVANCE-</t>
  </si>
  <si>
    <t>EXP5766</t>
  </si>
  <si>
    <t>13/10/2025</t>
  </si>
  <si>
    <t>EXP5787</t>
  </si>
  <si>
    <t>16/10/2025</t>
  </si>
  <si>
    <t>JN11526</t>
  </si>
  <si>
    <t>AL AHSA PLASTIC ADVANCE PAYMENT-INV-2025-PPC-3255</t>
  </si>
  <si>
    <t>30/10/2025</t>
  </si>
  <si>
    <t>EXP5806</t>
  </si>
  <si>
    <t>Advance-Sabari-</t>
  </si>
  <si>
    <t>Advance-Khudair note change-</t>
  </si>
  <si>
    <t>SUSPENSE RECONCILIATION - OCT-2025</t>
  </si>
  <si>
    <t>JN4377</t>
  </si>
  <si>
    <t>Bank sale - Thoyyib - DMM</t>
  </si>
  <si>
    <t>JN4381</t>
  </si>
  <si>
    <t>BANK SALES ON POS -NIDHEESH</t>
  </si>
  <si>
    <t>JN4384</t>
  </si>
  <si>
    <t>BANK SALE POS FASIL</t>
  </si>
  <si>
    <t>14/04/2024</t>
  </si>
  <si>
    <t>JN4467</t>
  </si>
  <si>
    <t>Bank sale - POS - Jaseel</t>
  </si>
  <si>
    <t>JN4425</t>
  </si>
  <si>
    <t>CHEQUE DEPOSIT -SAMIR</t>
  </si>
  <si>
    <t>22/04/2024</t>
  </si>
  <si>
    <t>EXP4515</t>
  </si>
  <si>
    <t>for bank reconciliation-FT24113842248106 Ben Saalim Alhamid -NOT RECIEVED IN BILL-</t>
  </si>
  <si>
    <t>26/06/2024</t>
  </si>
  <si>
    <t>JN7242</t>
  </si>
  <si>
    <t>BAB#38825126#2792024062411513800001211042 -SADAD REFUND</t>
  </si>
  <si>
    <t>JN6115</t>
  </si>
  <si>
    <t>MISTAKE ENTRY BALANCE AMOUNT NOT IDENTIFIED BILL-SHABEER CASH BOOK</t>
  </si>
  <si>
    <t>23/11/2024</t>
  </si>
  <si>
    <t>JN7638</t>
  </si>
  <si>
    <t>BANK TRANSFER-NOT IDENTIFIED</t>
  </si>
  <si>
    <t>14/12/2024</t>
  </si>
  <si>
    <t>JN7950</t>
  </si>
  <si>
    <t>BANK POSNO-8117929503058544</t>
  </si>
  <si>
    <t>JN8176</t>
  </si>
  <si>
    <t>BANK TRANSFER-NIDHEEESH</t>
  </si>
  <si>
    <t>19/01/2025</t>
  </si>
  <si>
    <t>JN8400</t>
  </si>
  <si>
    <t>BANK TRANSFER-</t>
  </si>
  <si>
    <t>JN8696</t>
  </si>
  <si>
    <t>JN9046</t>
  </si>
  <si>
    <t>13/03/2025</t>
  </si>
  <si>
    <t>BANK TRANSFER-SHAREEF</t>
  </si>
  <si>
    <t>JN9444</t>
  </si>
  <si>
    <t>JN9447</t>
  </si>
  <si>
    <t>BANK-POS</t>
  </si>
  <si>
    <t>20/04/2025</t>
  </si>
  <si>
    <t>JN9451</t>
  </si>
  <si>
    <t>JN9452</t>
  </si>
  <si>
    <t>29/04/2025</t>
  </si>
  <si>
    <t>JN9455</t>
  </si>
  <si>
    <t>JN9330</t>
  </si>
  <si>
    <t>UNKNOWN CREDIT-BILAD -OCTOBER</t>
  </si>
  <si>
    <t>JN9446</t>
  </si>
  <si>
    <t>BANK POS</t>
  </si>
  <si>
    <t>JN9739</t>
  </si>
  <si>
    <t>JN9748</t>
  </si>
  <si>
    <t>17/05/2025</t>
  </si>
  <si>
    <t>JN9793</t>
  </si>
  <si>
    <t>18/05/2025</t>
  </si>
  <si>
    <t>JN9787</t>
  </si>
  <si>
    <t>BANK POS-SHAREEF</t>
  </si>
  <si>
    <t>23/05/2025</t>
  </si>
  <si>
    <t>JN9795</t>
  </si>
  <si>
    <t>27/05/2025</t>
  </si>
  <si>
    <t>JN9831</t>
  </si>
  <si>
    <t>JN10142</t>
  </si>
  <si>
    <t>JN10143</t>
  </si>
  <si>
    <t>19/06/2025</t>
  </si>
  <si>
    <t>JN10145</t>
  </si>
  <si>
    <t>21/06/2025</t>
  </si>
  <si>
    <t>JN10146</t>
  </si>
  <si>
    <t>BANK</t>
  </si>
  <si>
    <t>JN10147</t>
  </si>
  <si>
    <t>30/06/2025</t>
  </si>
  <si>
    <t>BANK CHARGES</t>
  </si>
  <si>
    <t>29/07/2025</t>
  </si>
  <si>
    <t>JN10472</t>
  </si>
  <si>
    <t>T24 INST. 1 LOANFLEET00001041 T24Batch-NEW DYNA-</t>
  </si>
  <si>
    <t>25/08/2025</t>
  </si>
  <si>
    <t>JN10873</t>
  </si>
  <si>
    <t>29/08/2025</t>
  </si>
  <si>
    <t>EXP5667</t>
  </si>
  <si>
    <t>for bank reconciliation-T24 INST. 2 LOANFLEET00001041 T24Batch-new dyna --</t>
  </si>
  <si>
    <t>for bank reconciliation-T24 INST. 2 LOANFLEET00001041 T24Batch-new dyna-</t>
  </si>
  <si>
    <t>31/08/2025</t>
  </si>
  <si>
    <t>EXP5670</t>
  </si>
  <si>
    <t>9131082500538722/HANI AHMED ALSHUWKAIKHAT/l-</t>
  </si>
  <si>
    <t>BANK TRANSFER-SHAMEER RIYADH -RECIEPT NOT RECEIVED</t>
  </si>
  <si>
    <t>JN11306</t>
  </si>
  <si>
    <t>BANK POS SHAMEER-RIYADH</t>
  </si>
  <si>
    <t>JN11307</t>
  </si>
  <si>
    <t>JN11248</t>
  </si>
  <si>
    <t>BANK POS-KHALID</t>
  </si>
  <si>
    <t>26/09/2025</t>
  </si>
  <si>
    <t>JN11365</t>
  </si>
  <si>
    <t>BANK TRANSFER-NOT IDENTIFIFED</t>
  </si>
  <si>
    <t>29/09/2025</t>
  </si>
  <si>
    <t>EXP5754</t>
  </si>
  <si>
    <t>for bank reconciliation-T24 INST. 3 LOANFLEET00001041 T24Batch-NEW DYNA INSTALMENT-</t>
  </si>
  <si>
    <t>for bank reconciliation-for bank reconciliation-T24 INST. 3 LOANFLEET00001041 T24Batch-NEW DYNA INSTALMENT-</t>
  </si>
  <si>
    <t>BANK TRANSFER-SHAMEER RIYADH RECIEPT NOT RECEIVED</t>
  </si>
  <si>
    <t>JN12018</t>
  </si>
  <si>
    <t>BANK TRANSFER-SHAMEER RIYADH-8408.69</t>
  </si>
  <si>
    <t>JN12083</t>
  </si>
  <si>
    <t>BANK POS-SHAMEER RIYADH-19948.69</t>
  </si>
  <si>
    <t>JN12103</t>
  </si>
  <si>
    <t>JN12084</t>
  </si>
  <si>
    <t>JN11986</t>
  </si>
  <si>
    <t>BANK POS-KHALID-9296.16</t>
  </si>
  <si>
    <t>JN12000</t>
  </si>
  <si>
    <t>BANK TRANSFER-KHALLID- 19,402.92</t>
  </si>
  <si>
    <t>JN12001</t>
  </si>
  <si>
    <t>JN12065</t>
  </si>
  <si>
    <t>BANK POS-SHAMEER RIYADH</t>
  </si>
  <si>
    <t>JN12085</t>
  </si>
  <si>
    <t>BANK POS MACHINE TEST</t>
  </si>
  <si>
    <t>JN12044</t>
  </si>
  <si>
    <t>BANK TRANSFER-SHAMEER HAFAR- 5,302</t>
  </si>
  <si>
    <t>JN12066</t>
  </si>
  <si>
    <t>BANK POS-SHAMEER RIYADH-19948.49</t>
  </si>
  <si>
    <t>JN12030</t>
  </si>
  <si>
    <t>BANK POS-SHAMEER HAFAR-7264</t>
  </si>
  <si>
    <t>JN12024</t>
  </si>
  <si>
    <t>JN12002</t>
  </si>
  <si>
    <t>JN11987</t>
  </si>
  <si>
    <t>JN12014</t>
  </si>
  <si>
    <t>BANK POS-SHAFI-2803</t>
  </si>
  <si>
    <t>JN12067</t>
  </si>
  <si>
    <t>JN12068</t>
  </si>
  <si>
    <t>JN12031</t>
  </si>
  <si>
    <t>JN11988</t>
  </si>
  <si>
    <t>JN12015</t>
  </si>
  <si>
    <t>JN12104</t>
  </si>
  <si>
    <t>JN12096</t>
  </si>
  <si>
    <t>JN12097</t>
  </si>
  <si>
    <t>JN12043</t>
  </si>
  <si>
    <t>JN12019</t>
  </si>
  <si>
    <t>JN11989</t>
  </si>
  <si>
    <t>JN12032</t>
  </si>
  <si>
    <t>JN12069</t>
  </si>
  <si>
    <t>JN12070</t>
  </si>
  <si>
    <t>JN12071</t>
  </si>
  <si>
    <t>15/10/2025</t>
  </si>
  <si>
    <t>JN11990</t>
  </si>
  <si>
    <t>JN12003</t>
  </si>
  <si>
    <t>JN12072</t>
  </si>
  <si>
    <t>JN12033</t>
  </si>
  <si>
    <t>JN12073</t>
  </si>
  <si>
    <t>JN12074</t>
  </si>
  <si>
    <t>JN12004</t>
  </si>
  <si>
    <t>JN12020</t>
  </si>
  <si>
    <t>JN12021</t>
  </si>
  <si>
    <t>JN11997</t>
  </si>
  <si>
    <t>JN11998</t>
  </si>
  <si>
    <t>17/10/2025</t>
  </si>
  <si>
    <t>JN12042</t>
  </si>
  <si>
    <t>18/10/2025</t>
  </si>
  <si>
    <t>JN12075</t>
  </si>
  <si>
    <t>JN12034</t>
  </si>
  <si>
    <t>JN12013</t>
  </si>
  <si>
    <t>19/10/2025</t>
  </si>
  <si>
    <t>JN12076</t>
  </si>
  <si>
    <t>JN11991</t>
  </si>
  <si>
    <t>JN12064</t>
  </si>
  <si>
    <t>BANK TRANSFER-SHAFI-6094</t>
  </si>
  <si>
    <t>20/10/2025</t>
  </si>
  <si>
    <t>JN11992</t>
  </si>
  <si>
    <t>JN12022</t>
  </si>
  <si>
    <t>JN12005</t>
  </si>
  <si>
    <t>JN12006</t>
  </si>
  <si>
    <t>JN12007</t>
  </si>
  <si>
    <t>JN12077</t>
  </si>
  <si>
    <t>21/10/2025</t>
  </si>
  <si>
    <t>JN12035</t>
  </si>
  <si>
    <t>JN12008</t>
  </si>
  <si>
    <t>22/10/2025</t>
  </si>
  <si>
    <t>JN12009</t>
  </si>
  <si>
    <t>JN11999</t>
  </si>
  <si>
    <t>JN11993</t>
  </si>
  <si>
    <t>JN12078</t>
  </si>
  <si>
    <t>JN12048</t>
  </si>
  <si>
    <t>JN12057</t>
  </si>
  <si>
    <t>BANK TRANSFER-SAMIR</t>
  </si>
  <si>
    <t>JN12059</t>
  </si>
  <si>
    <t>BANK TRANSFER-ASHIK</t>
  </si>
  <si>
    <t>23/10/2025</t>
  </si>
  <si>
    <t>JN12079</t>
  </si>
  <si>
    <t>24/10/2025</t>
  </si>
  <si>
    <t>JN12036</t>
  </si>
  <si>
    <t>JN12016</t>
  </si>
  <si>
    <t>JN12105</t>
  </si>
  <si>
    <t>25/10/2025</t>
  </si>
  <si>
    <t>JN12106</t>
  </si>
  <si>
    <t>JN11994</t>
  </si>
  <si>
    <t>26/10/2025</t>
  </si>
  <si>
    <t>JN12023</t>
  </si>
  <si>
    <t>27/10/2025</t>
  </si>
  <si>
    <t>JN11925</t>
  </si>
  <si>
    <t>Bank-POS-Akmal-</t>
  </si>
  <si>
    <t>JN12010</t>
  </si>
  <si>
    <t>JN12037</t>
  </si>
  <si>
    <t>JN12029</t>
  </si>
  <si>
    <t>BANK TRANSFER-AKMAL-14205.57</t>
  </si>
  <si>
    <t>JN12080</t>
  </si>
  <si>
    <t>JN12049</t>
  </si>
  <si>
    <t>JN12050</t>
  </si>
  <si>
    <t>JN12041</t>
  </si>
  <si>
    <t>JN12047</t>
  </si>
  <si>
    <t>28/10/2025</t>
  </si>
  <si>
    <t>JN12051</t>
  </si>
  <si>
    <t>JN12053</t>
  </si>
  <si>
    <t>JN12086</t>
  </si>
  <si>
    <t>JN12107</t>
  </si>
  <si>
    <t>BANK pos-test</t>
  </si>
  <si>
    <t>JN12098</t>
  </si>
  <si>
    <t>-CHNL: SA0880000500608010000227 /99/Others 19000000241405 RJHISARI Tawuniya EXTN980253011OB5</t>
  </si>
  <si>
    <t>JN12052</t>
  </si>
  <si>
    <t>JN12081</t>
  </si>
  <si>
    <t>JN12039</t>
  </si>
  <si>
    <t>JN12026</t>
  </si>
  <si>
    <t>JN12011</t>
  </si>
  <si>
    <t>JN11995</t>
  </si>
  <si>
    <t>JN11926</t>
  </si>
  <si>
    <t>JN11630</t>
  </si>
  <si>
    <t>Bank-Cheque-Dhiya</t>
  </si>
  <si>
    <t>29/10/2025</t>
  </si>
  <si>
    <t>JN11927</t>
  </si>
  <si>
    <t>EXP5870</t>
  </si>
  <si>
    <t>for bank reconciliationT24 INST. 4 LOANFLEET00001041 T24Batch-DYNA-</t>
  </si>
  <si>
    <t>for bank reconciliation-T24 INST. 4 LOANFLEET00001041 T24Batch-DYNA-</t>
  </si>
  <si>
    <t>JN12017</t>
  </si>
  <si>
    <t>JN12027</t>
  </si>
  <si>
    <t>JN12108</t>
  </si>
  <si>
    <t>JN12109</t>
  </si>
  <si>
    <t>BANK POS-SHAMEER RIYADH-19948.89</t>
  </si>
  <si>
    <t>JN12099</t>
  </si>
  <si>
    <t>JN12100</t>
  </si>
  <si>
    <t>JN12087</t>
  </si>
  <si>
    <t>BANK POS-NIDHEESH</t>
  </si>
  <si>
    <t>JN12060</t>
  </si>
  <si>
    <t>JN12055</t>
  </si>
  <si>
    <t>BANK TRANSFER-SHABEER</t>
  </si>
  <si>
    <t>JN12056</t>
  </si>
  <si>
    <t>JN12028</t>
  </si>
  <si>
    <t>JN12025</t>
  </si>
  <si>
    <t>JN12040</t>
  </si>
  <si>
    <t>JN12038</t>
  </si>
  <si>
    <t>JN11928</t>
  </si>
  <si>
    <t>JN11647</t>
  </si>
  <si>
    <t>JN11648</t>
  </si>
  <si>
    <t>Bank-POS-Jaseel</t>
  </si>
  <si>
    <t>31/10/2025</t>
  </si>
  <si>
    <t>JN11996</t>
  </si>
  <si>
    <t>JN12058</t>
  </si>
  <si>
    <t>JN12088</t>
  </si>
  <si>
    <t>BANK POS-SHABEER</t>
  </si>
  <si>
    <t>JN12089</t>
  </si>
  <si>
    <t>BANK POS-ASHIK</t>
  </si>
  <si>
    <t>JN12101</t>
  </si>
  <si>
    <t>CUSTOMER OUTSTANDING - OCT-2025</t>
  </si>
  <si>
    <t>Nidheesh</t>
  </si>
  <si>
    <t>Jaseel</t>
  </si>
  <si>
    <t>Bassam</t>
  </si>
  <si>
    <t>salman</t>
  </si>
  <si>
    <t>CUST437</t>
  </si>
  <si>
    <t>Aswaq sahab alhadid</t>
  </si>
  <si>
    <t>CUST565</t>
  </si>
  <si>
    <t>Sahab mart</t>
  </si>
  <si>
    <t>CUST1967</t>
  </si>
  <si>
    <t>Thanveenath hoor sahadath</t>
  </si>
  <si>
    <t>CUST2139</t>
  </si>
  <si>
    <t>Sama alsaada foodstuff markets</t>
  </si>
  <si>
    <t>CUST183</t>
  </si>
  <si>
    <t>Al guffa sulthaniya</t>
  </si>
  <si>
    <t>CUST846</t>
  </si>
  <si>
    <t>JOULE TRANDING COMPANY</t>
  </si>
  <si>
    <t>CUST3553</t>
  </si>
  <si>
    <t>Sallath thareek (world mart)</t>
  </si>
  <si>
    <t>CUST5855</t>
  </si>
  <si>
    <t>Sallah jawtha</t>
  </si>
  <si>
    <t>CUST6174</t>
  </si>
  <si>
    <t>Kayan Al Batha markets</t>
  </si>
  <si>
    <t>CUST10</t>
  </si>
  <si>
    <t>Wahat AL reef supermarket</t>
  </si>
  <si>
    <t>CUST2344</t>
  </si>
  <si>
    <t>Yahya shopping center</t>
  </si>
  <si>
    <t>CUST835</t>
  </si>
  <si>
    <t>ALAM TOOTH</t>
  </si>
  <si>
    <t>CUST6170</t>
  </si>
  <si>
    <t>muasasat muhamis wamatahin nukhbat alshuyukh</t>
  </si>
  <si>
    <t>CUST1360</t>
  </si>
  <si>
    <t>Hala mart</t>
  </si>
  <si>
    <t>CUST2717</t>
  </si>
  <si>
    <t>labayh al khair market</t>
  </si>
  <si>
    <t>CUST3267</t>
  </si>
  <si>
    <t>Thanvinath hatha junub</t>
  </si>
  <si>
    <t>CUST4418</t>
  </si>
  <si>
    <t>AL MIRASH SAUDI TRADING COMPANY WHOLESALE AZIZIYA STREET DARALBAYDHA</t>
  </si>
  <si>
    <t>CUST4922</t>
  </si>
  <si>
    <t>MOSASA QIMMAHTH QADHAYA ATHIQA WHOLESALE</t>
  </si>
  <si>
    <t>CUST2886</t>
  </si>
  <si>
    <t>BIN KHAMIS International trading</t>
  </si>
  <si>
    <t>CUST3224</t>
  </si>
  <si>
    <t>NAHLA ALDAWA</t>
  </si>
  <si>
    <t>CUST3396</t>
  </si>
  <si>
    <t>RAWAE SWEET</t>
  </si>
  <si>
    <t>CUST3463</t>
  </si>
  <si>
    <t>IMTHIYAZ AL vuqood</t>
  </si>
  <si>
    <t>CUST3570</t>
  </si>
  <si>
    <t>Salath al gadha al awwal</t>
  </si>
  <si>
    <t>CUST3870</t>
  </si>
  <si>
    <t>ASWAK KARAM MUSTHAHLAK</t>
  </si>
  <si>
    <t>CUST1471</t>
  </si>
  <si>
    <t>Salal rabeeh company promo mart -2</t>
  </si>
  <si>
    <t>CUST1476</t>
  </si>
  <si>
    <t>Salal rabeeh company promo mart (anoor)</t>
  </si>
  <si>
    <t>CUST3826</t>
  </si>
  <si>
    <t>Kyan Market</t>
  </si>
  <si>
    <t>CUST4058</t>
  </si>
  <si>
    <t>WASM TOP TRADING COMPANY (LILLO MART)</t>
  </si>
  <si>
    <t>CUST1970</t>
  </si>
  <si>
    <t>Bounty Head Office Toyota 1</t>
  </si>
  <si>
    <t>CUST4149</t>
  </si>
  <si>
    <t>Circle K (khobar)</t>
  </si>
  <si>
    <t>CUST5980</t>
  </si>
  <si>
    <t>Family Imprint (Azeeziya)</t>
  </si>
  <si>
    <t>CUST5988</t>
  </si>
  <si>
    <t>Family Imprint (Rakah)</t>
  </si>
  <si>
    <t>CUST6029</t>
  </si>
  <si>
    <t>Family Imprint (Qatif)</t>
  </si>
  <si>
    <t>CUST6104</t>
  </si>
  <si>
    <t>Shareekth al wisaam kawm al thijariyath</t>
  </si>
  <si>
    <t>ADVANCE RECONCILIATION - SEP-2025</t>
  </si>
  <si>
    <t>17/08/2025</t>
  </si>
  <si>
    <t>EXP5588</t>
  </si>
  <si>
    <t>SHAFI VEHICLE REPAIR ADVANCE-</t>
  </si>
  <si>
    <t>25/09/2025</t>
  </si>
  <si>
    <t>JN11292</t>
  </si>
  <si>
    <t>KHALID VEHICLE REPAIR ADVANCE</t>
  </si>
  <si>
    <t>MEDICAL EXP-ADVANCE-MUNEESH-</t>
  </si>
  <si>
    <t>PURCHASE ADVANCE SABARI-</t>
  </si>
  <si>
    <t>SUSPENSE RECONCILIATION - SEP-2025</t>
  </si>
  <si>
    <t>27/07/2025</t>
  </si>
  <si>
    <t>JN10469</t>
  </si>
  <si>
    <t>BANK TRANSFER NOT IDENTIFIED</t>
  </si>
  <si>
    <t>28/07/2025</t>
  </si>
  <si>
    <t>JN10466</t>
  </si>
  <si>
    <t>BANK POS-SHAFI</t>
  </si>
  <si>
    <t>31/07/2025</t>
  </si>
  <si>
    <t>JN10467</t>
  </si>
  <si>
    <t>JN10871</t>
  </si>
  <si>
    <t>JN10878</t>
  </si>
  <si>
    <t>JN10872</t>
  </si>
  <si>
    <t>BANK TRANSFER-SHAFI</t>
  </si>
  <si>
    <t>20/08/2025</t>
  </si>
  <si>
    <t>JN10844</t>
  </si>
  <si>
    <t>23/08/2025</t>
  </si>
  <si>
    <t>JN10845</t>
  </si>
  <si>
    <t>24/08/2025</t>
  </si>
  <si>
    <t>JN10879</t>
  </si>
  <si>
    <t>JN10874</t>
  </si>
  <si>
    <t>JN10840</t>
  </si>
  <si>
    <t>BANK POS-AKMAL</t>
  </si>
  <si>
    <t>JN11253</t>
  </si>
  <si>
    <t>BANK TRANSFER-KHALID</t>
  </si>
  <si>
    <t>JN11245</t>
  </si>
  <si>
    <t>JN11254</t>
  </si>
  <si>
    <t>JN11297</t>
  </si>
  <si>
    <t>BANK POS-SHAMEER-RIYADH</t>
  </si>
  <si>
    <t>JN11246</t>
  </si>
  <si>
    <t>JN11298</t>
  </si>
  <si>
    <t>JN11291</t>
  </si>
  <si>
    <t>BANK TRANSFER-SHAMEER RIYADH</t>
  </si>
  <si>
    <t>JN11299</t>
  </si>
  <si>
    <t>JN11361</t>
  </si>
  <si>
    <t>BANK TRANSFER-ARSHADH</t>
  </si>
  <si>
    <t>JN11308</t>
  </si>
  <si>
    <t>BANK POS-SHAMEER HAFAR</t>
  </si>
  <si>
    <t>JN11310</t>
  </si>
  <si>
    <t>JN11247</t>
  </si>
  <si>
    <t>JN11255</t>
  </si>
  <si>
    <t>JN11230</t>
  </si>
  <si>
    <t>JN11240</t>
  </si>
  <si>
    <t>BANK TRANSFER -SHAFI</t>
  </si>
  <si>
    <t>JN11300</t>
  </si>
  <si>
    <t>JN11256</t>
  </si>
  <si>
    <t>JN11311</t>
  </si>
  <si>
    <t>15/09/2025</t>
  </si>
  <si>
    <t>JN11301</t>
  </si>
  <si>
    <t>JN11284</t>
  </si>
  <si>
    <t>JN11257</t>
  </si>
  <si>
    <t>16/09/2025</t>
  </si>
  <si>
    <t>JN11249</t>
  </si>
  <si>
    <t>JN11258</t>
  </si>
  <si>
    <t>JN11259</t>
  </si>
  <si>
    <t>JN11231</t>
  </si>
  <si>
    <t>17/09/2025</t>
  </si>
  <si>
    <t>JN11285</t>
  </si>
  <si>
    <t>JN11324</t>
  </si>
  <si>
    <t>BANK TRANSFER-SHAMEER HAFAR</t>
  </si>
  <si>
    <t>JN11302</t>
  </si>
  <si>
    <t>JN11312</t>
  </si>
  <si>
    <t>18/09/2025</t>
  </si>
  <si>
    <t>JN11303</t>
  </si>
  <si>
    <t>JN11250</t>
  </si>
  <si>
    <t>19/09/2025</t>
  </si>
  <si>
    <t>JN11252</t>
  </si>
  <si>
    <t>20/09/2025</t>
  </si>
  <si>
    <t>JN11260</t>
  </si>
  <si>
    <t>JN11313</t>
  </si>
  <si>
    <t>JN11326</t>
  </si>
  <si>
    <t>JN11261</t>
  </si>
  <si>
    <t>JN11262</t>
  </si>
  <si>
    <t>JN11322</t>
  </si>
  <si>
    <t>JN11232</t>
  </si>
  <si>
    <t>JN11266</t>
  </si>
  <si>
    <t>JN11333</t>
  </si>
  <si>
    <t>BANK TRANSFER-AKMAL</t>
  </si>
  <si>
    <t>JN11339</t>
  </si>
  <si>
    <t>23/09/2025</t>
  </si>
  <si>
    <t>JN11321</t>
  </si>
  <si>
    <t>JN11241</t>
  </si>
  <si>
    <t>JN11264</t>
  </si>
  <si>
    <t>24/09/2025</t>
  </si>
  <si>
    <t>JN11242</t>
  </si>
  <si>
    <t>JN11042</t>
  </si>
  <si>
    <t>BANK CHEQUE-DHIYA</t>
  </si>
  <si>
    <t>JN11233</t>
  </si>
  <si>
    <t>BANK PO-SHAFI</t>
  </si>
  <si>
    <t>JN11287</t>
  </si>
  <si>
    <t>JN11327</t>
  </si>
  <si>
    <t>JN11334</t>
  </si>
  <si>
    <t>JN11320</t>
  </si>
  <si>
    <t>JN11314</t>
  </si>
  <si>
    <t>JN11328</t>
  </si>
  <si>
    <t>JN11268</t>
  </si>
  <si>
    <t>JN11047</t>
  </si>
  <si>
    <t>JN11344</t>
  </si>
  <si>
    <t>BANK POS-BASSAM</t>
  </si>
  <si>
    <t>JN11345</t>
  </si>
  <si>
    <t>JN11265</t>
  </si>
  <si>
    <t>JN11319</t>
  </si>
  <si>
    <t>JN11288</t>
  </si>
  <si>
    <t>JN11304</t>
  </si>
  <si>
    <t>JN11316</t>
  </si>
  <si>
    <t>JN11289</t>
  </si>
  <si>
    <t>JN11343</t>
  </si>
  <si>
    <t>JN11364</t>
  </si>
  <si>
    <t>BANK TRANSFER-NIDHEESH</t>
  </si>
  <si>
    <t>JN11362</t>
  </si>
  <si>
    <t>JN11363</t>
  </si>
  <si>
    <t>JN11228</t>
  </si>
  <si>
    <t>BANK POS-DHIYA</t>
  </si>
  <si>
    <t>JN11271</t>
  </si>
  <si>
    <t>JN11235</t>
  </si>
  <si>
    <t>JN11290</t>
  </si>
  <si>
    <t>JN11329</t>
  </si>
  <si>
    <t>JN11340</t>
  </si>
  <si>
    <t>JN11341</t>
  </si>
  <si>
    <t>JN11342</t>
  </si>
  <si>
    <t>JN11305</t>
  </si>
  <si>
    <t>CUSTOMER OUTSTANDING - SEP-2025</t>
  </si>
  <si>
    <t>SALMAN</t>
  </si>
  <si>
    <t>CUST80</t>
  </si>
  <si>
    <t>Jassim Ali AL rasheed central markets</t>
  </si>
  <si>
    <t>CUST201</t>
  </si>
  <si>
    <t>Rainbow for food minimarket</t>
  </si>
  <si>
    <t>CUST515</t>
  </si>
  <si>
    <t>Hoor altamayuz grocery</t>
  </si>
  <si>
    <t>CUST520</t>
  </si>
  <si>
    <t>Ahdaf al asima tradinng Co.</t>
  </si>
  <si>
    <t>CUST583</t>
  </si>
  <si>
    <t>Road mart</t>
  </si>
  <si>
    <t>CUST643</t>
  </si>
  <si>
    <t>Ahdaf al asima trading co.</t>
  </si>
  <si>
    <t>CUST2375</t>
  </si>
  <si>
    <t>Nujoum (q)</t>
  </si>
  <si>
    <t>CUST231</t>
  </si>
  <si>
    <t>Dolphin grocery for foodstuff</t>
  </si>
  <si>
    <t>CUST2294</t>
  </si>
  <si>
    <t>Thamuniyath rukn jawasa</t>
  </si>
  <si>
    <t>CUST1481</t>
  </si>
  <si>
    <t>MAHASEN CENTRAL MARKET</t>
  </si>
  <si>
    <t>CUST5446</t>
  </si>
  <si>
    <t>muhamis zahrat albahr</t>
  </si>
  <si>
    <t>CUST1005</t>
  </si>
  <si>
    <t>Zahrathul bayal market</t>
  </si>
  <si>
    <t>Bin khamis International trading company</t>
  </si>
  <si>
    <t>CUST3895</t>
  </si>
  <si>
    <t>Asrar Al Nahdi</t>
  </si>
  <si>
    <t>NUFOD AL KHAIR MARKETS</t>
  </si>
  <si>
    <t>MERRY NIGHTS FOR SWEETS AND NUTS</t>
  </si>
  <si>
    <t>CUST3868</t>
  </si>
  <si>
    <t>Muhammad aoud jageedhi</t>
  </si>
  <si>
    <t>CUST1952</t>
  </si>
  <si>
    <t>SHERIKKATH MANAFIZ (1)</t>
  </si>
  <si>
    <t>CUST1990</t>
  </si>
  <si>
    <t>BOUNTY(QATIF)</t>
  </si>
  <si>
    <t>CUST2184</t>
  </si>
  <si>
    <t>MAHMASATH AL AFRAH TRADING EST</t>
  </si>
  <si>
    <t>CUST5244</t>
  </si>
  <si>
    <t>QIMMATH BOUNTY JUBAIL WALAD</t>
  </si>
  <si>
    <t>Al. Qaswa Markets. 2</t>
  </si>
  <si>
    <t>Circle K(Fakhrya)</t>
  </si>
  <si>
    <t>CUST5403</t>
  </si>
  <si>
    <t>Amazon Al Rakah Brach</t>
  </si>
  <si>
    <t>CUST5978</t>
  </si>
  <si>
    <t>Family Imprint (Khobar)</t>
  </si>
  <si>
    <t>CUST5788</t>
  </si>
  <si>
    <t>AL HUSSAIN MARKET BADAR STREET SHIFA</t>
  </si>
  <si>
    <t>BANK SUMMARY - AUG-2025</t>
  </si>
  <si>
    <t>ADVANCE RECONCILIATION - AUG-2025</t>
  </si>
  <si>
    <t>EXP5575</t>
  </si>
  <si>
    <t>ADVANCES-</t>
  </si>
  <si>
    <t>30/08/2025</t>
  </si>
  <si>
    <t>EXP5630</t>
  </si>
  <si>
    <t>PURCHASE ADVANCE-SADATH-</t>
  </si>
  <si>
    <t>EXP5631</t>
  </si>
  <si>
    <t>PURCHASE ADVANCE-SABARI-</t>
  </si>
  <si>
    <t>SUSPENSE RECONCILIATION - AUG-2025</t>
  </si>
  <si>
    <t>JN10870</t>
  </si>
  <si>
    <t>JN10833</t>
  </si>
  <si>
    <t>BANK POS-SMAEER HAFAR-2831</t>
  </si>
  <si>
    <t>JN10850</t>
  </si>
  <si>
    <t>JN10876</t>
  </si>
  <si>
    <t>BANK TRANSFER-SAMEER HAFAR</t>
  </si>
  <si>
    <t>JN10834</t>
  </si>
  <si>
    <t>JN10835</t>
  </si>
  <si>
    <t>JN10847</t>
  </si>
  <si>
    <t>18/08/2025</t>
  </si>
  <si>
    <t>JN10836</t>
  </si>
  <si>
    <t>JN10846</t>
  </si>
  <si>
    <t>JN10848</t>
  </si>
  <si>
    <t>JN10660</t>
  </si>
  <si>
    <t>JN10849</t>
  </si>
  <si>
    <t>JN10837</t>
  </si>
  <si>
    <t>28/08/2025</t>
  </si>
  <si>
    <t>JN10838</t>
  </si>
  <si>
    <t>JN10839</t>
  </si>
  <si>
    <t>JN10711</t>
  </si>
  <si>
    <t>JN10843</t>
  </si>
  <si>
    <t>JN10841</t>
  </si>
  <si>
    <t>JN10842</t>
  </si>
  <si>
    <t>JN10875</t>
  </si>
  <si>
    <t>BANK TRANSFER-THOYYIB</t>
  </si>
  <si>
    <t>JN10877</t>
  </si>
  <si>
    <t>ADVANCE RECONCILIATION - JAN-2025</t>
  </si>
  <si>
    <t>status</t>
  </si>
  <si>
    <t>EXP3275</t>
  </si>
  <si>
    <t>CONSTRUCTION WORK ADVANCE RAJENDHRAN-</t>
  </si>
  <si>
    <t>EXP3295</t>
  </si>
  <si>
    <t>TANJI BAO PAYMENT TO BE CHARGED TO BOILING POT-</t>
  </si>
  <si>
    <t>16/05/2024</t>
  </si>
  <si>
    <t>EXP3422</t>
  </si>
  <si>
    <t>sabari-seeds unloading staff refreshment drink-</t>
  </si>
  <si>
    <t>EXP3508</t>
  </si>
  <si>
    <t>AMITHFOOD ADVANCE-SABARI-</t>
  </si>
  <si>
    <t>EXP3683</t>
  </si>
  <si>
    <t>AIR TRANSPORTAION AIR LANKA-</t>
  </si>
  <si>
    <t>EXP3654</t>
  </si>
  <si>
    <t>SIVA RIYADH TRAVELING EXP ADVANCE--</t>
  </si>
  <si>
    <t>EXP3749</t>
  </si>
  <si>
    <t>FUEL ADVANCE-MUNEESH-</t>
  </si>
  <si>
    <t>17/07/2024</t>
  </si>
  <si>
    <t>EXP4088</t>
  </si>
  <si>
    <t>Traffic Violati REF 5366217470-7023706836-TRAFFIC -NIDHEESH-</t>
  </si>
  <si>
    <t>31/07/2024</t>
  </si>
  <si>
    <t>EXP4021</t>
  </si>
  <si>
    <t>FUEL-ADVANCE-NASAR-</t>
  </si>
  <si>
    <t>EXP4074</t>
  </si>
  <si>
    <t>SARIKA TAXI EXP --</t>
  </si>
  <si>
    <t>29/08/2024</t>
  </si>
  <si>
    <t>EXP4267</t>
  </si>
  <si>
    <t>PURCHASE ADVANCE-FAWAS-</t>
  </si>
  <si>
    <t>EXP3255</t>
  </si>
  <si>
    <t>FUEL EXP MUNEESH-</t>
  </si>
  <si>
    <t>EXP4358</t>
  </si>
  <si>
    <t>Advances-Muneesh-</t>
  </si>
  <si>
    <t>25/09/2024</t>
  </si>
  <si>
    <t>EXP4401</t>
  </si>
  <si>
    <t>TRAFFIC-VIOLATIONS-</t>
  </si>
  <si>
    <t>27/10/2024</t>
  </si>
  <si>
    <t>EXP4488</t>
  </si>
  <si>
    <t>SHIRFAN FROM ARSHADH COLLECTION-</t>
  </si>
  <si>
    <t>EXP4499</t>
  </si>
  <si>
    <t>SHIRFAN ADVANCE-</t>
  </si>
  <si>
    <t>18/11/2024</t>
  </si>
  <si>
    <t>EXP4597</t>
  </si>
  <si>
    <t>EXP4637</t>
  </si>
  <si>
    <t>SALMAN FARIZ ADVANCE-GAS PURCHASE-</t>
  </si>
  <si>
    <t>SHIRFAN ADVANCES-SINGLE SOCKET-</t>
  </si>
  <si>
    <t>LED-HALOGEN LAMB-</t>
  </si>
  <si>
    <t>EXP4685</t>
  </si>
  <si>
    <t>NEW STAFF SAFEER BED-</t>
  </si>
  <si>
    <t>NEW STAFF SAFEER PILLOW-</t>
  </si>
  <si>
    <t>15/12/2024</t>
  </si>
  <si>
    <t>EXP4705</t>
  </si>
  <si>
    <t>FOOD EXPENSE ADANCE-shirfan- Nepali man power supply food-</t>
  </si>
  <si>
    <t>16/12/2024</t>
  </si>
  <si>
    <t>JN7768</t>
  </si>
  <si>
    <t>CASH COLLCETION SHORT -KHALID</t>
  </si>
  <si>
    <t>EXP4707</t>
  </si>
  <si>
    <t>KHALID COLLECTION AMOUNT GIVEN TO AYOOB-</t>
  </si>
  <si>
    <t>24/12/2024</t>
  </si>
  <si>
    <t>EXP4745</t>
  </si>
  <si>
    <t>COINS SHORT-ADVANCE-</t>
  </si>
  <si>
    <t>EXP4780</t>
  </si>
  <si>
    <t>PURCHASE ADVANCE-NASAR-</t>
  </si>
  <si>
    <t>EXP4786</t>
  </si>
  <si>
    <t>BAB REPAIR DAMAGE CHANGE-DHIYA ADVANCE-</t>
  </si>
  <si>
    <t>16/01/2025</t>
  </si>
  <si>
    <t>EXP4794</t>
  </si>
  <si>
    <t>EXP4796</t>
  </si>
  <si>
    <t>JHOON PAYMENT-ANSARI-8 HALF HOUR-</t>
  </si>
  <si>
    <t>20/01/2025</t>
  </si>
  <si>
    <t>EXP4797</t>
  </si>
  <si>
    <t>PURCHASE ADVANCE-MUNEESH-</t>
  </si>
  <si>
    <t>21/01/2025</t>
  </si>
  <si>
    <t>EXP4798</t>
  </si>
  <si>
    <t>22/01/2025</t>
  </si>
  <si>
    <t>EXP4799</t>
  </si>
  <si>
    <t>PURCHASE ADVANCE-KHUDAIR-</t>
  </si>
  <si>
    <t>25/01/2025</t>
  </si>
  <si>
    <t>EXP4839</t>
  </si>
  <si>
    <t>PURCHASE -ADVANCE-GAS ACCOMODATION-</t>
  </si>
  <si>
    <t>30/01/2025</t>
  </si>
  <si>
    <t>EXP4876</t>
  </si>
  <si>
    <t>ASHOK BAHRAIN ADVANCE-</t>
  </si>
  <si>
    <t>KHUDAIR COINS CHANGE MARKET-</t>
  </si>
  <si>
    <t>CUSTOMER OUTSTANDING - AUG-2025</t>
  </si>
  <si>
    <t>Khalid</t>
  </si>
  <si>
    <t>CUST959</t>
  </si>
  <si>
    <t>Roz madina market</t>
  </si>
  <si>
    <t>Fathiah dawas mohammed swaid minimarket</t>
  </si>
  <si>
    <t>CUST2230</t>
  </si>
  <si>
    <t>Luluat al-ahsa supermarket</t>
  </si>
  <si>
    <t>CUST5894</t>
  </si>
  <si>
    <t>Taibat rafa 3</t>
  </si>
  <si>
    <t>CUST241</t>
  </si>
  <si>
    <t>Moona star foodstuff market</t>
  </si>
  <si>
    <t>CUST550</t>
  </si>
  <si>
    <t>Sharikath imtiyaz wucood lithijariyya</t>
  </si>
  <si>
    <t>CUST5709</t>
  </si>
  <si>
    <t>Rukn sallat al rashdiiah</t>
  </si>
  <si>
    <t>CUST2910</t>
  </si>
  <si>
    <t>Mahamaza hamami kharj</t>
  </si>
  <si>
    <t>CUST3474</t>
  </si>
  <si>
    <t>WARATHATH AL MUSTLAK yanbu street</t>
  </si>
  <si>
    <t>CUST5762</t>
  </si>
  <si>
    <t>MOASHER AL-SHARQ TRADING CO,</t>
  </si>
  <si>
    <t>CUST3704</t>
  </si>
  <si>
    <t>CITY FLOWER Trading Company</t>
  </si>
  <si>
    <t>CUST2385</t>
  </si>
  <si>
    <t>SHERIKKATH AL HASALATH AL KAIFE</t>
  </si>
  <si>
    <t>Hussain Ali Abu Zaid Trade Establishment</t>
  </si>
  <si>
    <t>CUST3970</t>
  </si>
  <si>
    <t>Ola al zad trading company</t>
  </si>
  <si>
    <t>CUST4497</t>
  </si>
  <si>
    <t>Khair Al-Musafir Trading Est</t>
  </si>
  <si>
    <t>CUST4020</t>
  </si>
  <si>
    <t>Al manar supplies [Yanbu]</t>
  </si>
  <si>
    <t>CUST5476</t>
  </si>
  <si>
    <t>Muhasasath maliyah kayf</t>
  </si>
  <si>
    <t>BANK SUMMARY - JAN-2025</t>
  </si>
  <si>
    <t>SUSPENSE RECONCILIATION - JAN-2025</t>
  </si>
  <si>
    <t>JN8160</t>
  </si>
  <si>
    <t>BANK TRANSFER-JASEEL</t>
  </si>
  <si>
    <t>JN8352</t>
  </si>
  <si>
    <t>BANK POS-THOYYIB QASEEM-4533.21</t>
  </si>
  <si>
    <t>JN8379</t>
  </si>
  <si>
    <t>BANK POS-SAMIR-HAFAR-2637</t>
  </si>
  <si>
    <t>JN8404</t>
  </si>
  <si>
    <t>BANK TRANSFER-THOYYIB-QASEEM-5644.15</t>
  </si>
  <si>
    <t>JN8354</t>
  </si>
  <si>
    <t>JN8353</t>
  </si>
  <si>
    <t>JN8408</t>
  </si>
  <si>
    <t>13/01/2025</t>
  </si>
  <si>
    <t>JN8355</t>
  </si>
  <si>
    <t>JN8405</t>
  </si>
  <si>
    <t>BANK TRANSFER-QASEEM THOYYIB-5644.15</t>
  </si>
  <si>
    <t>JN8177</t>
  </si>
  <si>
    <t>15/01/2025</t>
  </si>
  <si>
    <t>JN8356</t>
  </si>
  <si>
    <t>JN8357</t>
  </si>
  <si>
    <t>17/01/2025</t>
  </si>
  <si>
    <t>JN8380</t>
  </si>
  <si>
    <t>JN8384</t>
  </si>
  <si>
    <t>JN8407</t>
  </si>
  <si>
    <t>BANK TRANSFER-SAMIR HAFAR-1817</t>
  </si>
  <si>
    <t>18/01/2025</t>
  </si>
  <si>
    <t>JN8409</t>
  </si>
  <si>
    <t>JN8393</t>
  </si>
  <si>
    <t>BANK TRANSFER-THOYYIB QASEEM-5644.15</t>
  </si>
  <si>
    <t>JN8394</t>
  </si>
  <si>
    <t>BANK TRANSFER-THOYYIB QASEEM</t>
  </si>
  <si>
    <t>JN8385</t>
  </si>
  <si>
    <t>JN8381</t>
  </si>
  <si>
    <t>JN8395</t>
  </si>
  <si>
    <t>JN8396</t>
  </si>
  <si>
    <t>BANK TRANSFER-Thoyyib-Qaseem 5644.15</t>
  </si>
  <si>
    <t>23/01/2025</t>
  </si>
  <si>
    <t>JN8406</t>
  </si>
  <si>
    <t>JN8388</t>
  </si>
  <si>
    <t>BANK POS-SHAREEF RIYADH</t>
  </si>
  <si>
    <t>JN8382</t>
  </si>
  <si>
    <t>JN8358</t>
  </si>
  <si>
    <t>24/01/2025</t>
  </si>
  <si>
    <t>JN8386</t>
  </si>
  <si>
    <t>JN8410</t>
  </si>
  <si>
    <t>JN8237</t>
  </si>
  <si>
    <t>BANK POS-ARSHADH</t>
  </si>
  <si>
    <t>JN8411</t>
  </si>
  <si>
    <t>JN8389</t>
  </si>
  <si>
    <t>JN8397</t>
  </si>
  <si>
    <t>Bank Transfer-Thoyyib-Qaseem 5644.15</t>
  </si>
  <si>
    <t>26/01/2025</t>
  </si>
  <si>
    <t>JN8390</t>
  </si>
  <si>
    <t>JN8383</t>
  </si>
  <si>
    <t>JN8412</t>
  </si>
  <si>
    <t>27/01/2025</t>
  </si>
  <si>
    <t>JN8391</t>
  </si>
  <si>
    <t>JN8387</t>
  </si>
  <si>
    <t>JN8398</t>
  </si>
  <si>
    <t>28/01/2025</t>
  </si>
  <si>
    <t>JN8359</t>
  </si>
  <si>
    <t>JN8307</t>
  </si>
  <si>
    <t>29/01/2025</t>
  </si>
  <si>
    <t>JN8399</t>
  </si>
  <si>
    <t>JN8392</t>
  </si>
  <si>
    <t>JN8363</t>
  </si>
  <si>
    <t>BANK POS-ASHIK-2474.73</t>
  </si>
  <si>
    <t>JN8365</t>
  </si>
  <si>
    <t>BANK TRANSFER-DHIYA</t>
  </si>
  <si>
    <t>JN8413</t>
  </si>
  <si>
    <t>JN8318</t>
  </si>
  <si>
    <t>JN8316</t>
  </si>
  <si>
    <t>31/01/2025</t>
  </si>
  <si>
    <t>JN8364</t>
  </si>
  <si>
    <t>BANK POS-JASEEL</t>
  </si>
  <si>
    <t>CUSTOMER OUTSTANDING - JAN-2025</t>
  </si>
  <si>
    <t>CUSTOMER DETAILS</t>
  </si>
  <si>
    <t>CUST349</t>
  </si>
  <si>
    <t>Al Amana foodstuff market..</t>
  </si>
  <si>
    <t>CUST352</t>
  </si>
  <si>
    <t>Bakala noorain</t>
  </si>
  <si>
    <t>Alemeeshy minimarket</t>
  </si>
  <si>
    <t>CUST1849</t>
  </si>
  <si>
    <t>Mahal imadhi</t>
  </si>
  <si>
    <t>CUST140</t>
  </si>
  <si>
    <t>Sauth AL taraf marketing center</t>
  </si>
  <si>
    <t>CUST171</t>
  </si>
  <si>
    <t>Mustafa AL jawad AL shalian minimarket</t>
  </si>
  <si>
    <t>CUST190</t>
  </si>
  <si>
    <t>Sell sweets wholesale &amp; retail</t>
  </si>
  <si>
    <t>CUST408</t>
  </si>
  <si>
    <t>Yaqeen supermarket</t>
  </si>
  <si>
    <t>CUST456</t>
  </si>
  <si>
    <t>Jawharath salmaniya</t>
  </si>
  <si>
    <t>CUST644</t>
  </si>
  <si>
    <t>Thamveenath liali for foodstuff</t>
  </si>
  <si>
    <t>CUST1677</t>
  </si>
  <si>
    <t>Reben market 2</t>
  </si>
  <si>
    <t>CUST1910</t>
  </si>
  <si>
    <t>Thanveenath ahal dar</t>
  </si>
  <si>
    <t>CUST2469</t>
  </si>
  <si>
    <t>Wissam hamid bin salem al mahri central market</t>
  </si>
  <si>
    <t>CUST3865</t>
  </si>
  <si>
    <t>Ye market</t>
  </si>
  <si>
    <t>CUST2100</t>
  </si>
  <si>
    <t>Thanwenathi Abdul Ali muharya .s</t>
  </si>
  <si>
    <t>CUST2460</t>
  </si>
  <si>
    <t>Mossasa kamsa al seyadi 5.75</t>
  </si>
  <si>
    <t>CUST3516</t>
  </si>
  <si>
    <t>Al shaheen trading company.</t>
  </si>
  <si>
    <t>CUST843</t>
  </si>
  <si>
    <t>Crunchy Sweet Trading Est.</t>
  </si>
  <si>
    <t>south City Trading Company. (Madina cold store)</t>
  </si>
  <si>
    <t>CUST863</t>
  </si>
  <si>
    <t>Qemmat sweets trading Co. hasa (Boundy)</t>
  </si>
  <si>
    <t>CUST2564</t>
  </si>
  <si>
    <t>Mahamas dalath fanjan kahwa</t>
  </si>
  <si>
    <t>CUST3514</t>
  </si>
  <si>
    <t>Sanabel Sweets for sweets and nuts</t>
  </si>
  <si>
    <t>Bal abeyd supermarket</t>
  </si>
  <si>
    <t>Olayan supermarket</t>
  </si>
  <si>
    <t>CUST2775</t>
  </si>
  <si>
    <t>eatzaz</t>
  </si>
  <si>
    <t>CUST2776</t>
  </si>
  <si>
    <t>barakath al musthalak</t>
  </si>
  <si>
    <t>CUST2785</t>
  </si>
  <si>
    <t>athar athul Bahrain</t>
  </si>
  <si>
    <t>CUST2838</t>
  </si>
  <si>
    <t>ZAHRATH SHIFA</t>
  </si>
  <si>
    <t>CUST2840</t>
  </si>
  <si>
    <t>al kaif badar street</t>
  </si>
  <si>
    <t>CUST2862</t>
  </si>
  <si>
    <t>Kaif thahmees</t>
  </si>
  <si>
    <t>CUST3218</t>
  </si>
  <si>
    <t>To market araqa</t>
  </si>
  <si>
    <t>CUST3290</t>
  </si>
  <si>
    <t>HAYAAT QAWAD THUWAIQ</t>
  </si>
  <si>
    <t>CUST3363</t>
  </si>
  <si>
    <t>Jana hayper market tabuk street</t>
  </si>
  <si>
    <t>CUST3372</t>
  </si>
  <si>
    <t>Metro market</t>
  </si>
  <si>
    <t>CUST3427</t>
  </si>
  <si>
    <t>SALE MARKET EXIT 8</t>
  </si>
  <si>
    <t>CUST3523</t>
  </si>
  <si>
    <t>MADHAQ AL SUKARIA NASEEM</t>
  </si>
  <si>
    <t>CUST3551</t>
  </si>
  <si>
    <t>AZHAR AL NAJAZ LABAN THAIF STREET</t>
  </si>
  <si>
    <t>NAZAR AL OBAID COMPANY DHEERA</t>
  </si>
  <si>
    <t>CUST3597</t>
  </si>
  <si>
    <t>PETRO MARHABAS KHURAIS ROAD</t>
  </si>
  <si>
    <t>CUST3614</t>
  </si>
  <si>
    <t>MADEENATHUL JAUHARA YORMUKK</t>
  </si>
  <si>
    <t>CUST3733</t>
  </si>
  <si>
    <t>ATHAA KENZA AL KHAIR COMPANY</t>
  </si>
  <si>
    <t>CUST3744</t>
  </si>
  <si>
    <t>CONSUMER SPRINGS AZIZIYA STREET</t>
  </si>
  <si>
    <t>CUST3225</t>
  </si>
  <si>
    <t>Mubarak al karbi bakala</t>
  </si>
  <si>
    <t>CUST3304</t>
  </si>
  <si>
    <t>TAMUINATH aamariyya</t>
  </si>
  <si>
    <t>CUST3507</t>
  </si>
  <si>
    <t>Bakala mumaiz</t>
  </si>
  <si>
    <t>CUST3512</t>
  </si>
  <si>
    <t>Dorath dallath Joori</t>
  </si>
  <si>
    <t>CUST3572</t>
  </si>
  <si>
    <t>Zaad Al wakth supermarket</t>
  </si>
  <si>
    <t>CUST3603</t>
  </si>
  <si>
    <t>Gazaelle store food market</t>
  </si>
  <si>
    <t>MIRASH (4) (Nahla oposit)</t>
  </si>
  <si>
    <t>MIRASH(2)</t>
  </si>
  <si>
    <t>MIRASH (1)</t>
  </si>
  <si>
    <t>CUST3242</t>
  </si>
  <si>
    <t>Qimam Al hala trading est</t>
  </si>
  <si>
    <t>CUST3697</t>
  </si>
  <si>
    <t>Mukadhi cold store l.l.c</t>
  </si>
  <si>
    <t>BANK SUMMARY - FEB-2025</t>
  </si>
  <si>
    <t>ADVANCE RECONCILIATION - FEB-2025</t>
  </si>
  <si>
    <t>JN8432</t>
  </si>
  <si>
    <t>COLLECTION SHORT-KHALID</t>
  </si>
  <si>
    <t>EXP4891</t>
  </si>
  <si>
    <t>NEW ROOM BED,IRON BOX,KITCHEN ITEMS,ETC EXP-</t>
  </si>
  <si>
    <t>13/02/2025</t>
  </si>
  <si>
    <t>EXP4905</t>
  </si>
  <si>
    <t>SHIRFAN ADVANCES-COLLECTION-</t>
  </si>
  <si>
    <t>20/02/2025</t>
  </si>
  <si>
    <t>EXP4938</t>
  </si>
  <si>
    <t>23/02/2025</t>
  </si>
  <si>
    <t>EXP4940</t>
  </si>
  <si>
    <t>FUEL-ADVANCE-AKMAL-</t>
  </si>
  <si>
    <t>27/02/2025</t>
  </si>
  <si>
    <t>EXP4983</t>
  </si>
  <si>
    <t>PURCHASE ADVANCE -ASLAM-</t>
  </si>
  <si>
    <t>JN8707</t>
  </si>
  <si>
    <t>COINS MARKET-KHUDAIR</t>
  </si>
  <si>
    <t>SUSPENSE RECONCILIATION - FEB-2025</t>
  </si>
  <si>
    <t>JN8697</t>
  </si>
  <si>
    <t>15/02/2025</t>
  </si>
  <si>
    <t>JN8698</t>
  </si>
  <si>
    <t>17/02/2025</t>
  </si>
  <si>
    <t>JN8679</t>
  </si>
  <si>
    <t>19/02/2025</t>
  </si>
  <si>
    <t>JN8699</t>
  </si>
  <si>
    <t>JN8700</t>
  </si>
  <si>
    <t>JN8680</t>
  </si>
  <si>
    <t>BANK POS-QASEEM</t>
  </si>
  <si>
    <t>JN8681</t>
  </si>
  <si>
    <t>JN8682</t>
  </si>
  <si>
    <t>22/02/2025</t>
  </si>
  <si>
    <t>JN8701</t>
  </si>
  <si>
    <t>JN8703</t>
  </si>
  <si>
    <t>JN8683</t>
  </si>
  <si>
    <t>24/02/2025</t>
  </si>
  <si>
    <t>JN8684</t>
  </si>
  <si>
    <t>JN8704</t>
  </si>
  <si>
    <t>JN8687</t>
  </si>
  <si>
    <t>BANK POS-SHAMEER</t>
  </si>
  <si>
    <t>26/02/2025</t>
  </si>
  <si>
    <t>JN8685</t>
  </si>
  <si>
    <t>JN8686</t>
  </si>
  <si>
    <t>JN8693</t>
  </si>
  <si>
    <t>JN8694</t>
  </si>
  <si>
    <t>JN8695</t>
  </si>
  <si>
    <t>BANK POS-NOT IDENTIFED</t>
  </si>
  <si>
    <t>JN8729</t>
  </si>
  <si>
    <t>JN8730</t>
  </si>
  <si>
    <t>JN8720</t>
  </si>
  <si>
    <t>JN8721</t>
  </si>
  <si>
    <t>JN8722</t>
  </si>
  <si>
    <t>JN8723</t>
  </si>
  <si>
    <t>JN8724</t>
  </si>
  <si>
    <t>BANK POS-SADATH</t>
  </si>
  <si>
    <t>JN8688</t>
  </si>
  <si>
    <t>JN8677</t>
  </si>
  <si>
    <t>BANK TRANSFER-SADATH</t>
  </si>
  <si>
    <t>28/02/2025</t>
  </si>
  <si>
    <t>JN8725</t>
  </si>
  <si>
    <t>JN8726</t>
  </si>
  <si>
    <t>JN8727</t>
  </si>
  <si>
    <t>JN8728</t>
  </si>
  <si>
    <t>EXP4993</t>
  </si>
  <si>
    <t>Installment Payment FOR NEW SALES VEHICLE HIACE-</t>
  </si>
  <si>
    <t>JN8328</t>
  </si>
  <si>
    <t>BANK POS-THOYYIB</t>
  </si>
  <si>
    <t>JN8731</t>
  </si>
  <si>
    <t>JN8732</t>
  </si>
  <si>
    <t>Ashik</t>
  </si>
  <si>
    <t>CUST56</t>
  </si>
  <si>
    <t>Nour al zahraa supermarket</t>
  </si>
  <si>
    <t>Joule Market</t>
  </si>
  <si>
    <t>CUST1640</t>
  </si>
  <si>
    <t>Aswaq sallath thareeq 3</t>
  </si>
  <si>
    <t>Salal rabeeh company promo mart -3</t>
  </si>
  <si>
    <t>CUST1762</t>
  </si>
  <si>
    <t>Art mart</t>
  </si>
  <si>
    <t>CUST3270</t>
  </si>
  <si>
    <t>Nice day</t>
  </si>
  <si>
    <t>CUST3920</t>
  </si>
  <si>
    <t>ABNA ALI MUHAMMAD FOOD STORE COMPANY BADIYA EXIT 30</t>
  </si>
  <si>
    <t>SAMIR</t>
  </si>
  <si>
    <t>CUST1935</t>
  </si>
  <si>
    <t>MANAFIZ (halaweyath)</t>
  </si>
  <si>
    <t>CUST2552</t>
  </si>
  <si>
    <t>Basmat Al shareek trading company</t>
  </si>
  <si>
    <t>CUST3094</t>
  </si>
  <si>
    <t>Salman ARS</t>
  </si>
  <si>
    <t>CUST2618</t>
  </si>
  <si>
    <t>MUBARAK supply</t>
  </si>
  <si>
    <t>CUST4038</t>
  </si>
  <si>
    <t>Sanabel Lama Trading Est</t>
  </si>
  <si>
    <t>BANK SUMMARY - MAR-2025</t>
  </si>
  <si>
    <t>ADVANCE RECONCILIATION - MAR-2025</t>
  </si>
  <si>
    <t>EXP5005</t>
  </si>
  <si>
    <t>JHOON FOOD ADVANCE-</t>
  </si>
  <si>
    <t>19/03/2025</t>
  </si>
  <si>
    <t>EXP5035</t>
  </si>
  <si>
    <t>ADVANCE FOR STORAGE TANK WORK-LOUD CELL-SUSHI-</t>
  </si>
  <si>
    <t>20/03/2025</t>
  </si>
  <si>
    <t>EXP5036</t>
  </si>
  <si>
    <t>26/03/2025</t>
  </si>
  <si>
    <t>EXP5052</t>
  </si>
  <si>
    <t>SADATH VEHICLE RIYADH PAINTING WORK-</t>
  </si>
  <si>
    <t>27/03/2025</t>
  </si>
  <si>
    <t>EXP5054</t>
  </si>
  <si>
    <t>29/03/2025</t>
  </si>
  <si>
    <t>EXP5055</t>
  </si>
  <si>
    <t>COINS CHANGE -BASSAM-</t>
  </si>
  <si>
    <t>SUSPENSE RECONCILIATION - MAR-2025</t>
  </si>
  <si>
    <t>JN9047</t>
  </si>
  <si>
    <t>Installment Payment FOR VEHICLE</t>
  </si>
  <si>
    <t>JN9151</t>
  </si>
  <si>
    <t>JN9164</t>
  </si>
  <si>
    <t>14/03/2025</t>
  </si>
  <si>
    <t>JN9056</t>
  </si>
  <si>
    <t>15/03/2025</t>
  </si>
  <si>
    <t>JN9057</t>
  </si>
  <si>
    <t>16/03/2025</t>
  </si>
  <si>
    <t>JN9066</t>
  </si>
  <si>
    <t>JN9058</t>
  </si>
  <si>
    <t>JN9059</t>
  </si>
  <si>
    <t>18/03/2025</t>
  </si>
  <si>
    <t>JN9060</t>
  </si>
  <si>
    <t>JN9072</t>
  </si>
  <si>
    <t>JN9076</t>
  </si>
  <si>
    <t>JN9166</t>
  </si>
  <si>
    <t>JN9061</t>
  </si>
  <si>
    <t>21/03/2025</t>
  </si>
  <si>
    <t>JN9079</t>
  </si>
  <si>
    <t>JN9159</t>
  </si>
  <si>
    <t>BANK TRANSFER-SHAREEF(8189)</t>
  </si>
  <si>
    <t>22/03/2025</t>
  </si>
  <si>
    <t>JN8951</t>
  </si>
  <si>
    <t>JN9073</t>
  </si>
  <si>
    <t>23/03/2025</t>
  </si>
  <si>
    <t>JN9062</t>
  </si>
  <si>
    <t>24/03/2025</t>
  </si>
  <si>
    <t>JN9063</t>
  </si>
  <si>
    <t>BANK POS-SHAREEFBANK POS-SHAREEF</t>
  </si>
  <si>
    <t>25/03/2025</t>
  </si>
  <si>
    <t>JN9074</t>
  </si>
  <si>
    <t>JN9165</t>
  </si>
  <si>
    <t>JN9083</t>
  </si>
  <si>
    <t>BANK POS-SHAMEER-1234</t>
  </si>
  <si>
    <t>JN9064</t>
  </si>
  <si>
    <t>JN9098</t>
  </si>
  <si>
    <t>JN9160</t>
  </si>
  <si>
    <t>JN9162</t>
  </si>
  <si>
    <t>JN9158</t>
  </si>
  <si>
    <t>JN9027</t>
  </si>
  <si>
    <t>28/03/2025</t>
  </si>
  <si>
    <t>JN9152</t>
  </si>
  <si>
    <t>JN9153</t>
  </si>
  <si>
    <t>JN9161</t>
  </si>
  <si>
    <t>EXP5072</t>
  </si>
  <si>
    <t>for bank reconciliation-Installment Payment VEHICLE-</t>
  </si>
  <si>
    <t>for bank reconciliation-IInstallment Payment VEHICLE-</t>
  </si>
  <si>
    <t>JN9075</t>
  </si>
  <si>
    <t>JN9084</t>
  </si>
  <si>
    <t>JN9104</t>
  </si>
  <si>
    <t>BANK TRANSFER-BASSAM</t>
  </si>
  <si>
    <t>JN9105</t>
  </si>
  <si>
    <t>JN9154</t>
  </si>
  <si>
    <t>BANK TRANSFER-BASSAM-1043.01</t>
  </si>
  <si>
    <t>30/03/2025</t>
  </si>
  <si>
    <t>JN9103</t>
  </si>
  <si>
    <t>JN9094</t>
  </si>
  <si>
    <t>JN9091</t>
  </si>
  <si>
    <t>31/03/2025</t>
  </si>
  <si>
    <t>JN9097</t>
  </si>
  <si>
    <t>JN9155</t>
  </si>
  <si>
    <t>BANK TRANSFER-BASSAM-</t>
  </si>
  <si>
    <t>JN9156</t>
  </si>
  <si>
    <t>JN9157</t>
  </si>
  <si>
    <t>BANK CHARGES FOR TRANSFER</t>
  </si>
  <si>
    <t>CUSTOMER OUTSTANDING - MAR-2025</t>
  </si>
  <si>
    <t>CUST4</t>
  </si>
  <si>
    <t>Sharikkath Aswak petro AL markaziyathh</t>
  </si>
  <si>
    <t>CUST232</t>
  </si>
  <si>
    <t>Customer for food minimarket</t>
  </si>
  <si>
    <t>CUST2360</t>
  </si>
  <si>
    <t>Bab AL Rayyan Central markets</t>
  </si>
  <si>
    <t>Thamuniyath Hassan</t>
  </si>
  <si>
    <t>CUST670</t>
  </si>
  <si>
    <t>Bab al deira grocery for foodstuff</t>
  </si>
  <si>
    <t>CUST2138</t>
  </si>
  <si>
    <t>Al mansoob corner grocery for foodstuff</t>
  </si>
  <si>
    <t>CUST3849</t>
  </si>
  <si>
    <t>Yemmart</t>
  </si>
  <si>
    <t>CUST3898</t>
  </si>
  <si>
    <t>Grocery afq athaweel for foodstuff</t>
  </si>
  <si>
    <t>CUST2779</t>
  </si>
  <si>
    <t>Anwar</t>
  </si>
  <si>
    <t>CUST3400</t>
  </si>
  <si>
    <t>Qalb jawahar nadeem</t>
  </si>
  <si>
    <t>CUST2878</t>
  </si>
  <si>
    <t>Wadha market</t>
  </si>
  <si>
    <t>CUST3148</t>
  </si>
  <si>
    <t>ASWAK WASAMAL HALEEJ LIL MUAAD</t>
  </si>
  <si>
    <t>CUST3362</t>
  </si>
  <si>
    <t>NAIF SHAMRI</t>
  </si>
  <si>
    <t>CUST4117</t>
  </si>
  <si>
    <t>SHAREEKATH IKTHIFAAG ALBALAD</t>
  </si>
  <si>
    <t>CUST4131</t>
  </si>
  <si>
    <t>TAMUINATH AZHAAR RABEEH</t>
  </si>
  <si>
    <t>CUST4003</t>
  </si>
  <si>
    <t>Sandalos central market</t>
  </si>
  <si>
    <t>BANK SUMMARY - APR-2025</t>
  </si>
  <si>
    <t>ADVANCE RECONCILIATION - APR-2025</t>
  </si>
  <si>
    <t>EXP5076</t>
  </si>
  <si>
    <t>DONATION ADVANCE-NIDHEESH-</t>
  </si>
  <si>
    <t>EXP5079</t>
  </si>
  <si>
    <t>VEHICLE SERVICE-SADATH VEHICLE-</t>
  </si>
  <si>
    <t>VEHICLE SERVICE-ARSHADH VEHICLE-</t>
  </si>
  <si>
    <t>VEHICLE SERVICE-ASHIK VEHICLE-</t>
  </si>
  <si>
    <t>VEHICLE SERVICE-SAMIR VEHICLE-</t>
  </si>
  <si>
    <t>VEHICLE SERVICE-NIDHEESHVEHICLE-</t>
  </si>
  <si>
    <t>EXP5080</t>
  </si>
  <si>
    <t>SHAREEF-RIYADH-ADVANCE-</t>
  </si>
  <si>
    <t>EXP5092</t>
  </si>
  <si>
    <t>ADVANCE-KOYA-NIDHEESH COLLECTION-</t>
  </si>
  <si>
    <t>EXP5095</t>
  </si>
  <si>
    <t>PURCHASE ADVANCE-JAMSHADH-</t>
  </si>
  <si>
    <t>13/04/2025</t>
  </si>
  <si>
    <t>JN9231</t>
  </si>
  <si>
    <t>NEW BUILDING SANDWITCH PANNEL-WORK ADVANCE PAYMENT</t>
  </si>
  <si>
    <t>24/04/2025</t>
  </si>
  <si>
    <t>EXP5135</t>
  </si>
  <si>
    <t>26/04/2025</t>
  </si>
  <si>
    <t>EXP5137</t>
  </si>
  <si>
    <t>PURCHASE ORDER FOR SAFETY EQUIPMENT</t>
  </si>
  <si>
    <t>27/04/2025</t>
  </si>
  <si>
    <t>EXP5138</t>
  </si>
  <si>
    <t>baycity advance-</t>
  </si>
  <si>
    <t>EXP5143</t>
  </si>
  <si>
    <t>ADVANCE-THOYYIB</t>
  </si>
  <si>
    <t>FUEL-ADVANCE-SABARI-</t>
  </si>
  <si>
    <t>SUSPENSE RECONCILIATION - APR-2025</t>
  </si>
  <si>
    <t>JN9441</t>
  </si>
  <si>
    <t>JN9411</t>
  </si>
  <si>
    <t>BANK POS-SHAMEER-5871</t>
  </si>
  <si>
    <t>JN9443</t>
  </si>
  <si>
    <t>JN9419</t>
  </si>
  <si>
    <t>BANK TRANSFER-SHAMEER HAFAR-5260</t>
  </si>
  <si>
    <t>JN9445</t>
  </si>
  <si>
    <t>JN9412</t>
  </si>
  <si>
    <t>JN9418</t>
  </si>
  <si>
    <t>JN9426</t>
  </si>
  <si>
    <t>BANK TRANSFER-shareef</t>
  </si>
  <si>
    <t>JN9448</t>
  </si>
  <si>
    <t>15/04/2025</t>
  </si>
  <si>
    <t>JN9413</t>
  </si>
  <si>
    <t>JN9428</t>
  </si>
  <si>
    <t>JN9449</t>
  </si>
  <si>
    <t>17/04/2025</t>
  </si>
  <si>
    <t>JN9420</t>
  </si>
  <si>
    <t>19/04/2025</t>
  </si>
  <si>
    <t>JN9450</t>
  </si>
  <si>
    <t>JN9453</t>
  </si>
  <si>
    <t>21/04/2025</t>
  </si>
  <si>
    <t>JN9423</t>
  </si>
  <si>
    <t>BANK TRANSFER-KHALID-959.94</t>
  </si>
  <si>
    <t>JN9424</t>
  </si>
  <si>
    <t>JN9414</t>
  </si>
  <si>
    <t>22/04/2025</t>
  </si>
  <si>
    <t>JN9430</t>
  </si>
  <si>
    <t>BANK POS-KHALID-2002</t>
  </si>
  <si>
    <t>25/04/2025</t>
  </si>
  <si>
    <t>JN9415</t>
  </si>
  <si>
    <t>JN9431</t>
  </si>
  <si>
    <t>JN9322</t>
  </si>
  <si>
    <t>JN9432</t>
  </si>
  <si>
    <t>JN9427</t>
  </si>
  <si>
    <t>JN9454</t>
  </si>
  <si>
    <t>28/04/2025</t>
  </si>
  <si>
    <t>JN9429</t>
  </si>
  <si>
    <t>JN9435</t>
  </si>
  <si>
    <t>JN9421</t>
  </si>
  <si>
    <t>JN9416</t>
  </si>
  <si>
    <t>JN9434</t>
  </si>
  <si>
    <t>JN9456</t>
  </si>
  <si>
    <t>JN9457</t>
  </si>
  <si>
    <t>30/04/2025</t>
  </si>
  <si>
    <t>JN9436</t>
  </si>
  <si>
    <t>BANK POS-NOT IDENTIFIED</t>
  </si>
  <si>
    <t>JN9417</t>
  </si>
  <si>
    <t>JN9422</t>
  </si>
  <si>
    <t>JN9433</t>
  </si>
  <si>
    <t>JN9216</t>
  </si>
  <si>
    <t>JN9375</t>
  </si>
  <si>
    <t>CUSTOMER OUTSTANDING - APR-2025</t>
  </si>
  <si>
    <t>Shareef</t>
  </si>
  <si>
    <t>CUST1957</t>
  </si>
  <si>
    <t>Demarks international co</t>
  </si>
  <si>
    <t>CUST2062</t>
  </si>
  <si>
    <t>Salathi al karama</t>
  </si>
  <si>
    <t>shameer riyadh</t>
  </si>
  <si>
    <t>CUST1349</t>
  </si>
  <si>
    <t>Aswak alnahadiya (24)</t>
  </si>
  <si>
    <t>CUST1514</t>
  </si>
  <si>
    <t>Al saiari market pumb</t>
  </si>
  <si>
    <t>RAAJ AL MUTAGAMLA FOR FOOD PRODUCTS (PROMO3)</t>
  </si>
  <si>
    <t>CUST4398</t>
  </si>
  <si>
    <t>CANTEEN</t>
  </si>
  <si>
    <t>CUST4570</t>
  </si>
  <si>
    <t>DARAAL BAN AL ARABIA COMPANY DHEERA</t>
  </si>
  <si>
    <t>CUST4639</t>
  </si>
  <si>
    <t>SULTHAN TRADING COMPANY BATHA</t>
  </si>
  <si>
    <t>MUHAMMAD RASHEED AL RASHEED TRADING COMPANY</t>
  </si>
  <si>
    <t>CUST4732</t>
  </si>
  <si>
    <t>MUHAMMAD RASHEED AL RASHEED TRADING COMPANY RABUA NO 1</t>
  </si>
  <si>
    <t>CUST3432</t>
  </si>
  <si>
    <t>MANZOOR SUPERMARKET</t>
  </si>
  <si>
    <t>MUSASATH AL GADHA AL MEEZ</t>
  </si>
  <si>
    <t>CUST2945</t>
  </si>
  <si>
    <t>Awlaa al zaad</t>
  </si>
  <si>
    <t>CUST2482</t>
  </si>
  <si>
    <t>SHERIKKATH AL HAJRI FOOD</t>
  </si>
  <si>
    <t>CUST4473</t>
  </si>
  <si>
    <t>Nagni AL-Yarmouk Market</t>
  </si>
  <si>
    <t>CUST4492</t>
  </si>
  <si>
    <t>Al Sanabel Grocery Stores Center</t>
  </si>
  <si>
    <t>CUST4458</t>
  </si>
  <si>
    <t>Aswaak Abukees</t>
  </si>
  <si>
    <t>CUST4459</t>
  </si>
  <si>
    <t>Al Meerah Food</t>
  </si>
  <si>
    <t>CUST4460</t>
  </si>
  <si>
    <t>Thimar Al Jouda Marketing Company</t>
  </si>
  <si>
    <t>CUST4468</t>
  </si>
  <si>
    <t>Dalal Abdullah Al Khahthani</t>
  </si>
  <si>
    <t>CUST4483</t>
  </si>
  <si>
    <t>Arya Mart</t>
  </si>
  <si>
    <t>CUST4489</t>
  </si>
  <si>
    <t>Ibrahim Ahammed Al Ghubaishi super market</t>
  </si>
  <si>
    <t>CUST4491</t>
  </si>
  <si>
    <t>Yara Super Market</t>
  </si>
  <si>
    <t>CUST4498</t>
  </si>
  <si>
    <t>Aswaq City Mart</t>
  </si>
  <si>
    <t>CUST4511</t>
  </si>
  <si>
    <t>Thamveenath Eefa</t>
  </si>
  <si>
    <t>CUST4518</t>
  </si>
  <si>
    <t>Aswaq Mizo</t>
  </si>
  <si>
    <t>CUST4551</t>
  </si>
  <si>
    <t>Seaven Mart</t>
  </si>
  <si>
    <t>CUST4575</t>
  </si>
  <si>
    <t>Arya Mart, Kunfudha</t>
  </si>
  <si>
    <t>CUST4584</t>
  </si>
  <si>
    <t>Lillo Mart, Kunfudha</t>
  </si>
  <si>
    <t>CUST4603</t>
  </si>
  <si>
    <t>Wa-ad corner Super Market</t>
  </si>
  <si>
    <t>CUST4611</t>
  </si>
  <si>
    <t>Al Hazmi Store Gulf Company</t>
  </si>
  <si>
    <t>CUST4634</t>
  </si>
  <si>
    <t>Thamveenath Zad dhabbiyya super market</t>
  </si>
  <si>
    <t>CUST4643</t>
  </si>
  <si>
    <t>Thamveenath Zaman Al sa-ada</t>
  </si>
  <si>
    <t>CUST4690</t>
  </si>
  <si>
    <t>Hyper Hashem</t>
  </si>
  <si>
    <t>CUST4695</t>
  </si>
  <si>
    <t>Aswaq Saalem Al Sai-ary Al thijariyya</t>
  </si>
  <si>
    <t>CUST4734</t>
  </si>
  <si>
    <t>Pro Meed</t>
  </si>
  <si>
    <t>CUST4737</t>
  </si>
  <si>
    <t>Qims and Shem Foodstuff Grocery</t>
  </si>
  <si>
    <t>CUST4784</t>
  </si>
  <si>
    <t>Tharif Al Wadi Super Market</t>
  </si>
  <si>
    <t>CUST4790</t>
  </si>
  <si>
    <t>Bakkala Maraahib</t>
  </si>
  <si>
    <t>CUST4792</t>
  </si>
  <si>
    <t>Aswaq Zad Aseer Al Markaziyya</t>
  </si>
  <si>
    <t>BANK SUMMARY - MAY-2025</t>
  </si>
  <si>
    <t>ADVANCE RECONCILIATION - MAY-2025</t>
  </si>
  <si>
    <t>EXP5154</t>
  </si>
  <si>
    <t>TYRE CHANGE ADVANCE-SAMIR HAFAR BATH-</t>
  </si>
  <si>
    <t>EXP5197</t>
  </si>
  <si>
    <t>EXP5250</t>
  </si>
  <si>
    <t>PURCHASE ADVANCE-jamshadh-</t>
  </si>
  <si>
    <t>28/05/2025</t>
  </si>
  <si>
    <t>EXP5251</t>
  </si>
  <si>
    <t>29/05/2025</t>
  </si>
  <si>
    <t>EXP5252</t>
  </si>
  <si>
    <t>JN9705</t>
  </si>
  <si>
    <t>change not market-BASSAM</t>
  </si>
  <si>
    <t>EXP5253</t>
  </si>
  <si>
    <t>PURCHASE ADVANCE-THOYYIB-</t>
  </si>
  <si>
    <t>JN9714</t>
  </si>
  <si>
    <t>COINS MARKET BASSAM</t>
  </si>
  <si>
    <t>SUSPENSE RECONCILIATION - MAY-2025</t>
  </si>
  <si>
    <t>BANK TRANSFER-QASEEM ASHIK-7799.32</t>
  </si>
  <si>
    <t>JN9740</t>
  </si>
  <si>
    <t>JN9801</t>
  </si>
  <si>
    <t>JN9802</t>
  </si>
  <si>
    <t>JN9741</t>
  </si>
  <si>
    <t>BANK TRANSFER-KHALID-5852</t>
  </si>
  <si>
    <t>14/05/2025</t>
  </si>
  <si>
    <t>JN9742</t>
  </si>
  <si>
    <t>BANK POS-KHALID-5852</t>
  </si>
  <si>
    <t>15/05/2025</t>
  </si>
  <si>
    <t>JN9803</t>
  </si>
  <si>
    <t>JN9800</t>
  </si>
  <si>
    <t>BANK POS-SHAMEER HAFAR-5070</t>
  </si>
  <si>
    <t>JN9804</t>
  </si>
  <si>
    <t>JN9792</t>
  </si>
  <si>
    <t>JN9774</t>
  </si>
  <si>
    <t>BANK POS-AKMAL-1291.82</t>
  </si>
  <si>
    <t>JN9743</t>
  </si>
  <si>
    <t>JN9775</t>
  </si>
  <si>
    <t>JN9783</t>
  </si>
  <si>
    <t>BANK POS-SHAMEER-HAFAR-5070</t>
  </si>
  <si>
    <t>JN9820</t>
  </si>
  <si>
    <t>19/05/2025</t>
  </si>
  <si>
    <t>JN9821</t>
  </si>
  <si>
    <t>JN9776</t>
  </si>
  <si>
    <t>JN9829</t>
  </si>
  <si>
    <t>20/05/2025</t>
  </si>
  <si>
    <t>JN9744</t>
  </si>
  <si>
    <t>JN9794</t>
  </si>
  <si>
    <t>21/05/2025</t>
  </si>
  <si>
    <t>JN9777</t>
  </si>
  <si>
    <t>JN9778</t>
  </si>
  <si>
    <t>JN9827</t>
  </si>
  <si>
    <t>22/05/2025</t>
  </si>
  <si>
    <t>JN9745</t>
  </si>
  <si>
    <t>JN9822</t>
  </si>
  <si>
    <t>JN9789</t>
  </si>
  <si>
    <t>JN9746</t>
  </si>
  <si>
    <t>JN9784</t>
  </si>
  <si>
    <t>JN9779</t>
  </si>
  <si>
    <t>25/05/2025</t>
  </si>
  <si>
    <t>JN9639</t>
  </si>
  <si>
    <t>JN9747</t>
  </si>
  <si>
    <t>JN9771</t>
  </si>
  <si>
    <t>26/05/2025</t>
  </si>
  <si>
    <t>JN9790</t>
  </si>
  <si>
    <t>JN9651</t>
  </si>
  <si>
    <t>BANK CHEQUE-ARSHADH</t>
  </si>
  <si>
    <t>JN9830</t>
  </si>
  <si>
    <t>JN9785</t>
  </si>
  <si>
    <t>JN9780</t>
  </si>
  <si>
    <t>JN9781</t>
  </si>
  <si>
    <t>JN9791</t>
  </si>
  <si>
    <t>JN9796</t>
  </si>
  <si>
    <t>JN9823</t>
  </si>
  <si>
    <t>JN9772</t>
  </si>
  <si>
    <t>JN9703</t>
  </si>
  <si>
    <t>30/05/2025</t>
  </si>
  <si>
    <t>JN9824</t>
  </si>
  <si>
    <t>JN9782</t>
  </si>
  <si>
    <t>JN9832</t>
  </si>
  <si>
    <t>JN9833</t>
  </si>
  <si>
    <t>JN9834</t>
  </si>
  <si>
    <t>JN9835</t>
  </si>
  <si>
    <t>JN9828</t>
  </si>
  <si>
    <t>JN9788</t>
  </si>
  <si>
    <t>JN9786</t>
  </si>
  <si>
    <t>JN9825</t>
  </si>
  <si>
    <t>JN9826</t>
  </si>
  <si>
    <t>JN9797</t>
  </si>
  <si>
    <t>JN9798</t>
  </si>
  <si>
    <t>BANK TRANSFER--NIDHEESH</t>
  </si>
  <si>
    <t>JN9799</t>
  </si>
  <si>
    <t>JN9773</t>
  </si>
  <si>
    <t>CUSTOMER OUTSTANDING - MAY-2025</t>
  </si>
  <si>
    <t>CUST295</t>
  </si>
  <si>
    <t>CUST3769</t>
  </si>
  <si>
    <t>Anwarhassan</t>
  </si>
  <si>
    <t>CUST1152</t>
  </si>
  <si>
    <t>Sanabel al hazm foodstuff</t>
  </si>
  <si>
    <t>CUST1938</t>
  </si>
  <si>
    <t>Fahad badr al nahdi est</t>
  </si>
  <si>
    <t>CUST2105</t>
  </si>
  <si>
    <t>Tamwenathi sanabeel kaleej .B</t>
  </si>
  <si>
    <t>CUST2728</t>
  </si>
  <si>
    <t>Zone mart</t>
  </si>
  <si>
    <t>riyadh</t>
  </si>
  <si>
    <t>Reef al khalig market</t>
  </si>
  <si>
    <t>MUHAMMAD RASHEED AL RASHEED NO 1 RABUA</t>
  </si>
  <si>
    <t>qaseem</t>
  </si>
  <si>
    <t>CUST3354</t>
  </si>
  <si>
    <t>Aswak Thareki Hail</t>
  </si>
  <si>
    <t>CUST3727</t>
  </si>
  <si>
    <t>STIME MART AL-RIMAL</t>
  </si>
  <si>
    <t>CUST4269</t>
  </si>
  <si>
    <t>Aswak salathi samar (m)</t>
  </si>
  <si>
    <t>CUST5081</t>
  </si>
  <si>
    <t>Adwa Al Zahra</t>
  </si>
  <si>
    <t>CUST4962</t>
  </si>
  <si>
    <t>MADHAQ SUKKAR SWEETS</t>
  </si>
  <si>
    <t>CUST5411</t>
  </si>
  <si>
    <t>Khuban O blessing</t>
  </si>
  <si>
    <t>CUST5003</t>
  </si>
  <si>
    <t>Jood Mart</t>
  </si>
  <si>
    <t>BANK SUMMARY - JUN-2025</t>
  </si>
  <si>
    <t>ADVANCE RECONCILIATION - JUN-2025</t>
  </si>
  <si>
    <t>17/06/2025</t>
  </si>
  <si>
    <t>EXP5280</t>
  </si>
  <si>
    <t>ADVANCE BASSAM TYRE CHANGE-</t>
  </si>
  <si>
    <t>22/06/2025</t>
  </si>
  <si>
    <t>EXP5342</t>
  </si>
  <si>
    <t>NIDHEESH ADVANCE FOR A4 PAPER PURCHASE-</t>
  </si>
  <si>
    <t>MEDICAL EXP -ASLAM-</t>
  </si>
  <si>
    <t>VEHICLE SERVICE ADVANCE-JASEEL-</t>
  </si>
  <si>
    <t>GIVEN TO HANI BAYCITY ACCOUNT-</t>
  </si>
  <si>
    <t>PURCHASE ADVANCE-SALMAN SIR-</t>
  </si>
  <si>
    <t>28/06/2025</t>
  </si>
  <si>
    <t>EXP5390</t>
  </si>
  <si>
    <t>SALMAN SIR ADVANCE-</t>
  </si>
  <si>
    <t>EXP5403</t>
  </si>
  <si>
    <t>BASSAM QATAR NOT CHANGE-</t>
  </si>
  <si>
    <t>JN10025</t>
  </si>
  <si>
    <t>SUSPENSE RECONCILIATION - JUN-2025</t>
  </si>
  <si>
    <t>23/06/2025</t>
  </si>
  <si>
    <t>JN9969</t>
  </si>
  <si>
    <t>25/06/2025</t>
  </si>
  <si>
    <t>JN9983</t>
  </si>
  <si>
    <t>JN10123</t>
  </si>
  <si>
    <t>JN10124</t>
  </si>
  <si>
    <t>JN10135</t>
  </si>
  <si>
    <t>JN10019</t>
  </si>
  <si>
    <t>JN10021</t>
  </si>
  <si>
    <t>BANK CHEQUE-BASSAM</t>
  </si>
  <si>
    <t>JN10122</t>
  </si>
  <si>
    <t>JN10125</t>
  </si>
  <si>
    <t>JN10126</t>
  </si>
  <si>
    <t>JN10127</t>
  </si>
  <si>
    <t>JN10128</t>
  </si>
  <si>
    <t>JN10129</t>
  </si>
  <si>
    <t>JN10130</t>
  </si>
  <si>
    <t>JN10131</t>
  </si>
  <si>
    <t>JN10132</t>
  </si>
  <si>
    <t>JN10133</t>
  </si>
  <si>
    <t>CUSTOMER OUTSTANDING - JUN-2025</t>
  </si>
  <si>
    <t>al ahsa-2</t>
  </si>
  <si>
    <t>al ahsa-1</t>
  </si>
  <si>
    <t>CUST2036</t>
  </si>
  <si>
    <t>Asima grand</t>
  </si>
  <si>
    <t>al ahsa-3</t>
  </si>
  <si>
    <t>CUST2483</t>
  </si>
  <si>
    <t>Thamweenath Mazn Al mustahlik</t>
  </si>
  <si>
    <t>CUST4405</t>
  </si>
  <si>
    <t>SARAH MUHAMMED BIN HASSAN AL MENHALI TRADING</t>
  </si>
  <si>
    <t>Shareekath kasar Al asaar</t>
  </si>
  <si>
    <t>CUST5595</t>
  </si>
  <si>
    <t>Aswaq sama Biladhy</t>
  </si>
  <si>
    <t>ADVANCE RECONCILIATION - JUL-2025</t>
  </si>
  <si>
    <t>EXP5449</t>
  </si>
  <si>
    <t>PURCHASE ADVANCE-KOYA-</t>
  </si>
  <si>
    <t>13/07/2025</t>
  </si>
  <si>
    <t>JN10203</t>
  </si>
  <si>
    <t>ADVANCE SALMAN SIR</t>
  </si>
  <si>
    <t>16/07/2025</t>
  </si>
  <si>
    <t>EXP5471</t>
  </si>
  <si>
    <t>PURCHASE ADVANCE -SABARI-</t>
  </si>
  <si>
    <t>20/07/2025</t>
  </si>
  <si>
    <t>EXP5474</t>
  </si>
  <si>
    <t>ADVANCE ASLAM-</t>
  </si>
  <si>
    <t>30/07/2025</t>
  </si>
  <si>
    <t>EXP5512</t>
  </si>
  <si>
    <t>BANK SUMMARY - JUL-2025</t>
  </si>
  <si>
    <t>SUSPENSE RECONCILIATION - JUL-2025</t>
  </si>
  <si>
    <t>JN10305</t>
  </si>
  <si>
    <t>JN10306</t>
  </si>
  <si>
    <t>JN10453</t>
  </si>
  <si>
    <t>JN10421</t>
  </si>
  <si>
    <t>JN10452</t>
  </si>
  <si>
    <t>JN10438</t>
  </si>
  <si>
    <t>JN10307</t>
  </si>
  <si>
    <t>JN10420</t>
  </si>
  <si>
    <t>JN10454</t>
  </si>
  <si>
    <t>JN10308</t>
  </si>
  <si>
    <t>JN10447</t>
  </si>
  <si>
    <t>JN10309</t>
  </si>
  <si>
    <t>JN10439</t>
  </si>
  <si>
    <t>JN10422</t>
  </si>
  <si>
    <t>JN10455</t>
  </si>
  <si>
    <t>JN10310</t>
  </si>
  <si>
    <t>JN10311</t>
  </si>
  <si>
    <t>JN10419</t>
  </si>
  <si>
    <t>14/07/2025</t>
  </si>
  <si>
    <t>JN10312</t>
  </si>
  <si>
    <t>JN10440</t>
  </si>
  <si>
    <t>JN10441</t>
  </si>
  <si>
    <t>JN10423</t>
  </si>
  <si>
    <t>17/07/2025</t>
  </si>
  <si>
    <t>JN10464</t>
  </si>
  <si>
    <t>BANK TRANSFER-CIRCLE K AMOUNT,AKMAL,NIDHEESH</t>
  </si>
  <si>
    <t>JN10313</t>
  </si>
  <si>
    <t>19/07/2025</t>
  </si>
  <si>
    <t>JN10424</t>
  </si>
  <si>
    <t>JN10314</t>
  </si>
  <si>
    <t>JN10426</t>
  </si>
  <si>
    <t>JN10437</t>
  </si>
  <si>
    <t>JN10315</t>
  </si>
  <si>
    <t>JN10316</t>
  </si>
  <si>
    <t>22/07/2025</t>
  </si>
  <si>
    <t>JN10427</t>
  </si>
  <si>
    <t>JN10430</t>
  </si>
  <si>
    <t>JN10425</t>
  </si>
  <si>
    <t>23/07/2025</t>
  </si>
  <si>
    <t>JN10416</t>
  </si>
  <si>
    <t>JN10431</t>
  </si>
  <si>
    <t>24/07/2025</t>
  </si>
  <si>
    <t>JN10417</t>
  </si>
  <si>
    <t>25/07/2025</t>
  </si>
  <si>
    <t>JN10456</t>
  </si>
  <si>
    <t>26/07/2025</t>
  </si>
  <si>
    <t>JN10468</t>
  </si>
  <si>
    <t>JN10418</t>
  </si>
  <si>
    <t>JN10451</t>
  </si>
  <si>
    <t>JN10442</t>
  </si>
  <si>
    <t>JN10449</t>
  </si>
  <si>
    <t>JN10450</t>
  </si>
  <si>
    <t>JN10435</t>
  </si>
  <si>
    <t>JN10470</t>
  </si>
  <si>
    <t>JN10436</t>
  </si>
  <si>
    <t>JN10448</t>
  </si>
  <si>
    <t>JN10443</t>
  </si>
  <si>
    <t>JN10432</t>
  </si>
  <si>
    <t>JN10428</t>
  </si>
  <si>
    <t>JN10429</t>
  </si>
  <si>
    <t>JN10433</t>
  </si>
  <si>
    <t>JN10445</t>
  </si>
  <si>
    <t>JN10458</t>
  </si>
  <si>
    <t>JN10381</t>
  </si>
  <si>
    <t>JN10459</t>
  </si>
  <si>
    <t>JN10460</t>
  </si>
  <si>
    <t>JN10461</t>
  </si>
  <si>
    <t>JN10446</t>
  </si>
  <si>
    <t>JN10434</t>
  </si>
  <si>
    <t>JN10463</t>
  </si>
  <si>
    <t>BANK TRANSFER NOT IDENTIFIFED</t>
  </si>
  <si>
    <t>CUSTOMER OUTSTANDING - JUL-2025</t>
  </si>
  <si>
    <t>CUST485</t>
  </si>
  <si>
    <t>Ye mmart (2)</t>
  </si>
  <si>
    <t>CUST3464</t>
  </si>
  <si>
    <t>BASMA AL SHUROOQ</t>
  </si>
  <si>
    <t>CUST3491</t>
  </si>
  <si>
    <t>LZDIHAR RIYADH MARKET RIMAL STREET</t>
  </si>
  <si>
    <t>CUST2982</t>
  </si>
  <si>
    <t>Samaa Sweet Trading Establishment</t>
  </si>
  <si>
    <t>CUST5176</t>
  </si>
  <si>
    <t>Shareekth Najoum Al Khairath Al thijariya=40</t>
  </si>
  <si>
    <t>CUST5627</t>
  </si>
  <si>
    <t>Shareekth Shamsul waleemath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</si>
</sst>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-yyyy"/>
    <numFmt numFmtId="165" formatCode="#,##0.00%"/>
    <numFmt numFmtId="166" formatCode="yyyy-mm-dd"/>
    <numFmt numFmtId="167" formatCode="mm/dd/yyyy"/>
    <numFmt numFmtId="168" formatCode="m/d/yyyy"/>
    <numFmt numFmtId="169" formatCode="-0.00"/>
  </numFmts>
  <fonts count="15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6.0"/>
      <color rgb="FFFFFFFF"/>
      <name val="Arial"/>
      <scheme val="minor"/>
    </font>
    <font>
      <b/>
      <color theme="1"/>
      <name val="Arial"/>
      <scheme val="minor"/>
    </font>
    <font>
      <b/>
      <sz val="16.0"/>
      <color rgb="FF000000"/>
      <name val="Arial"/>
      <scheme val="minor"/>
    </font>
    <font>
      <sz val="11.0"/>
      <color rgb="FF000000"/>
      <name val="Calibri"/>
    </font>
    <font/>
    <font>
      <b/>
      <sz val="12.0"/>
      <color theme="1"/>
      <name val="Arial"/>
      <scheme val="minor"/>
    </font>
    <font>
      <sz val="9.0"/>
      <color rgb="FF000000"/>
      <name val="Tahoma"/>
    </font>
    <font>
      <sz val="9.0"/>
      <color rgb="FF0D1118"/>
      <name val="LatoWeb"/>
    </font>
    <font>
      <b/>
      <sz val="11.0"/>
      <color rgb="FF000000"/>
      <name val="Calibri"/>
    </font>
    <font>
      <sz val="9.0"/>
      <color rgb="FF0D1118"/>
      <name val="Tahoma"/>
    </font>
  </fonts>
  <fills count="18">
    <fill>
      <patternFill patternType="none"/>
    </fill>
    <fill>
      <patternFill patternType="lightGray"/>
    </fill>
    <fill>
      <patternFill patternType="solid">
        <fgColor rgb="FF343A40"/>
        <bgColor rgb="FF343A40"/>
      </patternFill>
    </fill>
    <fill>
      <patternFill patternType="solid">
        <fgColor rgb="FF007BFF"/>
        <bgColor rgb="FF007BFF"/>
      </patternFill>
    </fill>
    <fill>
      <patternFill patternType="solid">
        <fgColor rgb="FF28A745"/>
        <bgColor rgb="FF28A745"/>
      </patternFill>
    </fill>
    <fill>
      <patternFill patternType="solid">
        <fgColor rgb="FF6C757D"/>
        <bgColor rgb="FF6C757D"/>
      </patternFill>
    </fill>
    <fill>
      <patternFill patternType="solid">
        <fgColor rgb="FF1A73E8"/>
        <bgColor rgb="FF1A73E8"/>
      </patternFill>
    </fill>
    <fill>
      <patternFill patternType="solid">
        <fgColor rgb="FFF8F9FA"/>
        <bgColor rgb="FFF8F9FA"/>
      </patternFill>
    </fill>
    <fill>
      <patternFill patternType="solid">
        <fgColor rgb="FFFFC107"/>
        <bgColor rgb="FFFFC107"/>
      </patternFill>
    </fill>
    <fill>
      <patternFill patternType="solid">
        <fgColor rgb="FFDC3545"/>
        <bgColor rgb="FFDC3545"/>
      </patternFill>
    </fill>
    <fill>
      <patternFill patternType="solid">
        <fgColor rgb="FFFFF3CD"/>
        <bgColor rgb="FFFFF3CD"/>
      </patternFill>
    </fill>
    <fill>
      <patternFill patternType="solid">
        <fgColor rgb="FFD1ECF1"/>
        <bgColor rgb="FFD1ECF1"/>
      </patternFill>
    </fill>
    <fill>
      <patternFill patternType="solid">
        <fgColor rgb="FFE8F0FE"/>
        <bgColor rgb="FFE8F0FE"/>
      </patternFill>
    </fill>
    <fill>
      <patternFill patternType="solid">
        <fgColor rgb="FFD4EDDA"/>
        <bgColor rgb="FFD4EDDA"/>
      </patternFill>
    </fill>
    <fill>
      <patternFill patternType="solid">
        <fgColor rgb="FFE7F3E7"/>
        <bgColor rgb="FFE7F3E7"/>
      </patternFill>
    </fill>
    <fill>
      <patternFill patternType="solid">
        <fgColor rgb="FFDDEBF7"/>
        <bgColor rgb="FFDDEBF7"/>
      </patternFill>
    </fill>
    <fill>
      <patternFill patternType="solid">
        <fgColor rgb="FFE8F9FA"/>
        <bgColor rgb="FFE8F9FA"/>
      </patternFill>
    </fill>
    <fill>
      <patternFill patternType="solid">
        <fgColor rgb="FFEBEEF1"/>
        <bgColor rgb="FFEBEEF1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EAEEF5"/>
      </top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4" xfId="0" applyFont="1" applyNumberFormat="1"/>
    <xf borderId="0" fillId="5" fontId="2" numFmtId="0" xfId="0" applyAlignment="1" applyFill="1" applyFont="1">
      <alignment readingOrder="0"/>
    </xf>
    <xf borderId="1" fillId="0" fontId="3" numFmtId="0" xfId="0" applyAlignment="1" applyBorder="1" applyFont="1">
      <alignment readingOrder="0"/>
    </xf>
    <xf borderId="2" fillId="0" fontId="3" numFmtId="0" xfId="0" applyBorder="1" applyFont="1"/>
    <xf borderId="3" fillId="0" fontId="4" numFmtId="0" xfId="0" applyBorder="1" applyFont="1"/>
    <xf borderId="4" fillId="0" fontId="3" numFmtId="0" xfId="0" applyBorder="1" applyFont="1"/>
    <xf borderId="3" fillId="0" fontId="4" numFmtId="4" xfId="0" applyBorder="1" applyFont="1" applyNumberFormat="1"/>
    <xf borderId="0" fillId="6" fontId="5" numFmtId="0" xfId="0" applyAlignment="1" applyFill="1" applyFont="1">
      <alignment horizontal="center" readingOrder="0"/>
    </xf>
    <xf borderId="0" fillId="0" fontId="3" numFmtId="0" xfId="0" applyFont="1"/>
    <xf borderId="0" fillId="7" fontId="6" numFmtId="0" xfId="0" applyAlignment="1" applyFill="1" applyFont="1">
      <alignment readingOrder="0"/>
    </xf>
    <xf borderId="0" fillId="7" fontId="6" numFmtId="164" xfId="0" applyAlignment="1" applyFont="1" applyNumberFormat="1">
      <alignment readingOrder="0"/>
    </xf>
    <xf borderId="0" fillId="0" fontId="3" numFmtId="164" xfId="0" applyFont="1" applyNumberFormat="1"/>
    <xf borderId="0" fillId="0" fontId="6" numFmtId="0" xfId="0" applyAlignment="1" applyFont="1">
      <alignment readingOrder="0"/>
    </xf>
    <xf borderId="0" fillId="0" fontId="6" numFmtId="4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3" numFmtId="165" xfId="0" applyFont="1" applyNumberFormat="1"/>
    <xf borderId="0" fillId="4" fontId="5" numFmtId="0" xfId="0" applyAlignment="1" applyFont="1">
      <alignment horizontal="center" readingOrder="0"/>
    </xf>
    <xf borderId="0" fillId="8" fontId="7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10" fontId="6" numFmtId="0" xfId="0" applyAlignment="1" applyFill="1" applyFont="1">
      <alignment readingOrder="0"/>
    </xf>
    <xf borderId="0" fillId="5" fontId="5" numFmtId="0" xfId="0" applyAlignment="1" applyFont="1">
      <alignment horizontal="center" readingOrder="0"/>
    </xf>
    <xf borderId="0" fillId="11" fontId="6" numFmtId="0" xfId="0" applyAlignment="1" applyFill="1" applyFont="1">
      <alignment readingOrder="0"/>
    </xf>
    <xf borderId="0" fillId="12" fontId="6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5" fillId="0" fontId="8" numFmtId="4" xfId="0" applyAlignment="1" applyBorder="1" applyFont="1" applyNumberFormat="1">
      <alignment horizontal="right" readingOrder="0" shrinkToFit="0" vertical="bottom" wrapText="0"/>
    </xf>
    <xf borderId="0" fillId="0" fontId="8" numFmtId="4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readingOrder="0"/>
    </xf>
    <xf borderId="6" fillId="12" fontId="6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6" fillId="0" fontId="3" numFmtId="4" xfId="0" applyAlignment="1" applyBorder="1" applyFont="1" applyNumberFormat="1">
      <alignment readingOrder="0"/>
    </xf>
    <xf borderId="6" fillId="0" fontId="3" numFmtId="4" xfId="0" applyBorder="1" applyFont="1" applyNumberFormat="1"/>
    <xf borderId="6" fillId="0" fontId="3" numFmtId="0" xfId="0" applyBorder="1" applyFont="1"/>
    <xf borderId="6" fillId="10" fontId="6" numFmtId="0" xfId="0" applyAlignment="1" applyBorder="1" applyFont="1">
      <alignment readingOrder="0"/>
    </xf>
    <xf borderId="6" fillId="10" fontId="6" numFmtId="4" xfId="0" applyBorder="1" applyFont="1" applyNumberFormat="1"/>
    <xf borderId="6" fillId="10" fontId="6" numFmtId="0" xfId="0" applyBorder="1" applyFont="1"/>
    <xf borderId="6" fillId="7" fontId="6" numFmtId="0" xfId="0" applyAlignment="1" applyBorder="1" applyFont="1">
      <alignment readingOrder="0"/>
    </xf>
    <xf borderId="6" fillId="7" fontId="6" numFmtId="4" xfId="0" applyAlignment="1" applyBorder="1" applyFont="1" applyNumberFormat="1">
      <alignment readingOrder="0"/>
    </xf>
    <xf borderId="7" fillId="13" fontId="6" numFmtId="0" xfId="0" applyAlignment="1" applyBorder="1" applyFill="1" applyFont="1">
      <alignment readingOrder="0"/>
    </xf>
    <xf borderId="8" fillId="13" fontId="6" numFmtId="4" xfId="0" applyBorder="1" applyFont="1" applyNumberFormat="1"/>
    <xf borderId="9" fillId="13" fontId="6" numFmtId="0" xfId="0" applyBorder="1" applyFont="1"/>
    <xf borderId="7" fillId="5" fontId="2" numFmtId="0" xfId="0" applyAlignment="1" applyBorder="1" applyFont="1">
      <alignment readingOrder="0"/>
    </xf>
    <xf borderId="8" fillId="0" fontId="9" numFmtId="0" xfId="0" applyBorder="1" applyFont="1"/>
    <xf borderId="9" fillId="0" fontId="9" numFmtId="0" xfId="0" applyBorder="1" applyFont="1"/>
    <xf borderId="6" fillId="0" fontId="10" numFmtId="4" xfId="0" applyBorder="1" applyFont="1" applyNumberFormat="1"/>
    <xf borderId="0" fillId="14" fontId="3" numFmtId="0" xfId="0" applyAlignment="1" applyFill="1" applyFont="1">
      <alignment readingOrder="0"/>
    </xf>
    <xf borderId="0" fillId="14" fontId="6" numFmtId="4" xfId="0" applyAlignment="1" applyFont="1" applyNumberFormat="1">
      <alignment readingOrder="0"/>
    </xf>
    <xf borderId="0" fillId="14" fontId="6" numFmtId="4" xfId="0" applyFont="1" applyNumberFormat="1"/>
    <xf borderId="7" fillId="10" fontId="6" numFmtId="0" xfId="0" applyAlignment="1" applyBorder="1" applyFont="1">
      <alignment readingOrder="0"/>
    </xf>
    <xf borderId="8" fillId="10" fontId="6" numFmtId="0" xfId="0" applyBorder="1" applyFont="1"/>
    <xf borderId="8" fillId="10" fontId="6" numFmtId="4" xfId="0" applyBorder="1" applyFont="1" applyNumberFormat="1"/>
    <xf borderId="9" fillId="10" fontId="6" numFmtId="4" xfId="0" applyBorder="1" applyFont="1" applyNumberFormat="1"/>
    <xf borderId="0" fillId="10" fontId="3" numFmtId="0" xfId="0" applyAlignment="1" applyFont="1">
      <alignment readingOrder="0"/>
    </xf>
    <xf borderId="0" fillId="10" fontId="6" numFmtId="4" xfId="0" applyAlignment="1" applyFont="1" applyNumberFormat="1">
      <alignment readingOrder="0"/>
    </xf>
    <xf borderId="0" fillId="10" fontId="6" numFmtId="4" xfId="0" applyFont="1" applyNumberFormat="1"/>
    <xf borderId="6" fillId="0" fontId="8" numFmtId="0" xfId="0" applyAlignment="1" applyBorder="1" applyFont="1">
      <alignment horizontal="left" readingOrder="0" shrinkToFit="0" vertical="bottom" wrapText="0"/>
    </xf>
    <xf borderId="6" fillId="0" fontId="8" numFmtId="4" xfId="0" applyAlignment="1" applyBorder="1" applyFont="1" applyNumberFormat="1">
      <alignment horizontal="right" readingOrder="0" shrinkToFit="0" vertical="bottom" wrapText="0"/>
    </xf>
    <xf borderId="0" fillId="0" fontId="3" numFmtId="4" xfId="0" applyFont="1" applyNumberFormat="1"/>
    <xf borderId="6" fillId="0" fontId="8" numFmtId="0" xfId="0" applyAlignment="1" applyBorder="1" applyFont="1">
      <alignment horizontal="right" readingOrder="0" shrinkToFit="0" vertical="bottom" wrapText="0"/>
    </xf>
    <xf borderId="0" fillId="10" fontId="6" numFmtId="0" xfId="0" applyFont="1"/>
    <xf borderId="0" fillId="10" fontId="6" numFmtId="4" xfId="0" applyFont="1" applyNumberFormat="1"/>
    <xf borderId="6" fillId="0" fontId="8" numFmtId="4" xfId="0" applyAlignment="1" applyBorder="1" applyFont="1" applyNumberFormat="1">
      <alignment horizontal="center" readingOrder="0" shrinkToFit="0" vertical="bottom" wrapText="0"/>
    </xf>
    <xf borderId="0" fillId="0" fontId="8" numFmtId="4" xfId="0" applyAlignment="1" applyFont="1" applyNumberFormat="1">
      <alignment horizontal="center" readingOrder="0" shrinkToFit="0" vertical="bottom" wrapText="0"/>
    </xf>
    <xf borderId="6" fillId="0" fontId="8" numFmtId="4" xfId="0" applyAlignment="1" applyBorder="1" applyFont="1" applyNumberFormat="1">
      <alignment horizontal="right" readingOrder="0" shrinkToFit="0" vertical="bottom" wrapText="0"/>
    </xf>
    <xf borderId="6" fillId="0" fontId="8" numFmtId="167" xfId="0" applyAlignment="1" applyBorder="1" applyFont="1" applyNumberFormat="1">
      <alignment horizontal="left" readingOrder="0" shrinkToFit="0" vertical="bottom" wrapText="0"/>
    </xf>
    <xf borderId="6" fillId="0" fontId="8" numFmtId="0" xfId="0" applyAlignment="1" applyBorder="1" applyFont="1">
      <alignment shrinkToFit="0" vertical="bottom" wrapText="0"/>
    </xf>
    <xf borderId="6" fillId="0" fontId="8" numFmtId="168" xfId="0" applyAlignment="1" applyBorder="1" applyFont="1" applyNumberFormat="1">
      <alignment horizontal="left" readingOrder="0" shrinkToFit="0" vertical="bottom" wrapText="0"/>
    </xf>
    <xf borderId="6" fillId="15" fontId="8" numFmtId="167" xfId="0" applyAlignment="1" applyBorder="1" applyFill="1" applyFont="1" applyNumberFormat="1">
      <alignment horizontal="right" readingOrder="0" shrinkToFit="0" vertical="bottom" wrapText="0"/>
    </xf>
    <xf borderId="6" fillId="15" fontId="8" numFmtId="0" xfId="0" applyAlignment="1" applyBorder="1" applyFont="1">
      <alignment horizontal="left" readingOrder="0" shrinkToFit="0" vertical="bottom" wrapText="0"/>
    </xf>
    <xf borderId="6" fillId="15" fontId="8" numFmtId="4" xfId="0" applyAlignment="1" applyBorder="1" applyFont="1" applyNumberFormat="1">
      <alignment horizontal="right" readingOrder="0" shrinkToFit="0" vertical="bottom" wrapText="0"/>
    </xf>
    <xf borderId="6" fillId="15" fontId="8" numFmtId="4" xfId="0" applyAlignment="1" applyBorder="1" applyFont="1" applyNumberFormat="1">
      <alignment horizontal="right" readingOrder="0" shrinkToFit="0" vertical="bottom" wrapText="0"/>
    </xf>
    <xf borderId="6" fillId="15" fontId="8" numFmtId="4" xfId="0" applyAlignment="1" applyBorder="1" applyFont="1" applyNumberFormat="1">
      <alignment shrinkToFit="0" vertical="bottom" wrapText="0"/>
    </xf>
    <xf borderId="6" fillId="15" fontId="8" numFmtId="167" xfId="0" applyAlignment="1" applyBorder="1" applyFont="1" applyNumberFormat="1">
      <alignment horizontal="left" readingOrder="0" shrinkToFit="0" vertical="bottom" wrapText="0"/>
    </xf>
    <xf borderId="6" fillId="15" fontId="8" numFmtId="0" xfId="0" applyAlignment="1" applyBorder="1" applyFont="1">
      <alignment horizontal="right" readingOrder="0" shrinkToFit="0" vertical="bottom" wrapText="0"/>
    </xf>
    <xf borderId="6" fillId="0" fontId="8" numFmtId="4" xfId="0" applyAlignment="1" applyBorder="1" applyFont="1" applyNumberFormat="1">
      <alignment shrinkToFit="0" vertical="bottom" wrapText="0"/>
    </xf>
    <xf borderId="6" fillId="0" fontId="8" numFmtId="167" xfId="0" applyAlignment="1" applyBorder="1" applyFont="1" applyNumberFormat="1">
      <alignment horizontal="right" readingOrder="0" shrinkToFit="0" vertical="bottom" wrapText="0"/>
    </xf>
    <xf borderId="6" fillId="0" fontId="8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6" fillId="0" fontId="8" numFmtId="0" xfId="0" applyAlignment="1" applyBorder="1" applyFont="1">
      <alignment shrinkToFit="0" vertical="bottom" wrapText="0"/>
    </xf>
    <xf borderId="0" fillId="0" fontId="8" numFmtId="4" xfId="0" applyAlignment="1" applyFont="1" applyNumberFormat="1">
      <alignment horizontal="right" readingOrder="0" shrinkToFit="0" vertical="bottom" wrapText="0"/>
    </xf>
    <xf borderId="10" fillId="0" fontId="8" numFmtId="167" xfId="0" applyAlignment="1" applyBorder="1" applyFont="1" applyNumberFormat="1">
      <alignment horizontal="left" readingOrder="0" shrinkToFit="0" vertical="bottom" wrapText="0"/>
    </xf>
    <xf borderId="11" fillId="0" fontId="8" numFmtId="4" xfId="0" applyAlignment="1" applyBorder="1" applyFont="1" applyNumberFormat="1">
      <alignment horizontal="right" readingOrder="0" shrinkToFit="0" vertical="bottom" wrapText="0"/>
    </xf>
    <xf borderId="6" fillId="0" fontId="3" numFmtId="4" xfId="0" applyBorder="1" applyFont="1" applyNumberFormat="1"/>
    <xf borderId="6" fillId="0" fontId="6" numFmtId="4" xfId="0" applyAlignment="1" applyBorder="1" applyFont="1" applyNumberFormat="1">
      <alignment readingOrder="0"/>
    </xf>
    <xf borderId="6" fillId="0" fontId="3" numFmtId="0" xfId="0" applyBorder="1" applyFont="1"/>
    <xf borderId="0" fillId="16" fontId="12" numFmtId="0" xfId="0" applyAlignment="1" applyFill="1" applyFont="1">
      <alignment readingOrder="0" vertical="top"/>
    </xf>
    <xf borderId="12" fillId="0" fontId="8" numFmtId="4" xfId="0" applyAlignment="1" applyBorder="1" applyFont="1" applyNumberFormat="1">
      <alignment horizontal="right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13" fillId="17" fontId="13" numFmtId="4" xfId="0" applyAlignment="1" applyBorder="1" applyFill="1" applyFont="1" applyNumberFormat="1">
      <alignment horizontal="right" readingOrder="0" shrinkToFit="0" vertical="bottom" wrapText="0"/>
    </xf>
    <xf borderId="11" fillId="0" fontId="8" numFmtId="0" xfId="0" applyAlignment="1" applyBorder="1" applyFont="1">
      <alignment horizontal="right" readingOrder="0" shrinkToFit="0" vertical="bottom" wrapText="0"/>
    </xf>
    <xf borderId="7" fillId="0" fontId="3" numFmtId="4" xfId="0" applyBorder="1" applyFont="1" applyNumberFormat="1"/>
    <xf borderId="6" fillId="0" fontId="6" numFmtId="4" xfId="0" applyBorder="1" applyFont="1" applyNumberFormat="1"/>
    <xf borderId="6" fillId="0" fontId="12" numFmtId="0" xfId="0" applyAlignment="1" applyBorder="1" applyFont="1">
      <alignment readingOrder="0"/>
    </xf>
    <xf borderId="6" fillId="0" fontId="12" numFmtId="0" xfId="0" applyAlignment="1" applyBorder="1" applyFont="1">
      <alignment readingOrder="0" vertical="top"/>
    </xf>
    <xf borderId="6" fillId="0" fontId="3" numFmtId="169" xfId="0" applyBorder="1" applyFont="1" applyNumberFormat="1"/>
    <xf borderId="0" fillId="0" fontId="3" numFmtId="4" xfId="0" applyAlignment="1" applyFont="1" applyNumberFormat="1">
      <alignment readingOrder="0"/>
    </xf>
    <xf borderId="0" fillId="16" fontId="12" numFmtId="0" xfId="0" applyAlignment="1" applyFont="1">
      <alignment readingOrder="0"/>
    </xf>
    <xf borderId="0" fillId="0" fontId="8" numFmtId="4" xfId="0" applyAlignment="1" applyFont="1" applyNumberFormat="1">
      <alignment horizontal="center" shrinkToFit="0" vertical="bottom" wrapText="0"/>
    </xf>
    <xf borderId="6" fillId="0" fontId="6" numFmtId="0" xfId="0" applyAlignment="1" applyBorder="1" applyFont="1">
      <alignment readingOrder="0"/>
    </xf>
    <xf borderId="14" fillId="16" fontId="12" numFmtId="0" xfId="0" applyAlignment="1" applyBorder="1" applyFont="1">
      <alignment readingOrder="0" vertical="top"/>
    </xf>
    <xf borderId="0" fillId="0" fontId="8" numFmtId="0" xfId="0" applyAlignment="1" applyFont="1">
      <alignment horizontal="left" readingOrder="0" shrinkToFit="0" vertical="bottom" wrapText="0"/>
    </xf>
    <xf borderId="0" fillId="0" fontId="8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6" fillId="0" fontId="13" numFmtId="4" xfId="0" applyAlignment="1" applyBorder="1" applyFont="1" applyNumberFormat="1">
      <alignment horizontal="right" readingOrder="0" shrinkToFit="0" vertical="bottom" wrapText="0"/>
    </xf>
    <xf borderId="6" fillId="0" fontId="8" numFmtId="0" xfId="0" applyAlignment="1" applyBorder="1" applyFont="1">
      <alignment horizontal="left" readingOrder="0" shrinkToFit="0" vertical="bottom" wrapText="0"/>
    </xf>
    <xf borderId="6" fillId="0" fontId="8" numFmtId="4" xfId="0" applyAlignment="1" applyBorder="1" applyFont="1" applyNumberFormat="1">
      <alignment horizontal="right" readingOrder="0" shrinkToFit="0" vertical="bottom" wrapText="0"/>
    </xf>
    <xf borderId="7" fillId="7" fontId="6" numFmtId="0" xfId="0" applyAlignment="1" applyBorder="1" applyFont="1">
      <alignment readingOrder="0"/>
    </xf>
  </cellXfs>
  <cellStyles count="1">
    <cellStyle xfId="0" name="Normal" builtinId="0"/>
  </cellStyles>
  <dxfs count="2">
    <dxf>
      <font>
        <color rgb="FFFFFFFF"/>
      </font>
      <fill>
        <patternFill patternType="solid">
          <fgColor rgb="FFDC3545"/>
          <bgColor rgb="FFDC3545"/>
        </patternFill>
      </fill>
      <border/>
    </dxf>
    <dxf>
      <font>
        <color rgb="FFFFFFFF"/>
      </font>
      <fill>
        <patternFill patternType="solid">
          <fgColor rgb="FF28A745"/>
          <bgColor rgb="FF28A74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2.63"/>
  </cols>
  <sheetData>
    <row r="1">
      <c r="A1" s="1" t="s">
        <v>0</v>
      </c>
    </row>
    <row r="3">
      <c r="A3" s="2" t="s">
        <v>1</v>
      </c>
      <c r="F3" s="3" t="s">
        <v>2</v>
      </c>
    </row>
    <row r="4">
      <c r="A4" s="4" t="s">
        <v>3</v>
      </c>
      <c r="B4" s="5" t="str">
        <f>IFERROR(__xludf.DUMMYFUNCTION("RIGHT(INDEX(SORT(FILTER(INDIRECT(""Banks_Comparison!3:3""),INDIRECT(""Banks_Comparison!3:3"")&lt;&gt;"""")),1,COLUMNS(FILTER(INDIRECT(""Banks_Comparison!3:3""),INDIRECT(""Banks_Comparison!3:3"")&lt;&gt;""""))),8)"),"45962")</f>
        <v>45962</v>
      </c>
      <c r="F4" s="4" t="s">
        <v>4</v>
      </c>
      <c r="H4" s="6">
        <f>SUM(Banks_Comparison!5:5)</f>
        <v>28577792.19</v>
      </c>
    </row>
    <row r="5">
      <c r="A5" s="4" t="s">
        <v>5</v>
      </c>
      <c r="B5" s="6">
        <f t="array" ref="B5">INDEX(Banks_Comparison!8:8,1,COUNTA(Banks_Comparison!3:3))</f>
        <v>2498320.618</v>
      </c>
      <c r="F5" s="4" t="s">
        <v>6</v>
      </c>
      <c r="H5" s="6">
        <f>SUM(Banks_Comparison!7:7)</f>
        <v>27400972.16</v>
      </c>
    </row>
    <row r="6">
      <c r="A6" s="4" t="s">
        <v>7</v>
      </c>
      <c r="B6" s="6">
        <f t="array" ref="B6">INDEX(Outstanding_Comparison!15:15,1,COUNTA(Outstanding_Comparison!3:3))</f>
        <v>0</v>
      </c>
      <c r="F6" s="4" t="s">
        <v>8</v>
      </c>
      <c r="H6" s="6">
        <f>H4-H5</f>
        <v>1176820.03</v>
      </c>
    </row>
    <row r="7">
      <c r="A7" s="4" t="s">
        <v>9</v>
      </c>
      <c r="B7" s="6">
        <f t="array" ref="B7">INDEX(Advances_Comparison!7:7,1,COUNTA(Advances_Comparison!3:3))</f>
        <v>0</v>
      </c>
      <c r="F7" s="4" t="s">
        <v>10</v>
      </c>
      <c r="H7" s="6">
        <f>AVERAGE(Outstanding_Comparison!15:15)</f>
        <v>0</v>
      </c>
    </row>
    <row r="8">
      <c r="A8" s="4" t="s">
        <v>11</v>
      </c>
      <c r="B8" s="6">
        <f t="array" ref="B8">INDEX(Suspense_Comparison!7:7,1,COUNTA(Suspense_Comparison!3:3))</f>
        <v>0</v>
      </c>
    </row>
    <row r="10">
      <c r="A10" s="7" t="s">
        <v>12</v>
      </c>
    </row>
    <row r="11">
      <c r="A11" s="8" t="s">
        <v>13</v>
      </c>
      <c r="B11" s="9"/>
      <c r="C11" s="8" t="s">
        <v>14</v>
      </c>
      <c r="D11" s="9"/>
      <c r="E11" s="8" t="s">
        <v>15</v>
      </c>
      <c r="F11" s="9"/>
      <c r="G11" s="8" t="s">
        <v>16</v>
      </c>
      <c r="H11" s="9"/>
    </row>
    <row r="12">
      <c r="A12" s="10">
        <f>COUNTA(Banks_Comparison!3:3)-1</f>
        <v>11</v>
      </c>
      <c r="B12" s="11"/>
      <c r="C12" s="10">
        <f>MAX(Banks_Comparison!8:8)</f>
        <v>3850313.608</v>
      </c>
      <c r="D12" s="11"/>
      <c r="E12" s="10">
        <f>MIN(Banks_Comparison!8:8)</f>
        <v>1143292.67</v>
      </c>
      <c r="F12" s="11"/>
      <c r="G12" s="10">
        <f>AVERAGE(Banks_Comparison!5:5)</f>
        <v>2597981.108</v>
      </c>
      <c r="H12" s="11"/>
    </row>
    <row r="13">
      <c r="A13" s="8" t="s">
        <v>17</v>
      </c>
      <c r="B13" s="9"/>
      <c r="C13" s="8" t="s">
        <v>18</v>
      </c>
      <c r="D13" s="9"/>
      <c r="E13" s="8" t="s">
        <v>19</v>
      </c>
      <c r="F13" s="9"/>
      <c r="G13" s="8" t="s">
        <v>20</v>
      </c>
      <c r="H13" s="9"/>
    </row>
    <row r="14">
      <c r="A14" s="10">
        <f>SUM(Advances_Comparison!5:5)</f>
        <v>6020817.6</v>
      </c>
      <c r="B14" s="11"/>
      <c r="C14" s="10">
        <f>SUM(Advances_Comparison!6:6)</f>
        <v>0</v>
      </c>
      <c r="D14" s="11"/>
      <c r="E14" s="10" t="str">
        <f t="array" ref="E14">IFERROR((INDEX(Outstanding_Comparison!15:15,1,COUNTA(Outstanding_Comparison!3:3))-INDEX(Outstanding_Comparison!15:15,1,2))/INDEX(Outstanding_Comparison!15:15,1,2)*100,0)&amp;"%"</f>
        <v>0%</v>
      </c>
      <c r="F14" s="11"/>
      <c r="G14" s="12">
        <f>B5-B6</f>
        <v>2498320.618</v>
      </c>
      <c r="H14" s="11"/>
    </row>
  </sheetData>
  <mergeCells count="4">
    <mergeCell ref="A1:H1"/>
    <mergeCell ref="A3:D3"/>
    <mergeCell ref="F3:H3"/>
    <mergeCell ref="A10:H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39" width="15.13"/>
  </cols>
  <sheetData>
    <row r="1">
      <c r="A1" s="13" t="s">
        <v>21</v>
      </c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</row>
    <row r="3">
      <c r="A3" s="15" t="s">
        <v>22</v>
      </c>
      <c r="B3" s="16">
        <v>45658.0</v>
      </c>
      <c r="C3" s="16">
        <v>45689.0</v>
      </c>
      <c r="D3" s="16">
        <v>45717.0</v>
      </c>
      <c r="E3" s="16">
        <v>45748.0</v>
      </c>
      <c r="F3" s="16">
        <v>45778.0</v>
      </c>
      <c r="G3" s="16">
        <v>45809.0</v>
      </c>
      <c r="H3" s="16">
        <v>45839.0</v>
      </c>
      <c r="I3" s="16">
        <v>45870.0</v>
      </c>
      <c r="J3" s="16">
        <v>45901.0</v>
      </c>
      <c r="K3" s="16">
        <v>45931.0</v>
      </c>
      <c r="L3" s="16">
        <v>45962.0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4"/>
      <c r="HJ3" s="17"/>
      <c r="HK3" s="17"/>
      <c r="HL3" s="17"/>
      <c r="HM3" s="17"/>
      <c r="HN3" s="17"/>
      <c r="HO3" s="17"/>
      <c r="HP3" s="17"/>
      <c r="HT3" s="17"/>
      <c r="HU3" s="14"/>
      <c r="HV3" s="17"/>
      <c r="HW3" s="17"/>
      <c r="HX3" s="17"/>
      <c r="HY3" s="14"/>
      <c r="HZ3" s="17"/>
      <c r="IA3" s="17"/>
      <c r="IB3" s="17"/>
      <c r="IC3" s="17"/>
      <c r="ID3" s="17"/>
    </row>
    <row r="4">
      <c r="A4" s="18" t="s">
        <v>23</v>
      </c>
      <c r="B4" s="19">
        <f>IFERROR('Banks_JAN-2025'!B9,0)</f>
        <v>1355020.03</v>
      </c>
      <c r="C4" s="19">
        <f>IFERROR('Banks_FEB-2025'!B9,0)</f>
        <v>1141022.57</v>
      </c>
      <c r="D4" s="19">
        <f>IFERROR('Banks_MAR-2025'!B9,0)</f>
        <v>2258424.77</v>
      </c>
      <c r="E4" s="19">
        <f>IFERROR('Banks_APR-2025'!B9,0)</f>
        <v>1719247.42</v>
      </c>
      <c r="F4" s="19">
        <f>IFERROR('Banks_MAY-2025'!B9,0)</f>
        <v>1870886.26</v>
      </c>
      <c r="G4" s="19">
        <f>IFERROR('Banks_JUN-2025'!B9,0)</f>
        <v>2485212.85</v>
      </c>
      <c r="H4" s="19">
        <f>IFERROR('Banks_JUL-2025'!B9,0)</f>
        <v>1925336.95</v>
      </c>
      <c r="I4" s="19">
        <f>IFERROR('Banks_AUG-2025'!B9,0)</f>
        <v>2629726.29</v>
      </c>
      <c r="J4" s="19">
        <f>IFERROR('Banks_SEP-2025'!B9,0)</f>
        <v>2448776.88</v>
      </c>
      <c r="K4" s="19">
        <f>IFERROR('Banks_OCT-2025'!B9,0)</f>
        <v>3838867.37</v>
      </c>
      <c r="L4" s="19">
        <f>IFERROR('Banks_NOV-2025'!B9,0)</f>
        <v>2497819.73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</row>
    <row r="5">
      <c r="A5" s="18" t="s">
        <v>24</v>
      </c>
      <c r="B5" s="19">
        <f>IFERROR('Banks_JAN-2025'!C9,0)</f>
        <v>3674582.05</v>
      </c>
      <c r="C5" s="19">
        <f>IFERROR('Banks_FEB-2025'!C9,0)</f>
        <v>2714430.92</v>
      </c>
      <c r="D5" s="19">
        <f>IFERROR('Banks_MAR-2025'!C9,0)</f>
        <v>2578455.92</v>
      </c>
      <c r="E5" s="19">
        <f>IFERROR('Banks_APR-2025'!C9,0)</f>
        <v>1997152.5</v>
      </c>
      <c r="F5" s="19">
        <f>IFERROR('Banks_MAY-2025'!C9,0)</f>
        <v>2829237.87</v>
      </c>
      <c r="G5" s="19">
        <f>IFERROR('Banks_JUN-2025'!C9,0)</f>
        <v>2824082.14</v>
      </c>
      <c r="H5" s="19">
        <f>IFERROR('Banks_JUL-2025'!C9,0)</f>
        <v>2202032.42</v>
      </c>
      <c r="I5" s="19">
        <f>IFERROR('Banks_AUG-2025'!C9,0)</f>
        <v>3137664.55</v>
      </c>
      <c r="J5" s="19">
        <f>IFERROR('Banks_SEP-2025'!C9,0)</f>
        <v>2231502.45</v>
      </c>
      <c r="K5" s="19">
        <f>IFERROR('Banks_OCT-2025'!C9,0)</f>
        <v>4388651.37</v>
      </c>
      <c r="L5" s="19">
        <f>IFERROR('Banks_NOV-2025'!C9,0)</f>
        <v>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</row>
    <row r="6">
      <c r="A6" s="18" t="s">
        <v>25</v>
      </c>
      <c r="B6" s="19">
        <f>IFERROR('Banks_JAN-2025'!D9,0)</f>
        <v>2415.86</v>
      </c>
      <c r="C6" s="19">
        <f>IFERROR('Banks_FEB-2025'!D9,0)</f>
        <v>3176.7</v>
      </c>
      <c r="D6" s="19">
        <f>IFERROR('Banks_MAR-2025'!D9,0)</f>
        <v>2938.5</v>
      </c>
      <c r="E6" s="19">
        <f>IFERROR('Banks_APR-2025'!D9,0)</f>
        <v>2944.07</v>
      </c>
      <c r="F6" s="19">
        <f>IFERROR('Banks_MAY-2025'!D9,0)</f>
        <v>3564.49</v>
      </c>
      <c r="G6" s="19">
        <f>IFERROR('Banks_JUN-2025'!D9,0)</f>
        <v>3758.16</v>
      </c>
      <c r="H6" s="19">
        <f>IFERROR('Banks_JUL-2025'!D9,0)</f>
        <v>3200.98</v>
      </c>
      <c r="I6" s="19">
        <f>IFERROR('Banks_AUG-2025'!D9,0)</f>
        <v>3646.93</v>
      </c>
      <c r="J6" s="19">
        <f>IFERROR('Banks_SEP-2025'!D9,0)</f>
        <v>4046.1</v>
      </c>
      <c r="K6" s="19">
        <f>IFERROR('Banks_OCT-2025'!D9,0)</f>
        <v>4329.87</v>
      </c>
      <c r="L6" s="19">
        <f>IFERROR('Banks_NOV-2025'!D9,0)</f>
        <v>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</row>
    <row r="7">
      <c r="A7" s="18" t="s">
        <v>26</v>
      </c>
      <c r="B7" s="19">
        <f>IFERROR('Banks_JAN-2025'!E9,0)</f>
        <v>3886163.65</v>
      </c>
      <c r="C7" s="19">
        <f>IFERROR('Banks_FEB-2025'!E9,0)</f>
        <v>1593852.02</v>
      </c>
      <c r="D7" s="19">
        <f>IFERROR('Banks_MAR-2025'!E9,0)</f>
        <v>3114694.77</v>
      </c>
      <c r="E7" s="19">
        <f>IFERROR('Banks_APR-2025'!E9,0)</f>
        <v>1842569.59</v>
      </c>
      <c r="F7" s="19">
        <f>IFERROR('Banks_MAY-2025'!E9,0)</f>
        <v>2211346.79</v>
      </c>
      <c r="G7" s="19">
        <f>IFERROR('Banks_JUN-2025'!E9,0)</f>
        <v>3380199.88</v>
      </c>
      <c r="H7" s="19">
        <f>IFERROR('Banks_JUL-2025'!E9,0)</f>
        <v>1494442.1</v>
      </c>
      <c r="I7" s="19">
        <f>IFERROR('Banks_AUG-2025'!E9,0)</f>
        <v>3314968.36</v>
      </c>
      <c r="J7" s="19">
        <f>IFERROR('Banks_SEP-2025'!E9,0)</f>
        <v>837365.86</v>
      </c>
      <c r="K7" s="19">
        <f>IFERROR('Banks_OCT-2025'!E9,0)</f>
        <v>5725369.14</v>
      </c>
      <c r="L7" s="19">
        <f>IFERROR('Banks_NOV-2025'!E9,0)</f>
        <v>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</row>
    <row r="8">
      <c r="A8" s="18" t="s">
        <v>27</v>
      </c>
      <c r="B8" s="19">
        <f>IFERROR('Banks_JAN-2025'!F17,0)</f>
        <v>1143292.67</v>
      </c>
      <c r="C8" s="19">
        <f>IFERROR('Banks_FEB-2025'!F17,0)</f>
        <v>2260694.87</v>
      </c>
      <c r="D8" s="19">
        <f>IFERROR('Banks_MAR-2025'!F17,0)</f>
        <v>1722677.32</v>
      </c>
      <c r="E8" s="19">
        <f>IFERROR('Banks_APR-2025'!F17,0)</f>
        <v>1875053.56</v>
      </c>
      <c r="F8" s="19">
        <f>IFERROR('Banks_MAY-2025'!F17,0)</f>
        <v>2489314.038</v>
      </c>
      <c r="G8" s="19">
        <f>IFERROR('Banks_JUN-2025'!F17,0)</f>
        <v>1926729.138</v>
      </c>
      <c r="H8" s="19">
        <f>IFERROR('Banks_JUL-2025'!F17,0)</f>
        <v>2631118.478</v>
      </c>
      <c r="I8" s="19">
        <f>IFERROR('Banks_AUG-2025'!F17,0)</f>
        <v>2450363.6</v>
      </c>
      <c r="J8" s="19">
        <f>IFERROR('Banks_SEP-2025'!F17,0)</f>
        <v>3850313.608</v>
      </c>
      <c r="K8" s="19">
        <f>IFERROR('Banks_OCT-2025'!F17,0)</f>
        <v>2498320.618</v>
      </c>
      <c r="L8" s="19">
        <f>IFERROR('Banks_NOV-2025'!F17,0)</f>
        <v>2498320.618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</row>
    <row r="9">
      <c r="A9" s="18" t="s">
        <v>28</v>
      </c>
      <c r="B9" s="19">
        <f t="shared" ref="B9:L9" si="1">B5-B7</f>
        <v>-211581.6</v>
      </c>
      <c r="C9" s="19">
        <f t="shared" si="1"/>
        <v>1120578.9</v>
      </c>
      <c r="D9" s="19">
        <f t="shared" si="1"/>
        <v>-536238.85</v>
      </c>
      <c r="E9" s="19">
        <f t="shared" si="1"/>
        <v>154582.91</v>
      </c>
      <c r="F9" s="19">
        <f t="shared" si="1"/>
        <v>617891.08</v>
      </c>
      <c r="G9" s="19">
        <f t="shared" si="1"/>
        <v>-556117.74</v>
      </c>
      <c r="H9" s="19">
        <f t="shared" si="1"/>
        <v>707590.32</v>
      </c>
      <c r="I9" s="19">
        <f t="shared" si="1"/>
        <v>-177303.81</v>
      </c>
      <c r="J9" s="19">
        <f t="shared" si="1"/>
        <v>1394136.59</v>
      </c>
      <c r="K9" s="19">
        <f t="shared" si="1"/>
        <v>-1336717.77</v>
      </c>
      <c r="L9" s="19">
        <f t="shared" si="1"/>
        <v>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</row>
    <row r="10">
      <c r="A10" s="18" t="s">
        <v>29</v>
      </c>
      <c r="B10" s="18"/>
      <c r="C10" s="20">
        <f t="shared" ref="C10:L10" si="2">IFERROR((C8-B8)/B8,0)</f>
        <v>0.9773544687</v>
      </c>
      <c r="D10" s="20">
        <f t="shared" si="2"/>
        <v>-0.23798769</v>
      </c>
      <c r="E10" s="20">
        <f t="shared" si="2"/>
        <v>0.08845315268</v>
      </c>
      <c r="F10" s="20">
        <f t="shared" si="2"/>
        <v>0.3275962301</v>
      </c>
      <c r="G10" s="20">
        <f t="shared" si="2"/>
        <v>-0.2259999709</v>
      </c>
      <c r="H10" s="20">
        <f t="shared" si="2"/>
        <v>0.3655881495</v>
      </c>
      <c r="I10" s="20">
        <f t="shared" si="2"/>
        <v>-0.06869887428</v>
      </c>
      <c r="J10" s="20">
        <f t="shared" si="2"/>
        <v>0.5713233773</v>
      </c>
      <c r="K10" s="20">
        <f t="shared" si="2"/>
        <v>-0.3511384079</v>
      </c>
      <c r="L10" s="20">
        <f t="shared" si="2"/>
        <v>0</v>
      </c>
      <c r="M10" s="14"/>
      <c r="N10" s="21"/>
      <c r="O10" s="21"/>
      <c r="P10" s="21"/>
      <c r="Q10" s="21"/>
      <c r="R10" s="21"/>
      <c r="S10" s="21"/>
      <c r="T10" s="21"/>
      <c r="U10" s="21"/>
      <c r="V10" s="14"/>
      <c r="W10" s="21"/>
      <c r="X10" s="21"/>
      <c r="Y10" s="21"/>
      <c r="Z10" s="21"/>
      <c r="AA10" s="21"/>
      <c r="AB10" s="21"/>
      <c r="AC10" s="21"/>
      <c r="AD10" s="21"/>
      <c r="AE10" s="14"/>
      <c r="AF10" s="21"/>
      <c r="AG10" s="21"/>
      <c r="AH10" s="21"/>
      <c r="AI10" s="21"/>
      <c r="AJ10" s="21"/>
      <c r="AK10" s="21"/>
      <c r="AL10" s="21"/>
      <c r="AM10" s="21"/>
      <c r="AN10" s="14"/>
      <c r="AO10" s="21"/>
      <c r="AP10" s="21"/>
      <c r="AQ10" s="21"/>
      <c r="AR10" s="21"/>
      <c r="AS10" s="21"/>
      <c r="AT10" s="21"/>
      <c r="AU10" s="21"/>
      <c r="AV10" s="21"/>
      <c r="AW10" s="14"/>
      <c r="AX10" s="21"/>
      <c r="AY10" s="21"/>
      <c r="AZ10" s="21"/>
      <c r="BA10" s="21"/>
      <c r="BB10" s="21"/>
      <c r="BC10" s="21"/>
      <c r="BD10" s="21"/>
      <c r="BE10" s="21"/>
      <c r="BF10" s="14"/>
      <c r="BG10" s="21"/>
      <c r="BH10" s="21"/>
      <c r="BI10" s="21"/>
      <c r="BJ10" s="21"/>
      <c r="BK10" s="21"/>
      <c r="BL10" s="21"/>
      <c r="BM10" s="21"/>
      <c r="BN10" s="21"/>
      <c r="BO10" s="14"/>
      <c r="BP10" s="21"/>
      <c r="BQ10" s="21"/>
      <c r="BR10" s="21"/>
      <c r="BS10" s="21"/>
      <c r="BT10" s="21"/>
      <c r="BU10" s="21"/>
      <c r="BV10" s="21"/>
      <c r="BW10" s="21"/>
      <c r="BX10" s="14"/>
      <c r="BY10" s="21"/>
      <c r="BZ10" s="21"/>
      <c r="CA10" s="21"/>
      <c r="CB10" s="21"/>
      <c r="CC10" s="21"/>
      <c r="CD10" s="21"/>
      <c r="CE10" s="21"/>
      <c r="CF10" s="14"/>
      <c r="CG10" s="21"/>
      <c r="CH10" s="21"/>
      <c r="CI10" s="21"/>
      <c r="CJ10" s="21"/>
      <c r="CK10" s="21"/>
      <c r="CL10" s="21"/>
      <c r="CM10" s="14"/>
      <c r="CN10" s="21"/>
      <c r="CO10" s="21"/>
      <c r="CP10" s="21"/>
      <c r="CQ10" s="21"/>
      <c r="CR10" s="21"/>
      <c r="CS10" s="21"/>
      <c r="CT10" s="14"/>
      <c r="CU10" s="21"/>
      <c r="CV10" s="21"/>
      <c r="CW10" s="21"/>
      <c r="CX10" s="21"/>
      <c r="CY10" s="21"/>
      <c r="CZ10" s="21"/>
      <c r="DA10" s="14"/>
      <c r="DB10" s="21"/>
      <c r="DC10" s="21"/>
      <c r="DD10" s="21"/>
      <c r="DE10" s="21"/>
      <c r="DF10" s="21"/>
      <c r="DG10" s="21"/>
      <c r="DH10" s="14"/>
      <c r="DI10" s="21"/>
      <c r="DJ10" s="21"/>
      <c r="DK10" s="21"/>
      <c r="DL10" s="21"/>
      <c r="DM10" s="21"/>
      <c r="DN10" s="21"/>
      <c r="DO10" s="14"/>
      <c r="DP10" s="21"/>
      <c r="DQ10" s="21"/>
      <c r="DR10" s="21"/>
      <c r="DS10" s="21"/>
      <c r="DT10" s="21"/>
      <c r="DU10" s="21"/>
      <c r="DV10" s="14"/>
      <c r="DW10" s="21"/>
      <c r="DX10" s="21"/>
      <c r="DY10" s="21"/>
      <c r="DZ10" s="21"/>
      <c r="EA10" s="21"/>
      <c r="EB10" s="21"/>
      <c r="EC10" s="14"/>
      <c r="ED10" s="21"/>
      <c r="EE10" s="21"/>
      <c r="EF10" s="21"/>
      <c r="EG10" s="21"/>
      <c r="EH10" s="21"/>
      <c r="EI10" s="21"/>
      <c r="EJ10" s="14"/>
      <c r="EK10" s="21"/>
      <c r="EL10" s="21"/>
      <c r="EM10" s="21"/>
      <c r="EN10" s="21"/>
      <c r="EO10" s="21"/>
      <c r="EP10" s="21"/>
      <c r="EQ10" s="14"/>
      <c r="ER10" s="21"/>
      <c r="ES10" s="21"/>
      <c r="ET10" s="21"/>
      <c r="EU10" s="21"/>
      <c r="EV10" s="21"/>
      <c r="EW10" s="21"/>
      <c r="EX10" s="14"/>
      <c r="EY10" s="21"/>
      <c r="EZ10" s="21"/>
      <c r="FA10" s="21"/>
      <c r="FB10" s="21"/>
      <c r="FC10" s="21"/>
      <c r="FD10" s="21"/>
      <c r="FE10" s="14"/>
      <c r="FF10" s="21"/>
      <c r="FG10" s="21"/>
      <c r="FH10" s="21"/>
      <c r="FI10" s="21"/>
      <c r="FJ10" s="21"/>
      <c r="FK10" s="21"/>
      <c r="FL10" s="14"/>
      <c r="FM10" s="21"/>
      <c r="FN10" s="21"/>
      <c r="FO10" s="21"/>
      <c r="FP10" s="21"/>
      <c r="FQ10" s="21"/>
      <c r="FR10" s="21"/>
      <c r="FS10" s="14"/>
      <c r="FT10" s="21"/>
      <c r="FU10" s="21"/>
      <c r="FV10" s="21"/>
      <c r="FW10" s="21"/>
      <c r="FX10" s="21"/>
      <c r="FY10" s="21"/>
      <c r="FZ10" s="14"/>
      <c r="GA10" s="21"/>
      <c r="GB10" s="21"/>
      <c r="GC10" s="21"/>
      <c r="GD10" s="21"/>
      <c r="GE10" s="21"/>
      <c r="GF10" s="21"/>
      <c r="GG10" s="14"/>
      <c r="GH10" s="21"/>
      <c r="GI10" s="21"/>
      <c r="GJ10" s="21"/>
      <c r="GK10" s="21"/>
      <c r="GL10" s="21"/>
      <c r="GM10" s="21"/>
      <c r="GN10" s="14"/>
      <c r="GO10" s="21"/>
      <c r="GP10" s="21"/>
      <c r="GQ10" s="21"/>
      <c r="GR10" s="21"/>
      <c r="GS10" s="21"/>
      <c r="GT10" s="21"/>
      <c r="GU10" s="14"/>
      <c r="GV10" s="21"/>
      <c r="GW10" s="21"/>
      <c r="GX10" s="21"/>
      <c r="GY10" s="21"/>
      <c r="GZ10" s="21"/>
      <c r="HA10" s="21"/>
      <c r="HB10" s="14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</row>
  </sheetData>
  <mergeCells count="1">
    <mergeCell ref="A1:Y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18" width="15.13"/>
  </cols>
  <sheetData>
    <row r="1">
      <c r="A1" s="22" t="s">
        <v>30</v>
      </c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</row>
    <row r="3">
      <c r="A3" s="15" t="s">
        <v>22</v>
      </c>
      <c r="B3" s="16">
        <v>45658.0</v>
      </c>
      <c r="C3" s="16">
        <v>45689.0</v>
      </c>
      <c r="D3" s="16">
        <v>45717.0</v>
      </c>
      <c r="E3" s="16">
        <v>45748.0</v>
      </c>
      <c r="F3" s="16">
        <v>45778.0</v>
      </c>
      <c r="G3" s="16">
        <v>45809.0</v>
      </c>
      <c r="H3" s="16">
        <v>45839.0</v>
      </c>
      <c r="I3" s="16">
        <v>45870.0</v>
      </c>
      <c r="J3" s="16">
        <v>45901.0</v>
      </c>
      <c r="K3" s="16">
        <v>45931.0</v>
      </c>
      <c r="L3" s="16">
        <v>45962.0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4"/>
      <c r="GO3" s="17"/>
      <c r="GP3" s="17"/>
      <c r="GQ3" s="17"/>
      <c r="GR3" s="17"/>
      <c r="GS3" s="17"/>
      <c r="GT3" s="17"/>
      <c r="GU3" s="17"/>
      <c r="GV3" s="17"/>
      <c r="GW3" s="14"/>
      <c r="GX3" s="17"/>
      <c r="GY3" s="17"/>
      <c r="GZ3" s="17"/>
      <c r="HA3" s="14"/>
      <c r="HB3" s="17"/>
      <c r="HC3" s="17"/>
      <c r="HD3" s="17"/>
      <c r="HE3" s="14"/>
      <c r="HF3" s="17"/>
      <c r="HG3" s="17"/>
      <c r="HH3" s="14"/>
      <c r="HI3" s="17"/>
      <c r="HJ3" s="17"/>
    </row>
    <row r="4">
      <c r="A4" s="18" t="s">
        <v>23</v>
      </c>
      <c r="B4" s="19">
        <f>IFERROR('Advances_JAN-2025'!B3,0)</f>
        <v>163800.84</v>
      </c>
      <c r="C4" s="19">
        <f>IFERROR('Advances_FEB-2025'!B3,0)</f>
        <v>479608.52</v>
      </c>
      <c r="D4" s="19">
        <f>IFERROR('Advances_MAR-2025'!B3,0)</f>
        <v>489038.28</v>
      </c>
      <c r="E4" s="19">
        <f>IFERROR('Advances_APR-2025'!B3,0)</f>
        <v>491564.28</v>
      </c>
      <c r="F4" s="19">
        <f>IFERROR('Advances_MAY-2025'!B3,0)</f>
        <v>541048.28</v>
      </c>
      <c r="G4" s="19">
        <f>IFERROR('Advances_JUN-2025'!B3,0)</f>
        <v>472788.43</v>
      </c>
      <c r="H4" s="19">
        <f>IFERROR('Advances_JUL-2025'!B3,0)</f>
        <v>504240.98</v>
      </c>
      <c r="I4" s="19">
        <f>IFERROR('Advances_AUG-2025'!B3,0)</f>
        <v>452575.39</v>
      </c>
      <c r="J4" s="19">
        <f>IFERROR('Advances_SEP-2025'!B3,0)</f>
        <v>473840.39</v>
      </c>
      <c r="K4" s="19">
        <f>IFERROR('Advances_OCT-2025'!B3,0)</f>
        <v>504511.39</v>
      </c>
      <c r="L4" s="19">
        <f>IFERROR('Advances_NOV-2025'!B3,0)</f>
        <v>540959.39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</row>
    <row r="5">
      <c r="A5" s="18" t="s">
        <v>31</v>
      </c>
      <c r="B5" s="19">
        <f>IFERROR(SUM('Advances_JAN-2025'!E7:E1000),0)</f>
        <v>629615.36</v>
      </c>
      <c r="C5" s="19">
        <f>IFERROR(SUM('Advances_FEB-2025'!E7:E1000),0)</f>
        <v>813275.72</v>
      </c>
      <c r="D5" s="19">
        <f>IFERROR(SUM('Advances_MAR-2025'!E7:E1000),0)</f>
        <v>653526.88</v>
      </c>
      <c r="E5" s="19">
        <f>IFERROR(SUM('Advances_APR-2025'!E7:E1000),0)</f>
        <v>752494.88</v>
      </c>
      <c r="F5" s="19">
        <f>IFERROR(SUM('Advances_MAY-2025'!E7:E1000),0)</f>
        <v>615975.18</v>
      </c>
      <c r="G5" s="19">
        <f>IFERROR(SUM('Advances_JUN-2025'!E7:E1000),0)</f>
        <v>678880.28</v>
      </c>
      <c r="H5" s="19">
        <f>IFERROR(SUM('Advances_JUL-2025'!E7:E1000),0)</f>
        <v>577549.1</v>
      </c>
      <c r="I5" s="19">
        <f>IFERROR(SUM('Advances_AUG-2025'!E7:E1000),0)</f>
        <v>618079.1</v>
      </c>
      <c r="J5" s="19">
        <f>IFERROR(SUM('Advances_SEP-2025'!E7:E1000),0)</f>
        <v>681421.1</v>
      </c>
      <c r="K5" s="19">
        <f>IFERROR(SUM('Advances_OCT-2025'!E7:E1000),0)</f>
        <v>0</v>
      </c>
      <c r="L5" s="19">
        <f>IFERROR(SUM('Advances_NOV-2025'!E7:E1000),0)</f>
        <v>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</row>
    <row r="6">
      <c r="A6" s="18" t="s">
        <v>32</v>
      </c>
      <c r="B6" s="19">
        <v>0.0</v>
      </c>
      <c r="C6" s="19">
        <v>0.0</v>
      </c>
      <c r="D6" s="19">
        <v>0.0</v>
      </c>
      <c r="E6" s="19">
        <v>0.0</v>
      </c>
      <c r="F6" s="19">
        <v>0.0</v>
      </c>
      <c r="G6" s="19">
        <v>0.0</v>
      </c>
      <c r="H6" s="19">
        <v>0.0</v>
      </c>
      <c r="I6" s="19">
        <v>0.0</v>
      </c>
      <c r="J6" s="19">
        <v>0.0</v>
      </c>
      <c r="K6" s="19">
        <v>0.0</v>
      </c>
      <c r="L6" s="19">
        <v>0.0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</row>
    <row r="7">
      <c r="A7" s="18" t="s">
        <v>27</v>
      </c>
      <c r="B7" s="19">
        <f>IFERROR('Advances_JAN-2025'!E3,0)</f>
        <v>479608.52</v>
      </c>
      <c r="C7" s="19">
        <f>IFERROR('Advances_FEB-2025'!E3,0)</f>
        <v>489038.28</v>
      </c>
      <c r="D7" s="19">
        <f>IFERROR('Advances_MAR-2025'!E3,0)</f>
        <v>491564.28</v>
      </c>
      <c r="E7" s="19">
        <f>IFERROR('Advances_APR-2025'!E3,0)</f>
        <v>541048.28</v>
      </c>
      <c r="F7" s="19">
        <f>IFERROR('Advances_MAY-2025'!E3,0)</f>
        <v>472788.43</v>
      </c>
      <c r="G7" s="19">
        <f>IFERROR('Advances_JUN-2025'!E3,0)</f>
        <v>504240.98</v>
      </c>
      <c r="H7" s="19">
        <f>IFERROR('Advances_JUL-2025'!E3,0)</f>
        <v>453575.39</v>
      </c>
      <c r="I7" s="19">
        <f>IFERROR('Advances_AUG-2025'!E3,0)</f>
        <v>473840.39</v>
      </c>
      <c r="J7" s="19">
        <f>IFERROR('Advances_SEP-2025'!E3,0)</f>
        <v>504511.39</v>
      </c>
      <c r="K7" s="19">
        <f>IFERROR('Advances_OCT-2025'!E3,0)</f>
        <v>540959.39</v>
      </c>
      <c r="L7" s="19">
        <f>IFERROR('Advances_NOV-2025'!E3,0)</f>
        <v>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</row>
    <row r="8">
      <c r="A8" s="18" t="s">
        <v>33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</row>
    <row r="9">
      <c r="A9" s="18" t="s">
        <v>34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</row>
  </sheetData>
  <mergeCells count="1">
    <mergeCell ref="A1:Y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18" width="15.13"/>
  </cols>
  <sheetData>
    <row r="1">
      <c r="A1" s="23" t="s">
        <v>35</v>
      </c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</row>
    <row r="3">
      <c r="A3" s="15" t="s">
        <v>22</v>
      </c>
      <c r="B3" s="16">
        <v>45658.0</v>
      </c>
      <c r="C3" s="16">
        <v>45689.0</v>
      </c>
      <c r="D3" s="16">
        <v>45717.0</v>
      </c>
      <c r="E3" s="16">
        <v>45748.0</v>
      </c>
      <c r="F3" s="16">
        <v>45778.0</v>
      </c>
      <c r="G3" s="16">
        <v>45809.0</v>
      </c>
      <c r="H3" s="16">
        <v>45839.0</v>
      </c>
      <c r="I3" s="16">
        <v>45870.0</v>
      </c>
      <c r="J3" s="16">
        <v>45901.0</v>
      </c>
      <c r="K3" s="16">
        <v>45931.0</v>
      </c>
      <c r="L3" s="16">
        <v>45962.0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4"/>
      <c r="GO3" s="17"/>
      <c r="GP3" s="17"/>
      <c r="GQ3" s="17"/>
      <c r="GR3" s="17"/>
      <c r="GS3" s="17"/>
      <c r="GT3" s="17"/>
      <c r="GU3" s="17"/>
      <c r="GV3" s="17"/>
      <c r="GW3" s="14"/>
      <c r="GX3" s="17"/>
      <c r="GY3" s="17"/>
      <c r="GZ3" s="17"/>
      <c r="HA3" s="14"/>
      <c r="HB3" s="17"/>
      <c r="HC3" s="17"/>
      <c r="HD3" s="17"/>
      <c r="HE3" s="14"/>
      <c r="HF3" s="17"/>
      <c r="HG3" s="17"/>
      <c r="HH3" s="14"/>
      <c r="HI3" s="17"/>
      <c r="HJ3" s="17"/>
    </row>
    <row r="4">
      <c r="A4" s="18" t="s">
        <v>23</v>
      </c>
      <c r="B4" s="19">
        <f>IFERROR('Suspense_JAN-2025'!B3,0)</f>
        <v>-7420.48</v>
      </c>
      <c r="C4" s="19">
        <f>IFERROR('Suspense_FEB-2025'!B3,0)</f>
        <v>-62065.42</v>
      </c>
      <c r="D4" s="19">
        <f>IFERROR('Suspense_MAR-2025'!B3,0)</f>
        <v>-162101.8</v>
      </c>
      <c r="E4" s="19">
        <f>IFERROR('Suspense_APR-2025'!B3,0)</f>
        <v>-105635.53</v>
      </c>
      <c r="F4" s="19">
        <f>IFERROR('Suspense_MAY-2025'!B3,0)</f>
        <v>-109186.92</v>
      </c>
      <c r="G4" s="19">
        <f>IFERROR('Suspense_JUN-2025'!B3,0)</f>
        <v>-156614.8</v>
      </c>
      <c r="H4" s="19">
        <f>IFERROR('Suspense_JUL-2025'!B3,0)</f>
        <v>-149060.68</v>
      </c>
      <c r="I4" s="19">
        <f>IFERROR('Suspense_AUG-2025'!B3,0)</f>
        <v>-289792.79</v>
      </c>
      <c r="J4" s="19">
        <f>IFERROR('Suspense_SEP-2025'!B3,0)</f>
        <v>-22235.07</v>
      </c>
      <c r="K4" s="19">
        <f>IFERROR('Suspense_OCT-2025'!B3,0)</f>
        <v>-59758.42</v>
      </c>
      <c r="L4" s="19">
        <f>IFERROR('Suspense_NOV-2025'!B3,0)</f>
        <v>-186506.88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</row>
    <row r="5">
      <c r="A5" s="18" t="s">
        <v>36</v>
      </c>
      <c r="B5" s="19">
        <f>IFERROR(SUM('Suspense_JAN-2025'!E7:E1000)-SUM('Suspense_JAN-2025'!F7:F1000),0)</f>
        <v>-44797.78</v>
      </c>
      <c r="C5" s="19">
        <f>IFERROR(SUM('Suspense_FEB-2025'!E7:E1000)-SUM('Suspense_FEB-2025'!F7:F1000),0)</f>
        <v>-144834.16</v>
      </c>
      <c r="D5" s="19">
        <f>IFERROR(SUM('Suspense_MAR-2025'!E7:E1000)-SUM('Suspense_MAR-2025'!F7:F1000),0)</f>
        <v>-96035.42</v>
      </c>
      <c r="E5" s="19">
        <f>IFERROR(SUM('Suspense_APR-2025'!E7:E1000)-SUM('Suspense_APR-2025'!F7:F1000),0)</f>
        <v>-54928.7</v>
      </c>
      <c r="F5" s="19">
        <f>IFERROR(SUM('Suspense_MAY-2025'!E7:E1000)-SUM('Suspense_MAY-2025'!F7:F1000),0)</f>
        <v>-78715.91</v>
      </c>
      <c r="G5" s="19">
        <f>IFERROR(SUM('Suspense_JUN-2025'!E7:E1000)-SUM('Suspense_JUN-2025'!F7:F1000),0)</f>
        <v>-32717.68</v>
      </c>
      <c r="H5" s="19">
        <f>IFERROR(SUM('Suspense_JUL-2025'!E7:E1000)-SUM('Suspense_JUL-2025'!F7:F1000),0)</f>
        <v>-329290.14</v>
      </c>
      <c r="I5" s="19">
        <f>IFERROR(SUM('Suspense_AUG-2025'!E7:E1000)-SUM('Suspense_AUG-2025'!F7:F1000),0)</f>
        <v>-44470.14</v>
      </c>
      <c r="J5" s="19">
        <f>IFERROR(SUM('Suspense_SEP-2025'!E7:E1000)-SUM('Suspense_SEP-2025'!F7:F1000),0)</f>
        <v>-42490.78</v>
      </c>
      <c r="K5" s="19">
        <f>IFERROR(SUM('Suspense_OCT-2025'!E7:E1000)-SUM('Suspense_OCT-2025'!F7:F1000),0)</f>
        <v>-169239.24</v>
      </c>
      <c r="L5" s="19">
        <f>IFERROR(SUM('Suspense_NOV-2025'!E7:E1000)-SUM('Suspense_NOV-2025'!F7:F1000),0)</f>
        <v>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</row>
    <row r="6">
      <c r="A6" s="18" t="s">
        <v>37</v>
      </c>
      <c r="B6" s="19">
        <v>0.0</v>
      </c>
      <c r="C6" s="19">
        <v>0.0</v>
      </c>
      <c r="D6" s="19">
        <v>0.0</v>
      </c>
      <c r="E6" s="19">
        <v>0.0</v>
      </c>
      <c r="F6" s="19">
        <v>0.0</v>
      </c>
      <c r="G6" s="19">
        <v>0.0</v>
      </c>
      <c r="H6" s="19">
        <v>0.0</v>
      </c>
      <c r="I6" s="19">
        <v>0.0</v>
      </c>
      <c r="J6" s="19">
        <v>0.0</v>
      </c>
      <c r="K6" s="19">
        <v>0.0</v>
      </c>
      <c r="L6" s="19">
        <v>0.0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</row>
    <row r="7">
      <c r="A7" s="18" t="s">
        <v>27</v>
      </c>
      <c r="B7" s="19">
        <f>IFERROR('Suspense_JAN-2025'!E3,0)</f>
        <v>-62065.42</v>
      </c>
      <c r="C7" s="19">
        <f>IFERROR('Suspense_FEB-2025'!E3,0)</f>
        <v>-162101.8</v>
      </c>
      <c r="D7" s="19">
        <f>IFERROR('Suspense_MAR-2025'!E3,0)</f>
        <v>-113303.06</v>
      </c>
      <c r="E7" s="19">
        <f>IFERROR('Suspense_APR-2025'!E3,0)</f>
        <v>-72196.34</v>
      </c>
      <c r="F7" s="19">
        <f>IFERROR('Suspense_MAY-2025'!E3,0)</f>
        <v>-95983.55</v>
      </c>
      <c r="G7" s="19">
        <f>IFERROR('Suspense_JUN-2025'!E3,0)</f>
        <v>-49985.32</v>
      </c>
      <c r="H7" s="19">
        <f>IFERROR('Suspense_JUL-2025'!E3,0)</f>
        <v>-181912.71</v>
      </c>
      <c r="I7" s="19">
        <f>IFERROR('Suspense_AUG-2025'!E3,0)</f>
        <v>-61737.78</v>
      </c>
      <c r="J7" s="19">
        <f>IFERROR('Suspense_SEP-2025'!E3,0)</f>
        <v>-59758.42</v>
      </c>
      <c r="K7" s="19">
        <f>IFERROR('Suspense_OCT-2025'!E3,0)</f>
        <v>-186506.88</v>
      </c>
      <c r="L7" s="19">
        <f>IFERROR('Suspense_NOV-2025'!E3,0)</f>
        <v>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</row>
    <row r="8">
      <c r="A8" s="18" t="s">
        <v>38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</row>
    <row r="9">
      <c r="A9" s="18" t="s">
        <v>39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</row>
  </sheetData>
  <mergeCells count="1">
    <mergeCell ref="A1:Y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3.88"/>
    <col customWidth="1" min="3" max="459" width="15.13"/>
  </cols>
  <sheetData>
    <row r="1">
      <c r="A1" s="24" t="s">
        <v>40</v>
      </c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</row>
    <row r="3">
      <c r="A3" s="15" t="s">
        <v>41</v>
      </c>
      <c r="B3" s="15" t="s">
        <v>42</v>
      </c>
      <c r="C3" s="16">
        <v>45658.0</v>
      </c>
      <c r="D3" s="16">
        <v>45689.0</v>
      </c>
      <c r="E3" s="16">
        <v>45717.0</v>
      </c>
      <c r="F3" s="16">
        <v>45748.0</v>
      </c>
      <c r="G3" s="16">
        <v>45778.0</v>
      </c>
      <c r="H3" s="16">
        <v>45809.0</v>
      </c>
      <c r="I3" s="16">
        <v>45839.0</v>
      </c>
      <c r="J3" s="16">
        <v>45870.0</v>
      </c>
      <c r="K3" s="16">
        <v>45901.0</v>
      </c>
      <c r="L3" s="16">
        <v>45931.0</v>
      </c>
      <c r="M3" s="16">
        <v>45962.0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4"/>
      <c r="PV3" s="17"/>
      <c r="PW3" s="17"/>
      <c r="PX3" s="17"/>
      <c r="PY3" s="17"/>
      <c r="PZ3" s="17"/>
      <c r="QA3" s="17"/>
      <c r="QB3" s="17"/>
      <c r="QC3" s="17"/>
      <c r="QD3" s="14"/>
      <c r="QE3" s="17"/>
      <c r="QF3" s="17"/>
      <c r="QG3" s="17"/>
      <c r="QH3" s="14"/>
      <c r="QI3" s="17"/>
      <c r="QJ3" s="17"/>
      <c r="QK3" s="17"/>
      <c r="QL3" s="14"/>
      <c r="QM3" s="17"/>
      <c r="QN3" s="17"/>
      <c r="QO3" s="14"/>
      <c r="QP3" s="17"/>
      <c r="QQ3" s="17"/>
    </row>
    <row r="4">
      <c r="A4" s="4" t="s">
        <v>43</v>
      </c>
      <c r="B4" s="6" t="str">
        <f>IFERROR(__xludf.DUMMYFUNCTION("IF(COUNTA(C4:M4)=0,"""",SPARKLINE(C4:M4,{""charttype"",""line"";""linewidth"",2}))"),"")</f>
        <v/>
      </c>
      <c r="C4" s="6">
        <f>IFERROR(SUMIF('Outstanding_JAN-2025'!$D$19:$D$502,$A4,'Outstanding_JAN-2025'!$G$19:$G$502),0)</f>
        <v>42552.35</v>
      </c>
      <c r="D4" s="6">
        <f>IFERROR(SUMIF('Outstanding_FEB-2025'!$D$19:$D$502,$A4,'Outstanding_FEB-2025'!$G$19:$G$502),0)</f>
        <v>45063.62</v>
      </c>
      <c r="E4" s="6">
        <f>IFERROR(SUMIF('Outstanding_MAR-2025'!$D$19:$D$502,$A4,'Outstanding_MAR-2025'!$G$19:$G$502),0)</f>
        <v>57982.29</v>
      </c>
      <c r="F4" s="6">
        <f>IFERROR(SUMIF('Outstanding_APR-2025'!$D$19:$D$502,$A4,'Outstanding_APR-2025'!$G$19:$G$502),0)</f>
        <v>55220.63</v>
      </c>
      <c r="G4" s="6">
        <f>IFERROR(SUMIF('Outstanding_MAY-2025'!$D$19:$D$502,$A4,'Outstanding_MAY-2025'!$G$19:$G$502),0)</f>
        <v>86898.24</v>
      </c>
      <c r="H4" s="6">
        <f>IFERROR(SUMIF('Outstanding_JUN-2025'!$D$19:$D$502,$A4,'Outstanding_JUN-2025'!$G$19:$G$502),0)</f>
        <v>74345.29</v>
      </c>
      <c r="I4" s="6">
        <f>IFERROR(SUMIF('Outstanding_JUL-2025'!$D$19:$D$502,$A4,'Outstanding_JUL-2025'!$G$19:$G$502),0)</f>
        <v>71919.95</v>
      </c>
      <c r="J4" s="6">
        <f>IFERROR(SUMIF('Outstanding_AUG-2025'!$D$19:$D$502,$A4,'Outstanding_AUG-2025'!$G$19:$G$502),0)</f>
        <v>69826.96</v>
      </c>
      <c r="K4" s="6">
        <f>IFERROR(SUMIF('Outstanding_SEP-2025'!$D$19:$D$502,$A4,'Outstanding_SEP-2025'!$G$19:$G$502),0)</f>
        <v>72379.87</v>
      </c>
      <c r="L4" s="6">
        <f>IFERROR(SUMIF('Outstanding_OCT-2025'!$D$19:$D$502,$A4,'Outstanding_OCT-2025'!$G$19:$G$502),0)</f>
        <v>76836.77</v>
      </c>
      <c r="M4" s="6">
        <f>IFERROR(SUMIF('Outstanding_NOV-2025'!$D$19:$D$502,$A4,'Outstanding_NOV-2025'!$G$19:$G$502),0)</f>
        <v>79345.24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</row>
    <row r="5">
      <c r="A5" s="4" t="s">
        <v>44</v>
      </c>
      <c r="B5" s="6" t="str">
        <f>IFERROR(__xludf.DUMMYFUNCTION("IF(COUNTA(C5:M5)=0,"""",SPARKLINE(C5:M5,{""charttype"",""line"";""linewidth"",2}))"),"")</f>
        <v/>
      </c>
      <c r="C5" s="6">
        <f>IFERROR(SUMIF('Outstanding_JAN-2025'!$D$19:$D$502,$A5,'Outstanding_JAN-2025'!$G$19:$G$502),0)</f>
        <v>24265.64</v>
      </c>
      <c r="D5" s="6">
        <f>IFERROR(SUMIF('Outstanding_FEB-2025'!$D$19:$D$502,$A5,'Outstanding_FEB-2025'!$G$19:$G$502),0)</f>
        <v>25395.4</v>
      </c>
      <c r="E5" s="6">
        <f>IFERROR(SUMIF('Outstanding_MAR-2025'!$D$19:$D$502,$A5,'Outstanding_MAR-2025'!$G$19:$G$502),0)</f>
        <v>23396.73</v>
      </c>
      <c r="F5" s="6">
        <f>IFERROR(SUMIF('Outstanding_APR-2025'!$D$19:$D$502,$A5,'Outstanding_APR-2025'!$G$19:$G$502),0)</f>
        <v>23222.49</v>
      </c>
      <c r="G5" s="6">
        <f>IFERROR(SUMIF('Outstanding_MAY-2025'!$D$19:$D$502,$A5,'Outstanding_MAY-2025'!$G$19:$G$502),0)</f>
        <v>18197.45</v>
      </c>
      <c r="H5" s="6">
        <f>IFERROR(SUMIF('Outstanding_JUN-2025'!$D$19:$D$502,$A5,'Outstanding_JUN-2025'!$G$19:$G$502),0)</f>
        <v>16255.67</v>
      </c>
      <c r="I5" s="6">
        <f>IFERROR(SUMIF('Outstanding_JUL-2025'!$D$19:$D$502,$A5,'Outstanding_JUL-2025'!$G$19:$G$502),0)</f>
        <v>23149.21</v>
      </c>
      <c r="J5" s="6">
        <f>IFERROR(SUMIF('Outstanding_AUG-2025'!$D$19:$D$502,$A5,'Outstanding_AUG-2025'!$G$19:$G$502),0)</f>
        <v>24260.07</v>
      </c>
      <c r="K5" s="6">
        <f>IFERROR(SUMIF('Outstanding_SEP-2025'!$D$19:$D$502,$A5,'Outstanding_SEP-2025'!$G$19:$G$502),0)</f>
        <v>23755.49</v>
      </c>
      <c r="L5" s="6">
        <f>IFERROR(SUMIF('Outstanding_OCT-2025'!$D$19:$D$502,$A5,'Outstanding_OCT-2025'!$G$19:$G$502),0)</f>
        <v>20506.08</v>
      </c>
      <c r="M5" s="6">
        <f>IFERROR(SUMIF('Outstanding_NOV-2025'!$D$19:$D$502,$A5,'Outstanding_NOV-2025'!$G$19:$G$502),0)</f>
        <v>19951.36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</row>
    <row r="6">
      <c r="A6" s="4" t="s">
        <v>45</v>
      </c>
      <c r="B6" s="6" t="str">
        <f>IFERROR(__xludf.DUMMYFUNCTION("IF(COUNTA(C6:M6)=0,"""",SPARKLINE(C6:M6,{""charttype"",""line"";""linewidth"",2}))"),"")</f>
        <v/>
      </c>
      <c r="C6" s="6">
        <f>IFERROR(SUMIF('Outstanding_JAN-2025'!$D$19:$D$502,$A6,'Outstanding_JAN-2025'!$G$19:$G$502),0)</f>
        <v>17887.52</v>
      </c>
      <c r="D6" s="6">
        <f>IFERROR(SUMIF('Outstanding_FEB-2025'!$D$19:$D$502,$A6,'Outstanding_FEB-2025'!$G$19:$G$502),0)</f>
        <v>7652.1</v>
      </c>
      <c r="E6" s="6">
        <f>IFERROR(SUMIF('Outstanding_MAR-2025'!$D$19:$D$502,$A6,'Outstanding_MAR-2025'!$G$19:$G$502),0)</f>
        <v>15534.5</v>
      </c>
      <c r="F6" s="6">
        <f>IFERROR(SUMIF('Outstanding_APR-2025'!$D$19:$D$502,$A6,'Outstanding_APR-2025'!$G$19:$G$502),0)</f>
        <v>14069.24</v>
      </c>
      <c r="G6" s="6">
        <f>IFERROR(SUMIF('Outstanding_MAY-2025'!$D$19:$D$502,$A6,'Outstanding_MAY-2025'!$G$19:$G$502),0)</f>
        <v>24512.04</v>
      </c>
      <c r="H6" s="6">
        <f>IFERROR(SUMIF('Outstanding_JUN-2025'!$D$19:$D$502,$A6,'Outstanding_JUN-2025'!$G$19:$G$502),0)</f>
        <v>22573.22</v>
      </c>
      <c r="I6" s="6">
        <f>IFERROR(SUMIF('Outstanding_JUL-2025'!$D$19:$D$502,$A6,'Outstanding_JUL-2025'!$G$19:$G$502),0)</f>
        <v>25052.83</v>
      </c>
      <c r="J6" s="6">
        <f>IFERROR(SUMIF('Outstanding_AUG-2025'!$D$19:$D$502,$A6,'Outstanding_AUG-2025'!$G$19:$G$502),0)</f>
        <v>19724.86</v>
      </c>
      <c r="K6" s="6">
        <f>IFERROR(SUMIF('Outstanding_SEP-2025'!$D$19:$D$502,$A6,'Outstanding_SEP-2025'!$G$19:$G$502),0)</f>
        <v>24945</v>
      </c>
      <c r="L6" s="6">
        <f>IFERROR(SUMIF('Outstanding_OCT-2025'!$D$19:$D$502,$A6,'Outstanding_OCT-2025'!$G$19:$G$502),0)</f>
        <v>25219.28</v>
      </c>
      <c r="M6" s="6">
        <f>IFERROR(SUMIF('Outstanding_NOV-2025'!$D$19:$D$502,$A6,'Outstanding_NOV-2025'!$G$19:$G$502),0)</f>
        <v>22733.87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</row>
    <row r="7">
      <c r="A7" s="4" t="s">
        <v>46</v>
      </c>
      <c r="B7" s="6" t="str">
        <f>IFERROR(__xludf.DUMMYFUNCTION("IF(COUNTA(C7:M7)=0,"""",SPARKLINE(C7:M7,{""charttype"",""line"";""linewidth"",2}))"),"")</f>
        <v/>
      </c>
      <c r="C7" s="6">
        <f>IFERROR(SUMIF('Outstanding_JAN-2025'!$D$19:$D$502,$A7,'Outstanding_JAN-2025'!$G$19:$G$502),0)</f>
        <v>575.93</v>
      </c>
      <c r="D7" s="6">
        <f>IFERROR(SUMIF('Outstanding_FEB-2025'!$D$19:$D$502,$A7,'Outstanding_FEB-2025'!$G$19:$G$502),0)</f>
        <v>837.92</v>
      </c>
      <c r="E7" s="6">
        <f>IFERROR(SUMIF('Outstanding_MAR-2025'!$D$19:$D$502,$A7,'Outstanding_MAR-2025'!$G$19:$G$502),0)</f>
        <v>15595.44</v>
      </c>
      <c r="F7" s="6">
        <f>IFERROR(SUMIF('Outstanding_APR-2025'!$D$19:$D$502,$A7,'Outstanding_APR-2025'!$G$19:$G$502),0)</f>
        <v>14302.95</v>
      </c>
      <c r="G7" s="6">
        <f>IFERROR(SUMIF('Outstanding_MAY-2025'!$D$19:$D$502,$A7,'Outstanding_MAY-2025'!$G$19:$G$502),0)</f>
        <v>17759.41</v>
      </c>
      <c r="H7" s="6">
        <f>IFERROR(SUMIF('Outstanding_JUN-2025'!$D$19:$D$502,$A7,'Outstanding_JUN-2025'!$G$19:$G$502),0)</f>
        <v>21216.07</v>
      </c>
      <c r="I7" s="6">
        <f>IFERROR(SUMIF('Outstanding_JUL-2025'!$D$19:$D$502,$A7,'Outstanding_JUL-2025'!$G$19:$G$502),0)</f>
        <v>32516.24</v>
      </c>
      <c r="J7" s="6">
        <f>IFERROR(SUMIF('Outstanding_AUG-2025'!$D$19:$D$502,$A7,'Outstanding_AUG-2025'!$G$19:$G$502),0)</f>
        <v>38060.96</v>
      </c>
      <c r="K7" s="6">
        <f>IFERROR(SUMIF('Outstanding_SEP-2025'!$D$19:$D$502,$A7,'Outstanding_SEP-2025'!$G$19:$G$502),0)</f>
        <v>54291.15</v>
      </c>
      <c r="L7" s="6">
        <f>IFERROR(SUMIF('Outstanding_OCT-2025'!$D$19:$D$502,$A7,'Outstanding_OCT-2025'!$G$19:$G$502),0)</f>
        <v>45795.01</v>
      </c>
      <c r="M7" s="6">
        <f>IFERROR(SUMIF('Outstanding_NOV-2025'!$D$19:$D$502,$A7,'Outstanding_NOV-2025'!$G$19:$G$502),0)</f>
        <v>34121.05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</row>
    <row r="8">
      <c r="A8" s="4" t="s">
        <v>47</v>
      </c>
      <c r="B8" s="6" t="str">
        <f>IFERROR(__xludf.DUMMYFUNCTION("IF(COUNTA(C8:M8)=0,"""",SPARKLINE(C8:M8,{""charttype"",""line"";""linewidth"",2}))"),"")</f>
        <v/>
      </c>
      <c r="C8" s="6">
        <f>IFERROR(SUMIF('Outstanding_JAN-2025'!$D$19:$D$502,$A8,'Outstanding_JAN-2025'!$G$19:$G$502),0)</f>
        <v>401746.31</v>
      </c>
      <c r="D8" s="6">
        <f>IFERROR(SUMIF('Outstanding_FEB-2025'!$D$19:$D$502,$A8,'Outstanding_FEB-2025'!$G$19:$G$502),0)</f>
        <v>386314.4</v>
      </c>
      <c r="E8" s="6">
        <f>IFERROR(SUMIF('Outstanding_MAR-2025'!$D$19:$D$502,$A8,'Outstanding_MAR-2025'!$G$19:$G$502),0)</f>
        <v>408441.36</v>
      </c>
      <c r="F8" s="6">
        <f>IFERROR(SUMIF('Outstanding_APR-2025'!$D$19:$D$502,$A8,'Outstanding_APR-2025'!$G$19:$G$502),0)</f>
        <v>390433.84</v>
      </c>
      <c r="G8" s="6">
        <f>IFERROR(SUMIF('Outstanding_MAY-2025'!$D$19:$D$502,$A8,'Outstanding_MAY-2025'!$G$19:$G$502),0)</f>
        <v>372922.38</v>
      </c>
      <c r="H8" s="6">
        <f>IFERROR(SUMIF('Outstanding_JUN-2025'!$D$19:$D$502,$A8,'Outstanding_JUN-2025'!$G$19:$G$502),0)</f>
        <v>396181.7</v>
      </c>
      <c r="I8" s="6">
        <f>IFERROR(SUMIF('Outstanding_JUL-2025'!$D$19:$D$502,$A8,'Outstanding_JUL-2025'!$G$19:$G$502),0)</f>
        <v>398562.17</v>
      </c>
      <c r="J8" s="6">
        <f>IFERROR(SUMIF('Outstanding_AUG-2025'!$D$19:$D$502,$A8,'Outstanding_AUG-2025'!$G$19:$G$502),0)</f>
        <v>329881.32</v>
      </c>
      <c r="K8" s="6">
        <f>IFERROR(SUMIF('Outstanding_SEP-2025'!$D$19:$D$502,$A8,'Outstanding_SEP-2025'!$G$19:$G$502),0)</f>
        <v>343351.34</v>
      </c>
      <c r="L8" s="6">
        <f>IFERROR(SUMIF('Outstanding_OCT-2025'!$D$19:$D$502,$A8,'Outstanding_OCT-2025'!$G$19:$G$502),0)</f>
        <v>366543.83</v>
      </c>
      <c r="M8" s="6">
        <f>IFERROR(SUMIF('Outstanding_NOV-2025'!$D$19:$D$502,$A8,'Outstanding_NOV-2025'!$G$19:$G$502),0)</f>
        <v>486637.4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</row>
    <row r="9">
      <c r="A9" s="4" t="s">
        <v>48</v>
      </c>
      <c r="B9" s="6" t="str">
        <f>IFERROR(__xludf.DUMMYFUNCTION("IF(COUNTA(C9:M9)=0,"""",SPARKLINE(C9:M9,{""charttype"",""line"";""linewidth"",2}))"),"")</f>
        <v/>
      </c>
      <c r="C9" s="6">
        <f>IFERROR(SUMIF('Outstanding_JAN-2025'!$D$19:$D$502,$A9,'Outstanding_JAN-2025'!$G$19:$G$502),0)</f>
        <v>22083.16</v>
      </c>
      <c r="D9" s="6">
        <f>IFERROR(SUMIF('Outstanding_FEB-2025'!$D$19:$D$502,$A9,'Outstanding_FEB-2025'!$G$19:$G$502),0)</f>
        <v>45700.21</v>
      </c>
      <c r="E9" s="6">
        <f>IFERROR(SUMIF('Outstanding_MAR-2025'!$D$19:$D$502,$A9,'Outstanding_MAR-2025'!$G$19:$G$502),0)</f>
        <v>45671.06</v>
      </c>
      <c r="F9" s="6">
        <f>IFERROR(SUMIF('Outstanding_APR-2025'!$D$19:$D$502,$A9,'Outstanding_APR-2025'!$G$19:$G$502),0)</f>
        <v>59897.57</v>
      </c>
      <c r="G9" s="6">
        <f>IFERROR(SUMIF('Outstanding_MAY-2025'!$D$19:$D$502,$A9,'Outstanding_MAY-2025'!$G$19:$G$502),0)</f>
        <v>65021.92</v>
      </c>
      <c r="H9" s="6">
        <f>IFERROR(SUMIF('Outstanding_JUN-2025'!$D$19:$D$502,$A9,'Outstanding_JUN-2025'!$G$19:$G$502),0)</f>
        <v>69892.24</v>
      </c>
      <c r="I9" s="6">
        <f>IFERROR(SUMIF('Outstanding_JUL-2025'!$D$19:$D$502,$A9,'Outstanding_JUL-2025'!$G$19:$G$502),0)</f>
        <v>66813.14</v>
      </c>
      <c r="J9" s="6">
        <f>IFERROR(SUMIF('Outstanding_AUG-2025'!$D$19:$D$502,$A9,'Outstanding_AUG-2025'!$G$19:$G$502),0)</f>
        <v>71998.44</v>
      </c>
      <c r="K9" s="6">
        <f>IFERROR(SUMIF('Outstanding_SEP-2025'!$D$19:$D$502,$A9,'Outstanding_SEP-2025'!$G$19:$G$502),0)</f>
        <v>77103.34</v>
      </c>
      <c r="L9" s="6">
        <f>IFERROR(SUMIF('Outstanding_OCT-2025'!$D$19:$D$502,$A9,'Outstanding_OCT-2025'!$G$19:$G$502),0)</f>
        <v>72659.84</v>
      </c>
      <c r="M9" s="6">
        <f>IFERROR(SUMIF('Outstanding_NOV-2025'!$D$19:$D$502,$A9,'Outstanding_NOV-2025'!$G$19:$G$502),0)</f>
        <v>92907.92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</row>
    <row r="10">
      <c r="A10" s="4" t="s">
        <v>49</v>
      </c>
      <c r="B10" s="6" t="str">
        <f>IFERROR(__xludf.DUMMYFUNCTION("IF(COUNTA(C10:M10)=0,"""",SPARKLINE(C10:M10,{""charttype"",""line"";""linewidth"",2}))"),"")</f>
        <v/>
      </c>
      <c r="C10" s="6">
        <f>IFERROR(SUMIF('Outstanding_JAN-2025'!$D$19:$D$502,$A10,'Outstanding_JAN-2025'!$G$19:$G$502),0)</f>
        <v>985953.74</v>
      </c>
      <c r="D10" s="6">
        <f>IFERROR(SUMIF('Outstanding_FEB-2025'!$D$19:$D$502,$A10,'Outstanding_FEB-2025'!$G$19:$G$502),0)</f>
        <v>778183.07</v>
      </c>
      <c r="E10" s="6">
        <f>IFERROR(SUMIF('Outstanding_MAR-2025'!$D$19:$D$502,$A10,'Outstanding_MAR-2025'!$G$19:$G$502),0)</f>
        <v>650384.77</v>
      </c>
      <c r="F10" s="6">
        <f>IFERROR(SUMIF('Outstanding_APR-2025'!$D$19:$D$502,$A10,'Outstanding_APR-2025'!$G$19:$G$502),0)</f>
        <v>809040.72</v>
      </c>
      <c r="G10" s="6">
        <f>IFERROR(SUMIF('Outstanding_MAY-2025'!$D$19:$D$502,$A10,'Outstanding_MAY-2025'!$G$19:$G$502),0)</f>
        <v>1349535.46</v>
      </c>
      <c r="H10" s="6">
        <f>IFERROR(SUMIF('Outstanding_JUN-2025'!$D$19:$D$502,$A10,'Outstanding_JUN-2025'!$G$19:$G$502),0)</f>
        <v>1250206.02</v>
      </c>
      <c r="I10" s="6">
        <f>IFERROR(SUMIF('Outstanding_JUL-2025'!$D$19:$D$502,$A10,'Outstanding_JUL-2025'!$G$19:$G$502),0)</f>
        <v>1434277.59</v>
      </c>
      <c r="J10" s="6">
        <f>IFERROR(SUMIF('Outstanding_AUG-2025'!$D$19:$D$502,$A10,'Outstanding_AUG-2025'!$G$19:$G$502),0)</f>
        <v>1087241.22</v>
      </c>
      <c r="K10" s="6">
        <f>IFERROR(SUMIF('Outstanding_SEP-2025'!$D$19:$D$502,$A10,'Outstanding_SEP-2025'!$G$19:$G$502),0)</f>
        <v>1068473.29</v>
      </c>
      <c r="L10" s="6">
        <f>IFERROR(SUMIF('Outstanding_OCT-2025'!$D$19:$D$502,$A10,'Outstanding_OCT-2025'!$G$19:$G$502),0)</f>
        <v>1056569.43</v>
      </c>
      <c r="M10" s="6">
        <f>IFERROR(SUMIF('Outstanding_NOV-2025'!$D$19:$D$502,$A10,'Outstanding_NOV-2025'!$G$19:$G$502),0)</f>
        <v>976412.87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</row>
    <row r="11">
      <c r="A11" s="4" t="s">
        <v>50</v>
      </c>
      <c r="B11" s="6" t="str">
        <f>IFERROR(__xludf.DUMMYFUNCTION("IF(COUNTA(C11:M11)=0,"""",SPARKLINE(C11:M11,{""charttype"",""line"";""linewidth"",2}))"),"")</f>
        <v/>
      </c>
      <c r="C11" s="6">
        <f>IFERROR(SUMIF('Outstanding_JAN-2025'!$D$19:$D$502,$A11,'Outstanding_JAN-2025'!$G$19:$G$502),0)</f>
        <v>0</v>
      </c>
      <c r="D11" s="6">
        <f>IFERROR(SUMIF('Outstanding_FEB-2025'!$D$19:$D$502,$A11,'Outstanding_FEB-2025'!$G$19:$G$502),0)</f>
        <v>0</v>
      </c>
      <c r="E11" s="6">
        <f>IFERROR(SUMIF('Outstanding_MAR-2025'!$D$19:$D$502,$A11,'Outstanding_MAR-2025'!$G$19:$G$502),0)</f>
        <v>779.99</v>
      </c>
      <c r="F11" s="6">
        <f>IFERROR(SUMIF('Outstanding_APR-2025'!$D$19:$D$502,$A11,'Outstanding_APR-2025'!$G$19:$G$502),0)</f>
        <v>4846.35</v>
      </c>
      <c r="G11" s="6">
        <f>IFERROR(SUMIF('Outstanding_MAY-2025'!$D$19:$D$502,$A11,'Outstanding_MAY-2025'!$G$19:$G$502),0)</f>
        <v>8545.51</v>
      </c>
      <c r="H11" s="6">
        <f>IFERROR(SUMIF('Outstanding_JUN-2025'!$D$19:$D$502,$A11,'Outstanding_JUN-2025'!$G$19:$G$502),0)</f>
        <v>7230.55</v>
      </c>
      <c r="I11" s="6">
        <f>IFERROR(SUMIF('Outstanding_JUL-2025'!$D$19:$D$502,$A11,'Outstanding_JUL-2025'!$G$19:$G$502),0)</f>
        <v>13792.6</v>
      </c>
      <c r="J11" s="6">
        <f>IFERROR(SUMIF('Outstanding_AUG-2025'!$D$19:$D$502,$A11,'Outstanding_AUG-2025'!$G$19:$G$502),0)</f>
        <v>16057.58</v>
      </c>
      <c r="K11" s="6">
        <f>IFERROR(SUMIF('Outstanding_SEP-2025'!$D$19:$D$502,$A11,'Outstanding_SEP-2025'!$G$19:$G$502),0)</f>
        <v>17862.18</v>
      </c>
      <c r="L11" s="6">
        <f>IFERROR(SUMIF('Outstanding_OCT-2025'!$D$19:$D$502,$A11,'Outstanding_OCT-2025'!$G$19:$G$502),0)</f>
        <v>17259.59</v>
      </c>
      <c r="M11" s="6">
        <f>IFERROR(SUMIF('Outstanding_NOV-2025'!$D$19:$D$502,$A11,'Outstanding_NOV-2025'!$G$19:$G$502),0)</f>
        <v>18398.82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</row>
    <row r="12">
      <c r="A12" s="4" t="s">
        <v>51</v>
      </c>
      <c r="B12" s="6" t="str">
        <f>IFERROR(__xludf.DUMMYFUNCTION("IF(COUNTA(C12:M12)=0,"""",SPARKLINE(C12:M12,{""charttype"",""line"";""linewidth"",2}))"),"")</f>
        <v/>
      </c>
      <c r="C12" s="6">
        <f>IFERROR(SUMIF('Outstanding_JAN-2025'!$D$19:$D$502,$A12,'Outstanding_JAN-2025'!$G$19:$G$502),0)</f>
        <v>3674.58</v>
      </c>
      <c r="D12" s="6">
        <f>IFERROR(SUMIF('Outstanding_FEB-2025'!$D$19:$D$502,$A12,'Outstanding_FEB-2025'!$G$19:$G$502),0)</f>
        <v>3500.62</v>
      </c>
      <c r="E12" s="6">
        <f>IFERROR(SUMIF('Outstanding_MAR-2025'!$D$19:$D$502,$A12,'Outstanding_MAR-2025'!$G$19:$G$502),0)</f>
        <v>3408.64</v>
      </c>
      <c r="F12" s="6">
        <f>IFERROR(SUMIF('Outstanding_APR-2025'!$D$19:$D$502,$A12,'Outstanding_APR-2025'!$G$19:$G$502),0)</f>
        <v>4062.21</v>
      </c>
      <c r="G12" s="6">
        <f>IFERROR(SUMIF('Outstanding_MAY-2025'!$D$19:$D$502,$A12,'Outstanding_MAY-2025'!$G$19:$G$502),0)</f>
        <v>15556.35</v>
      </c>
      <c r="H12" s="6">
        <f>IFERROR(SUMIF('Outstanding_JUN-2025'!$D$19:$D$502,$A12,'Outstanding_JUN-2025'!$G$19:$G$502),0)</f>
        <v>13950.79</v>
      </c>
      <c r="I12" s="6">
        <f>IFERROR(SUMIF('Outstanding_JUL-2025'!$D$19:$D$502,$A12,'Outstanding_JUL-2025'!$G$19:$G$502),0)</f>
        <v>16876.6</v>
      </c>
      <c r="J12" s="6">
        <f>IFERROR(SUMIF('Outstanding_AUG-2025'!$D$19:$D$502,$A12,'Outstanding_AUG-2025'!$G$19:$G$502),0)</f>
        <v>14387.17</v>
      </c>
      <c r="K12" s="6">
        <f>IFERROR(SUMIF('Outstanding_SEP-2025'!$D$19:$D$502,$A12,'Outstanding_SEP-2025'!$G$19:$G$502),0)</f>
        <v>15423.13</v>
      </c>
      <c r="L12" s="6">
        <f>IFERROR(SUMIF('Outstanding_OCT-2025'!$D$19:$D$502,$A12,'Outstanding_OCT-2025'!$G$19:$G$502),0)</f>
        <v>27926.05</v>
      </c>
      <c r="M12" s="6">
        <f>IFERROR(SUMIF('Outstanding_NOV-2025'!$D$19:$D$502,$A12,'Outstanding_NOV-2025'!$G$19:$G$502),0)</f>
        <v>17807.28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</row>
    <row r="13">
      <c r="A13" s="4" t="s">
        <v>52</v>
      </c>
      <c r="B13" s="6" t="str">
        <f>IFERROR(__xludf.DUMMYFUNCTION("IF(COUNTA(C13:M13)=0,"""",SPARKLINE(C13:M13,{""charttype"",""line"";""linewidth"",2}))"),"")</f>
        <v/>
      </c>
      <c r="C13" s="6">
        <f>IFERROR(SUMIF('Outstanding_JAN-2025'!$D$19:$D$502,$A13,'Outstanding_JAN-2025'!$G$19:$G$502),0)</f>
        <v>237083.08</v>
      </c>
      <c r="D13" s="6">
        <f>IFERROR(SUMIF('Outstanding_FEB-2025'!$D$19:$D$502,$A13,'Outstanding_FEB-2025'!$G$19:$G$502),0)</f>
        <v>228497.88</v>
      </c>
      <c r="E13" s="6">
        <f>IFERROR(SUMIF('Outstanding_MAR-2025'!$D$19:$D$502,$A13,'Outstanding_MAR-2025'!$G$19:$G$502),0)</f>
        <v>231169.37</v>
      </c>
      <c r="F13" s="6">
        <f>IFERROR(SUMIF('Outstanding_APR-2025'!$D$19:$D$502,$A13,'Outstanding_APR-2025'!$G$19:$G$502),0)</f>
        <v>264736.23</v>
      </c>
      <c r="G13" s="6">
        <f>IFERROR(SUMIF('Outstanding_MAY-2025'!$D$19:$D$502,$A13,'Outstanding_MAY-2025'!$G$19:$G$502),0)</f>
        <v>248652.07</v>
      </c>
      <c r="H13" s="6">
        <f>IFERROR(SUMIF('Outstanding_JUN-2025'!$D$19:$D$502,$A13,'Outstanding_JUN-2025'!$G$19:$G$502),0)</f>
        <v>229073.43</v>
      </c>
      <c r="I13" s="6">
        <f>IFERROR(SUMIF('Outstanding_JUL-2025'!$D$19:$D$502,$A13,'Outstanding_JUL-2025'!$G$19:$G$502),0)</f>
        <v>214810.77</v>
      </c>
      <c r="J13" s="6">
        <f>IFERROR(SUMIF('Outstanding_AUG-2025'!$D$19:$D$502,$A13,'Outstanding_AUG-2025'!$G$19:$G$502),0)</f>
        <v>250098.41</v>
      </c>
      <c r="K13" s="6">
        <f>IFERROR(SUMIF('Outstanding_SEP-2025'!$D$19:$D$502,$A13,'Outstanding_SEP-2025'!$G$19:$G$502),0)</f>
        <v>235777.05</v>
      </c>
      <c r="L13" s="6">
        <f>IFERROR(SUMIF('Outstanding_OCT-2025'!$D$19:$D$502,$A13,'Outstanding_OCT-2025'!$G$19:$G$502),0)</f>
        <v>245613.5</v>
      </c>
      <c r="M13" s="6">
        <f>IFERROR(SUMIF('Outstanding_NOV-2025'!$D$19:$D$502,$A13,'Outstanding_NOV-2025'!$G$19:$G$502),0)</f>
        <v>270754.61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</row>
    <row r="14">
      <c r="A14" s="4" t="s">
        <v>53</v>
      </c>
      <c r="B14" s="6" t="str">
        <f>IFERROR(__xludf.DUMMYFUNCTION("IF(COUNTA(C14:M14)=0,"""",SPARKLINE(C14:M14,{""charttype"",""line"";""linewidth"",2}))"),"")</f>
        <v/>
      </c>
      <c r="C14" s="6">
        <f>IFERROR(SUMIF('Outstanding_JAN-2025'!$D$19:$D$502,$A14,'Outstanding_JAN-2025'!$G$19:$G$502),0)</f>
        <v>55184.18</v>
      </c>
      <c r="D14" s="6">
        <f>IFERROR(SUMIF('Outstanding_FEB-2025'!$D$19:$D$502,$A14,'Outstanding_FEB-2025'!$G$19:$G$502),0)</f>
        <v>57646.36</v>
      </c>
      <c r="E14" s="6">
        <f>IFERROR(SUMIF('Outstanding_MAR-2025'!$D$19:$D$502,$A14,'Outstanding_MAR-2025'!$G$19:$G$502),0)</f>
        <v>49421.1</v>
      </c>
      <c r="F14" s="6">
        <f>IFERROR(SUMIF('Outstanding_APR-2025'!$D$19:$D$502,$A14,'Outstanding_APR-2025'!$G$19:$G$502),0)</f>
        <v>65418.65</v>
      </c>
      <c r="G14" s="6">
        <f>IFERROR(SUMIF('Outstanding_MAY-2025'!$D$19:$D$502,$A14,'Outstanding_MAY-2025'!$G$19:$G$502),0)</f>
        <v>72741.9</v>
      </c>
      <c r="H14" s="6">
        <f>IFERROR(SUMIF('Outstanding_JUN-2025'!$D$19:$D$502,$A14,'Outstanding_JUN-2025'!$G$19:$G$502),0)</f>
        <v>81121.23</v>
      </c>
      <c r="I14" s="6">
        <f>IFERROR(SUMIF('Outstanding_JUL-2025'!$D$19:$D$502,$A14,'Outstanding_JUL-2025'!$G$19:$G$502),0)</f>
        <v>88733.24</v>
      </c>
      <c r="J14" s="6">
        <f>IFERROR(SUMIF('Outstanding_AUG-2025'!$D$19:$D$502,$A14,'Outstanding_AUG-2025'!$G$19:$G$502),0)</f>
        <v>88782.28</v>
      </c>
      <c r="K14" s="6">
        <f>IFERROR(SUMIF('Outstanding_SEP-2025'!$D$19:$D$502,$A14,'Outstanding_SEP-2025'!$G$19:$G$502),0)</f>
        <v>85162.44</v>
      </c>
      <c r="L14" s="6">
        <f>IFERROR(SUMIF('Outstanding_OCT-2025'!$D$19:$D$502,$A14,'Outstanding_OCT-2025'!$G$19:$G$502),0)</f>
        <v>99007.14</v>
      </c>
      <c r="M14" s="6">
        <f>IFERROR(SUMIF('Outstanding_NOV-2025'!$D$19:$D$502,$A14,'Outstanding_NOV-2025'!$G$19:$G$502),0)</f>
        <v>89837.02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</row>
    <row r="15">
      <c r="A15" s="4" t="s">
        <v>54</v>
      </c>
      <c r="B15" s="5" t="str">
        <f>IFERROR(__xludf.DUMMYFUNCTION("IF(COUNTA(C15:M15)=0,"""",SPARKLINE(C15:M15,{""charttype"",""line"";""linewidth"",2}))"),"")</f>
        <v/>
      </c>
      <c r="C15" s="6">
        <f>IFERROR(SUMIF('Outstanding_JAN-2025'!$D$19:$D$502,$A15,'Outstanding_JAN-2025'!$G$19:$G$502),0)</f>
        <v>0</v>
      </c>
      <c r="D15" s="6">
        <f>IFERROR(SUMIF('Outstanding_FEB-2025'!$D$19:$D$502,$A15,'Outstanding_FEB-2025'!$G$19:$G$502),0)</f>
        <v>0</v>
      </c>
      <c r="E15" s="6">
        <f>IFERROR(SUMIF('Outstanding_MAR-2025'!$D$19:$D$502,$A15,'Outstanding_MAR-2025'!$G$19:$G$502),0)</f>
        <v>0</v>
      </c>
      <c r="F15" s="6">
        <f>IFERROR(SUMIF('Outstanding_APR-2025'!$D$19:$D$502,$A15,'Outstanding_APR-2025'!$G$19:$G$502),0)</f>
        <v>0</v>
      </c>
      <c r="G15" s="6">
        <f>IFERROR(SUMIF('Outstanding_MAY-2025'!$D$19:$D$502,$A15,'Outstanding_MAY-2025'!$G$19:$G$502),0)</f>
        <v>0</v>
      </c>
      <c r="H15" s="6">
        <f>IFERROR(SUMIF('Outstanding_JUN-2025'!$D$19:$D$502,$A15,'Outstanding_JUN-2025'!$G$19:$G$502),0)</f>
        <v>0</v>
      </c>
      <c r="I15" s="6">
        <f>IFERROR(SUMIF('Outstanding_JUL-2025'!$D$19:$D$502,$A15,'Outstanding_JUL-2025'!$G$19:$G$502),0)</f>
        <v>0</v>
      </c>
      <c r="J15" s="6">
        <f>IFERROR(SUMIF('Outstanding_AUG-2025'!$D$19:$D$502,$A15,'Outstanding_AUG-2025'!$G$19:$G$502),0)</f>
        <v>0</v>
      </c>
      <c r="K15" s="6">
        <f>IFERROR(SUMIF('Outstanding_SEP-2025'!$D$19:$D$502,$A15,'Outstanding_SEP-2025'!$G$19:$G$502),0)</f>
        <v>0</v>
      </c>
      <c r="L15" s="6">
        <f>IFERROR(SUMIF('Outstanding_OCT-2025'!$D$19:$D$502,$A15,'Outstanding_OCT-2025'!$G$19:$G$502),0)</f>
        <v>0</v>
      </c>
      <c r="M15" s="6">
        <f>IFERROR(SUMIF('Outstanding_NOV-2025'!$D$19:$D$502,$A15,'Outstanding_NOV-2025'!$G$19:$G$502),0)</f>
        <v>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</row>
    <row r="16">
      <c r="A16" s="4" t="s">
        <v>55</v>
      </c>
      <c r="B16" s="5" t="str">
        <f>IFERROR(__xludf.DUMMYFUNCTION("IF(COUNTA(C16:M16)=0,"""",SPARKLINE(C16:M16,{""charttype"",""line"";""linewidth"",2}))"),"")</f>
        <v/>
      </c>
      <c r="C16" s="6">
        <f>IFERROR(SUMIF('Outstanding_JAN-2025'!$D$19:$D$502,$A16,'Outstanding_JAN-2025'!$G$19:$G$502),0)</f>
        <v>0</v>
      </c>
      <c r="D16" s="6">
        <f>IFERROR(SUMIF('Outstanding_FEB-2025'!$D$19:$D$502,$A16,'Outstanding_FEB-2025'!$G$19:$G$502),0)</f>
        <v>0</v>
      </c>
      <c r="E16" s="6">
        <f>IFERROR(SUMIF('Outstanding_MAR-2025'!$D$19:$D$502,$A16,'Outstanding_MAR-2025'!$G$19:$G$502),0)</f>
        <v>0</v>
      </c>
      <c r="F16" s="6">
        <f>IFERROR(SUMIF('Outstanding_APR-2025'!$D$19:$D$502,$A16,'Outstanding_APR-2025'!$G$19:$G$502),0)</f>
        <v>0</v>
      </c>
      <c r="G16" s="6">
        <f>IFERROR(SUMIF('Outstanding_MAY-2025'!$D$19:$D$502,$A16,'Outstanding_MAY-2025'!$G$19:$G$502),0)</f>
        <v>0</v>
      </c>
      <c r="H16" s="6">
        <f>IFERROR(SUMIF('Outstanding_JUN-2025'!$D$19:$D$502,$A16,'Outstanding_JUN-2025'!$G$19:$G$502),0)</f>
        <v>0</v>
      </c>
      <c r="I16" s="6">
        <f>IFERROR(SUMIF('Outstanding_JUL-2025'!$D$19:$D$502,$A16,'Outstanding_JUL-2025'!$G$19:$G$502),0)</f>
        <v>0</v>
      </c>
      <c r="J16" s="6">
        <f>IFERROR(SUMIF('Outstanding_AUG-2025'!$D$19:$D$502,$A16,'Outstanding_AUG-2025'!$G$19:$G$502),0)</f>
        <v>0</v>
      </c>
      <c r="K16" s="6">
        <f>IFERROR(SUMIF('Outstanding_SEP-2025'!$D$19:$D$502,$A16,'Outstanding_SEP-2025'!$G$19:$G$502),0)</f>
        <v>0</v>
      </c>
      <c r="L16" s="6">
        <f>IFERROR(SUMIF('Outstanding_OCT-2025'!$D$19:$D$502,$A16,'Outstanding_OCT-2025'!$G$19:$G$502),0)</f>
        <v>0</v>
      </c>
      <c r="M16" s="6">
        <f>IFERROR(SUMIF('Outstanding_NOV-2025'!$D$19:$D$502,$A16,'Outstanding_NOV-2025'!$G$19:$G$502),0)</f>
        <v>20589.67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</row>
    <row r="17">
      <c r="A17" s="4" t="s">
        <v>56</v>
      </c>
      <c r="B17" s="5" t="str">
        <f>IFERROR(__xludf.DUMMYFUNCTION("IF(COUNTA(C17:M17)=0,"""",SPARKLINE(C17:M17,{""charttype"",""line"";""linewidth"",2}))"),"")</f>
        <v/>
      </c>
      <c r="C17" s="6">
        <f>IFERROR(SUMIF('Outstanding_JAN-2025'!$D$19:$D$502,$A17,'Outstanding_JAN-2025'!$G$19:$G$502),0)</f>
        <v>0</v>
      </c>
      <c r="D17" s="6">
        <f>IFERROR(SUMIF('Outstanding_FEB-2025'!$D$19:$D$502,$A17,'Outstanding_FEB-2025'!$G$19:$G$502),0)</f>
        <v>0</v>
      </c>
      <c r="E17" s="6">
        <f>IFERROR(SUMIF('Outstanding_MAR-2025'!$D$19:$D$502,$A17,'Outstanding_MAR-2025'!$G$19:$G$502),0)</f>
        <v>0</v>
      </c>
      <c r="F17" s="6">
        <f>IFERROR(SUMIF('Outstanding_APR-2025'!$D$19:$D$502,$A17,'Outstanding_APR-2025'!$G$19:$G$502),0)</f>
        <v>0</v>
      </c>
      <c r="G17" s="6">
        <f>IFERROR(SUMIF('Outstanding_MAY-2025'!$D$19:$D$502,$A17,'Outstanding_MAY-2025'!$G$19:$G$502),0)</f>
        <v>0</v>
      </c>
      <c r="H17" s="6">
        <f>IFERROR(SUMIF('Outstanding_JUN-2025'!$D$19:$D$502,$A17,'Outstanding_JUN-2025'!$G$19:$G$502),0)</f>
        <v>0</v>
      </c>
      <c r="I17" s="6">
        <f>IFERROR(SUMIF('Outstanding_JUL-2025'!$D$19:$D$502,$A17,'Outstanding_JUL-2025'!$G$19:$G$502),0)</f>
        <v>0</v>
      </c>
      <c r="J17" s="6">
        <f>IFERROR(SUMIF('Outstanding_AUG-2025'!$D$19:$D$502,$A17,'Outstanding_AUG-2025'!$G$19:$G$502),0)</f>
        <v>0</v>
      </c>
      <c r="K17" s="6">
        <f>IFERROR(SUMIF('Outstanding_SEP-2025'!$D$19:$D$502,$A17,'Outstanding_SEP-2025'!$G$19:$G$502),0)</f>
        <v>0</v>
      </c>
      <c r="L17" s="6">
        <f>IFERROR(SUMIF('Outstanding_OCT-2025'!$D$19:$D$502,$A17,'Outstanding_OCT-2025'!$G$19:$G$502),0)</f>
        <v>0</v>
      </c>
      <c r="M17" s="6">
        <f>IFERROR(SUMIF('Outstanding_NOV-2025'!$D$19:$D$502,$A17,'Outstanding_NOV-2025'!$G$19:$G$502),0)</f>
        <v>30912.4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</row>
    <row r="18">
      <c r="A18" s="4" t="s">
        <v>57</v>
      </c>
      <c r="B18" s="5" t="str">
        <f>IFERROR(__xludf.DUMMYFUNCTION("IF(COUNTA(C18:M18)=0,"""",SPARKLINE(C18:M18,{""charttype"",""line"";""linewidth"",2}))"),"")</f>
        <v/>
      </c>
      <c r="C18" s="6">
        <f>IFERROR(SUMIF('Outstanding_JAN-2025'!$D$19:$D$502,$A18,'Outstanding_JAN-2025'!$G$19:$G$502),0)</f>
        <v>0</v>
      </c>
      <c r="D18" s="6">
        <f>IFERROR(SUMIF('Outstanding_FEB-2025'!$D$19:$D$502,$A18,'Outstanding_FEB-2025'!$G$19:$G$502),0)</f>
        <v>0</v>
      </c>
      <c r="E18" s="6">
        <f>IFERROR(SUMIF('Outstanding_MAR-2025'!$D$19:$D$502,$A18,'Outstanding_MAR-2025'!$G$19:$G$502),0)</f>
        <v>0</v>
      </c>
      <c r="F18" s="6">
        <f>IFERROR(SUMIF('Outstanding_APR-2025'!$D$19:$D$502,$A18,'Outstanding_APR-2025'!$G$19:$G$502),0)</f>
        <v>4990.26</v>
      </c>
      <c r="G18" s="6">
        <f>IFERROR(SUMIF('Outstanding_MAY-2025'!$D$19:$D$502,$A18,'Outstanding_MAY-2025'!$G$19:$G$502),0)</f>
        <v>4366.48</v>
      </c>
      <c r="H18" s="6">
        <f>IFERROR(SUMIF('Outstanding_JUN-2025'!$D$19:$D$502,$A18,'Outstanding_JUN-2025'!$G$19:$G$502),0)</f>
        <v>4366.48</v>
      </c>
      <c r="I18" s="6">
        <f>IFERROR(SUMIF('Outstanding_JUL-2025'!$D$19:$D$502,$A18,'Outstanding_JUL-2025'!$G$19:$G$502),0)</f>
        <v>4366.48</v>
      </c>
      <c r="J18" s="6">
        <f>IFERROR(SUMIF('Outstanding_AUG-2025'!$D$19:$D$502,$A18,'Outstanding_AUG-2025'!$G$19:$G$502),0)</f>
        <v>4257.5</v>
      </c>
      <c r="K18" s="6">
        <f>IFERROR(SUMIF('Outstanding_SEP-2025'!$D$19:$D$502,$A18,'Outstanding_SEP-2025'!$G$19:$G$502),0)</f>
        <v>0</v>
      </c>
      <c r="L18" s="6">
        <f>IFERROR(SUMIF('Outstanding_OCT-2025'!$D$19:$D$502,$A18,'Outstanding_OCT-2025'!$G$19:$G$502),0)</f>
        <v>0</v>
      </c>
      <c r="M18" s="6">
        <f>IFERROR(SUMIF('Outstanding_NOV-2025'!$D$19:$D$502,$A18,'Outstanding_NOV-2025'!$G$19:$G$502),0)</f>
        <v>4257.5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Y18" s="6"/>
      <c r="IZ18" s="6"/>
      <c r="JA18" s="6"/>
      <c r="JB18" s="6"/>
      <c r="JC18" s="6"/>
      <c r="JD18" s="6"/>
      <c r="JE18" s="6"/>
    </row>
    <row r="19">
      <c r="A19" s="4" t="s">
        <v>58</v>
      </c>
      <c r="B19" s="5" t="str">
        <f>IFERROR(__xludf.DUMMYFUNCTION("IF(COUNTA(C19:M19)=0,"""",SPARKLINE(C19:M19,{""charttype"",""line"";""linewidth"",2}))"),"")</f>
        <v/>
      </c>
      <c r="C19" s="6">
        <f>IFERROR(SUMIF('Outstanding_JAN-2025'!$D$19:$D$502,$A19,'Outstanding_JAN-2025'!$G$19:$G$502),0)</f>
        <v>4863</v>
      </c>
      <c r="D19" s="6">
        <f>IFERROR(SUMIF('Outstanding_FEB-2025'!$D$19:$D$502,$A19,'Outstanding_FEB-2025'!$G$19:$G$502),0)</f>
        <v>11134.02</v>
      </c>
      <c r="E19" s="6">
        <f>IFERROR(SUMIF('Outstanding_MAR-2025'!$D$19:$D$502,$A19,'Outstanding_MAR-2025'!$G$19:$G$502),0)</f>
        <v>6051.96</v>
      </c>
      <c r="F19" s="6">
        <f>IFERROR(SUMIF('Outstanding_APR-2025'!$D$19:$D$502,$A19,'Outstanding_APR-2025'!$G$19:$G$502),0)</f>
        <v>5859.02</v>
      </c>
      <c r="G19" s="6">
        <f>IFERROR(SUMIF('Outstanding_MAY-2025'!$D$19:$D$502,$A19,'Outstanding_MAY-2025'!$G$19:$G$502),0)</f>
        <v>3245</v>
      </c>
      <c r="H19" s="6">
        <f>IFERROR(SUMIF('Outstanding_JUN-2025'!$D$19:$D$502,$A19,'Outstanding_JUN-2025'!$G$19:$G$502),0)</f>
        <v>3046</v>
      </c>
      <c r="I19" s="6">
        <f>IFERROR(SUMIF('Outstanding_JUL-2025'!$D$19:$D$502,$A19,'Outstanding_JUL-2025'!$G$19:$G$502),0)</f>
        <v>8916.95</v>
      </c>
      <c r="J19" s="6">
        <f>IFERROR(SUMIF('Outstanding_AUG-2025'!$D$19:$D$502,$A19,'Outstanding_AUG-2025'!$G$19:$G$502),0)</f>
        <v>12195.64</v>
      </c>
      <c r="K19" s="6">
        <f>IFERROR(SUMIF('Outstanding_SEP-2025'!$D$19:$D$502,$A19,'Outstanding_SEP-2025'!$G$19:$G$502),0)</f>
        <v>5260</v>
      </c>
      <c r="L19" s="6">
        <f>IFERROR(SUMIF('Outstanding_OCT-2025'!$D$19:$D$502,$A19,'Outstanding_OCT-2025'!$G$19:$G$502),0)</f>
        <v>9086.56</v>
      </c>
      <c r="M19" s="6">
        <f>IFERROR(SUMIF('Outstanding_NOV-2025'!$D$19:$D$502,$A19,'Outstanding_NOV-2025'!$G$19:$G$502),0)</f>
        <v>15016.49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25" t="s">
        <v>59</v>
      </c>
      <c r="B20" s="5" t="str">
        <f>IFERROR(__xludf.DUMMYFUNCTION("IF(COUNTA(C20:M20)=0,"""",SPARKLINE(C20:M20,{""charttype"",""line"";""linewidth"",2}))"),"")</f>
        <v/>
      </c>
      <c r="C20" s="6">
        <f t="shared" ref="C20:M20" si="1">SUM(C4:C19)</f>
        <v>1795869.49</v>
      </c>
      <c r="D20" s="6">
        <f t="shared" si="1"/>
        <v>1589925.6</v>
      </c>
      <c r="E20" s="6">
        <f t="shared" si="1"/>
        <v>1507837.21</v>
      </c>
      <c r="F20" s="6">
        <f t="shared" si="1"/>
        <v>1716100.16</v>
      </c>
      <c r="G20" s="6">
        <f t="shared" si="1"/>
        <v>2287954.21</v>
      </c>
      <c r="H20" s="6">
        <f t="shared" si="1"/>
        <v>2189458.69</v>
      </c>
      <c r="I20" s="6">
        <f t="shared" si="1"/>
        <v>2399787.77</v>
      </c>
      <c r="J20" s="6">
        <f t="shared" si="1"/>
        <v>2026772.41</v>
      </c>
      <c r="K20" s="6">
        <f t="shared" si="1"/>
        <v>2023784.28</v>
      </c>
      <c r="L20" s="6">
        <f t="shared" si="1"/>
        <v>2063023.08</v>
      </c>
      <c r="M20" s="6">
        <f t="shared" si="1"/>
        <v>2179683.5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18" t="s">
        <v>60</v>
      </c>
      <c r="D21" s="5" t="str">
        <f t="shared" ref="D21:M21" si="2">IF(C20="","",IFERROR(IF(D20=C20,"—",IF(D20&gt;C20,"▲ +"&amp;TEXT((D20-C20)/C20,"0.0%"),"▼ -"&amp;TEXT(ABS((D20-C20)/C20),"0.0%"))),""))</f>
        <v>▼ -11.5%</v>
      </c>
      <c r="E21" s="5" t="str">
        <f t="shared" si="2"/>
        <v>▼ -5.2%</v>
      </c>
      <c r="F21" s="5" t="str">
        <f t="shared" si="2"/>
        <v>▲ +13.8%</v>
      </c>
      <c r="G21" s="5" t="str">
        <f t="shared" si="2"/>
        <v>▲ +33.3%</v>
      </c>
      <c r="H21" s="5" t="str">
        <f t="shared" si="2"/>
        <v>▼ -4.3%</v>
      </c>
      <c r="I21" s="5" t="str">
        <f t="shared" si="2"/>
        <v>▲ +9.6%</v>
      </c>
      <c r="J21" s="5" t="str">
        <f t="shared" si="2"/>
        <v>▼ -15.5%</v>
      </c>
      <c r="K21" s="5" t="str">
        <f t="shared" si="2"/>
        <v>▼ -0.1%</v>
      </c>
      <c r="L21" s="5" t="str">
        <f t="shared" si="2"/>
        <v>▲ +1.9%</v>
      </c>
      <c r="M21" s="5" t="str">
        <f t="shared" si="2"/>
        <v>▲ +5.7%</v>
      </c>
    </row>
  </sheetData>
  <mergeCells count="1">
    <mergeCell ref="A1:DT1"/>
  </mergeCells>
  <conditionalFormatting sqref="C21:M21">
    <cfRule type="containsText" dxfId="0" priority="1" stopIfTrue="1" operator="containsText" text="▲">
      <formula>NOT(ISERROR(SEARCH(("▲"),(C21))))</formula>
    </cfRule>
  </conditionalFormatting>
  <conditionalFormatting sqref="C21:M21">
    <cfRule type="containsText" dxfId="1" priority="2" stopIfTrue="1" operator="containsText" text="▼">
      <formula>NOT(ISERROR(SEARCH(("▼"),(C21))))</formula>
    </cfRule>
  </conditionalFormatting>
  <conditionalFormatting sqref="C20:M20">
    <cfRule type="expression" dxfId="0" priority="3" stopIfTrue="1">
      <formula>AND(COLUMN()&gt;3, INDIRECT(ADDRESS(20,COLUMN()))&gt;INDIRECT(ADDRESS(20,COLUMN()-1)))</formula>
    </cfRule>
  </conditionalFormatting>
  <conditionalFormatting sqref="C20:M20">
    <cfRule type="expression" dxfId="1" priority="4" stopIfTrue="1">
      <formula>AND(COLUMN()&gt;3, INDIRECT(ADDRESS(20,COLUMN()))&lt;INDIRECT(ADDRESS(20,COLUMN()-1)))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8.88"/>
  </cols>
  <sheetData>
    <row r="1">
      <c r="A1" s="26" t="s">
        <v>61</v>
      </c>
    </row>
    <row r="3">
      <c r="A3" s="27" t="s">
        <v>62</v>
      </c>
    </row>
    <row r="4">
      <c r="A4" s="4" t="s">
        <v>63</v>
      </c>
    </row>
    <row r="5">
      <c r="A5" s="4" t="s">
        <v>64</v>
      </c>
      <c r="B5" s="14"/>
      <c r="C5" s="14"/>
      <c r="D5" s="14"/>
      <c r="E5" s="14"/>
      <c r="F5" s="14"/>
    </row>
    <row r="6">
      <c r="A6" s="4" t="s">
        <v>65</v>
      </c>
      <c r="B6" s="14"/>
      <c r="C6" s="14"/>
      <c r="D6" s="14"/>
      <c r="E6" s="14"/>
      <c r="F6" s="14"/>
    </row>
    <row r="7">
      <c r="A7" s="4" t="s">
        <v>66</v>
      </c>
      <c r="B7" s="14"/>
      <c r="C7" s="14"/>
      <c r="D7" s="14"/>
      <c r="E7" s="14"/>
      <c r="F7" s="14"/>
    </row>
    <row r="8">
      <c r="A8" s="4" t="s">
        <v>67</v>
      </c>
      <c r="B8" s="14"/>
      <c r="C8" s="14"/>
      <c r="D8" s="14"/>
      <c r="E8" s="14"/>
      <c r="F8" s="14"/>
    </row>
    <row r="9">
      <c r="A9" s="14"/>
      <c r="B9" s="14"/>
      <c r="C9" s="14"/>
      <c r="D9" s="14"/>
      <c r="E9" s="14"/>
      <c r="F9" s="14"/>
    </row>
    <row r="10">
      <c r="A10" s="14"/>
      <c r="B10" s="14"/>
      <c r="C10" s="14"/>
      <c r="D10" s="14"/>
      <c r="E10" s="14"/>
      <c r="F10" s="14"/>
    </row>
    <row r="11">
      <c r="A11" s="14"/>
      <c r="B11" s="14"/>
      <c r="C11" s="14"/>
      <c r="D11" s="14"/>
      <c r="E11" s="14"/>
      <c r="F11" s="14"/>
    </row>
    <row r="12">
      <c r="A12" s="27" t="s">
        <v>68</v>
      </c>
    </row>
    <row r="13">
      <c r="A13" s="14"/>
      <c r="C13" s="14"/>
      <c r="E13" s="14"/>
    </row>
    <row r="14">
      <c r="A14" s="28" t="s">
        <v>69</v>
      </c>
      <c r="C14" s="28" t="s">
        <v>70</v>
      </c>
      <c r="E14" s="28" t="s">
        <v>71</v>
      </c>
    </row>
    <row r="15">
      <c r="A15" s="4" t="s">
        <v>72</v>
      </c>
      <c r="C15" s="4" t="s">
        <v>43</v>
      </c>
      <c r="E15" s="4" t="s">
        <v>73</v>
      </c>
    </row>
    <row r="16">
      <c r="A16" s="4" t="s">
        <v>74</v>
      </c>
      <c r="C16" s="4" t="s">
        <v>44</v>
      </c>
      <c r="E16" s="4" t="s">
        <v>75</v>
      </c>
    </row>
    <row r="17">
      <c r="A17" s="4" t="s">
        <v>76</v>
      </c>
      <c r="C17" s="4" t="s">
        <v>45</v>
      </c>
      <c r="E17" s="4" t="s">
        <v>77</v>
      </c>
    </row>
    <row r="18">
      <c r="A18" s="4" t="s">
        <v>78</v>
      </c>
      <c r="C18" s="4" t="s">
        <v>46</v>
      </c>
      <c r="D18" s="5"/>
      <c r="E18" s="4" t="s">
        <v>79</v>
      </c>
    </row>
    <row r="19">
      <c r="C19" s="4" t="s">
        <v>47</v>
      </c>
      <c r="D19" s="5"/>
      <c r="E19" s="4" t="s">
        <v>80</v>
      </c>
    </row>
    <row r="20">
      <c r="C20" s="4" t="s">
        <v>48</v>
      </c>
      <c r="D20" s="5"/>
      <c r="E20" s="14" t="s">
        <v>81</v>
      </c>
    </row>
    <row r="21">
      <c r="C21" s="4" t="s">
        <v>49</v>
      </c>
      <c r="D21" s="5"/>
      <c r="E21" s="14" t="s">
        <v>82</v>
      </c>
    </row>
    <row r="22">
      <c r="C22" s="4" t="s">
        <v>50</v>
      </c>
      <c r="D22" s="5"/>
      <c r="E22" s="4" t="s">
        <v>83</v>
      </c>
    </row>
    <row r="23">
      <c r="C23" s="4" t="s">
        <v>51</v>
      </c>
      <c r="D23" s="5"/>
      <c r="E23" s="4" t="s">
        <v>84</v>
      </c>
    </row>
    <row r="24">
      <c r="A24" s="14"/>
      <c r="B24" s="14"/>
      <c r="C24" s="14" t="s">
        <v>52</v>
      </c>
      <c r="D24" s="14"/>
      <c r="E24" s="4" t="s">
        <v>85</v>
      </c>
      <c r="F24" s="14"/>
    </row>
    <row r="25">
      <c r="A25" s="14"/>
      <c r="B25" s="14"/>
      <c r="C25" s="4" t="s">
        <v>53</v>
      </c>
      <c r="D25" s="14"/>
      <c r="E25" s="4" t="s">
        <v>86</v>
      </c>
      <c r="F25" s="14"/>
    </row>
    <row r="26">
      <c r="A26" s="14"/>
      <c r="B26" s="14"/>
      <c r="C26" s="4" t="s">
        <v>54</v>
      </c>
      <c r="D26" s="14"/>
      <c r="F26" s="14"/>
    </row>
    <row r="27">
      <c r="A27" s="14"/>
      <c r="B27" s="14"/>
      <c r="C27" s="4" t="s">
        <v>55</v>
      </c>
      <c r="D27" s="14"/>
      <c r="F27" s="14"/>
    </row>
    <row r="28">
      <c r="A28" s="14"/>
      <c r="B28" s="14"/>
      <c r="C28" s="4" t="s">
        <v>56</v>
      </c>
      <c r="D28" s="14"/>
      <c r="F28" s="14"/>
    </row>
    <row r="29">
      <c r="A29" s="14"/>
      <c r="B29" s="14"/>
      <c r="C29" s="4" t="s">
        <v>57</v>
      </c>
      <c r="D29" s="14"/>
      <c r="F29" s="14"/>
    </row>
    <row r="30">
      <c r="A30" s="14"/>
      <c r="B30" s="14"/>
      <c r="C30" s="14" t="s">
        <v>58</v>
      </c>
      <c r="D30" s="14"/>
      <c r="F30" s="14"/>
    </row>
    <row r="31">
      <c r="A31" s="27" t="s">
        <v>87</v>
      </c>
    </row>
    <row r="32">
      <c r="A32" s="27" t="s">
        <v>88</v>
      </c>
    </row>
    <row r="33">
      <c r="A33" s="27" t="s">
        <v>88</v>
      </c>
    </row>
    <row r="34">
      <c r="A34" s="27" t="s">
        <v>87</v>
      </c>
    </row>
    <row r="35">
      <c r="A35" s="4" t="s">
        <v>89</v>
      </c>
      <c r="B35" s="29">
        <v>45895.65185534723</v>
      </c>
      <c r="D35" s="4" t="s">
        <v>90</v>
      </c>
      <c r="E35" s="30">
        <v>-17267.64</v>
      </c>
      <c r="G35" s="31"/>
    </row>
    <row r="36">
      <c r="A36" s="4" t="s">
        <v>91</v>
      </c>
      <c r="B36" s="29">
        <v>45896.12764320602</v>
      </c>
      <c r="D36" s="4" t="s">
        <v>90</v>
      </c>
      <c r="E36" s="30">
        <v>-17267.64</v>
      </c>
    </row>
    <row r="37">
      <c r="A37" s="4" t="s">
        <v>91</v>
      </c>
      <c r="B37" s="4" t="s">
        <v>92</v>
      </c>
    </row>
    <row r="38">
      <c r="D38" s="4" t="s">
        <v>93</v>
      </c>
      <c r="E38" s="32">
        <v>163800.84</v>
      </c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</sheetData>
  <mergeCells count="8">
    <mergeCell ref="A1:F1"/>
    <mergeCell ref="A3:F3"/>
    <mergeCell ref="A4:F4"/>
    <mergeCell ref="A12:F12"/>
    <mergeCell ref="A31:F31"/>
    <mergeCell ref="A32:F32"/>
    <mergeCell ref="A33:F33"/>
    <mergeCell ref="A34:F34"/>
  </mergeCells>
  <dataValidations>
    <dataValidation type="custom" allowBlank="1" showDropDown="1" showErrorMessage="1" sqref="D18:D30 D39:D508">
      <formula1>INDIRECT("Settings!C15:C100")</formula1>
    </dataValidation>
    <dataValidation type="custom" allowBlank="1" showDropDown="1" showErrorMessage="1" sqref="A13">
      <formula1>INDIRECT("Settings!A15:A100")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94</v>
      </c>
    </row>
    <row r="3">
      <c r="A3" s="33" t="s">
        <v>95</v>
      </c>
      <c r="B3" s="33" t="s">
        <v>23</v>
      </c>
      <c r="C3" s="33" t="s">
        <v>24</v>
      </c>
      <c r="D3" s="33" t="s">
        <v>25</v>
      </c>
      <c r="E3" s="33" t="s">
        <v>26</v>
      </c>
      <c r="F3" s="33" t="s">
        <v>27</v>
      </c>
      <c r="G3" s="33" t="s">
        <v>96</v>
      </c>
    </row>
    <row r="4">
      <c r="A4" s="34" t="s">
        <v>72</v>
      </c>
      <c r="B4" s="35">
        <v>210693.66999999993</v>
      </c>
      <c r="C4" s="36"/>
      <c r="D4" s="36"/>
      <c r="E4" s="36"/>
      <c r="F4" s="36">
        <f t="shared" ref="F4:F7" si="1">B4+C4-D4-E4</f>
        <v>210693.67</v>
      </c>
      <c r="G4" s="37"/>
    </row>
    <row r="5">
      <c r="A5" s="34" t="s">
        <v>74</v>
      </c>
      <c r="B5" s="35">
        <v>564500.97</v>
      </c>
      <c r="C5" s="36"/>
      <c r="D5" s="36"/>
      <c r="E5" s="36"/>
      <c r="F5" s="36">
        <f t="shared" si="1"/>
        <v>564500.97</v>
      </c>
      <c r="G5" s="37"/>
    </row>
    <row r="6">
      <c r="A6" s="34" t="s">
        <v>76</v>
      </c>
      <c r="B6" s="35">
        <v>1562570.6099999999</v>
      </c>
      <c r="C6" s="36"/>
      <c r="D6" s="36"/>
      <c r="E6" s="36"/>
      <c r="F6" s="36">
        <f t="shared" si="1"/>
        <v>1562570.61</v>
      </c>
      <c r="G6" s="37"/>
    </row>
    <row r="7">
      <c r="A7" s="34" t="s">
        <v>97</v>
      </c>
      <c r="B7" s="35">
        <v>160054.47999999998</v>
      </c>
      <c r="C7" s="36"/>
      <c r="D7" s="36"/>
      <c r="E7" s="36"/>
      <c r="F7" s="36">
        <f t="shared" si="1"/>
        <v>160054.48</v>
      </c>
      <c r="G7" s="37"/>
    </row>
    <row r="8">
      <c r="A8" s="37"/>
      <c r="B8" s="36"/>
      <c r="C8" s="36"/>
      <c r="D8" s="36"/>
      <c r="E8" s="36"/>
      <c r="F8" s="36"/>
      <c r="G8" s="37"/>
    </row>
    <row r="9">
      <c r="A9" s="38" t="s">
        <v>98</v>
      </c>
      <c r="B9" s="39">
        <f t="shared" ref="B9:F9" si="2">SUM(B4:B7)</f>
        <v>2497819.73</v>
      </c>
      <c r="C9" s="39">
        <f t="shared" si="2"/>
        <v>0</v>
      </c>
      <c r="D9" s="39">
        <f t="shared" si="2"/>
        <v>0</v>
      </c>
      <c r="E9" s="39">
        <f t="shared" si="2"/>
        <v>0</v>
      </c>
      <c r="F9" s="39">
        <f t="shared" si="2"/>
        <v>2497819.73</v>
      </c>
      <c r="G9" s="40"/>
    </row>
    <row r="10">
      <c r="B10" s="6"/>
      <c r="C10" s="6"/>
      <c r="D10" s="6"/>
      <c r="E10" s="6"/>
      <c r="F10" s="6"/>
    </row>
    <row r="11">
      <c r="A11" s="28" t="s">
        <v>99</v>
      </c>
    </row>
    <row r="12">
      <c r="A12" s="41" t="s">
        <v>95</v>
      </c>
      <c r="B12" s="42" t="s">
        <v>100</v>
      </c>
      <c r="C12" s="42" t="s">
        <v>101</v>
      </c>
      <c r="D12" s="42" t="s">
        <v>102</v>
      </c>
      <c r="E12" s="42" t="s">
        <v>103</v>
      </c>
      <c r="F12" s="42" t="s">
        <v>104</v>
      </c>
      <c r="G12" s="41" t="s">
        <v>96</v>
      </c>
    </row>
    <row r="13">
      <c r="A13" s="34" t="s">
        <v>78</v>
      </c>
      <c r="B13" s="35">
        <v>133.56999999983236</v>
      </c>
      <c r="C13" s="36"/>
      <c r="D13" s="36"/>
      <c r="E13" s="36"/>
      <c r="F13" s="36">
        <f>B13+C13-D13-E13</f>
        <v>133.57</v>
      </c>
      <c r="G13" s="37"/>
    </row>
    <row r="14">
      <c r="A14" s="37"/>
      <c r="B14" s="36"/>
      <c r="C14" s="36"/>
      <c r="D14" s="36"/>
      <c r="E14" s="36"/>
      <c r="F14" s="36"/>
      <c r="G14" s="37"/>
    </row>
    <row r="15">
      <c r="A15" s="38" t="s">
        <v>105</v>
      </c>
      <c r="B15" s="39">
        <f t="shared" ref="B15:F15" si="3">SUM(B13)</f>
        <v>133.57</v>
      </c>
      <c r="C15" s="39">
        <f t="shared" si="3"/>
        <v>0</v>
      </c>
      <c r="D15" s="39">
        <f t="shared" si="3"/>
        <v>0</v>
      </c>
      <c r="E15" s="39">
        <f t="shared" si="3"/>
        <v>0</v>
      </c>
      <c r="F15" s="39">
        <f t="shared" si="3"/>
        <v>133.57</v>
      </c>
      <c r="G15" s="40"/>
    </row>
    <row r="16">
      <c r="B16" s="6"/>
      <c r="C16" s="6"/>
      <c r="D16" s="6"/>
      <c r="E16" s="6"/>
      <c r="F16" s="6"/>
    </row>
    <row r="17">
      <c r="A17" s="43" t="s">
        <v>106</v>
      </c>
      <c r="B17" s="44">
        <f t="shared" ref="B17:F17" si="4">B9+B15*3.75</f>
        <v>2498320.618</v>
      </c>
      <c r="C17" s="44">
        <f t="shared" si="4"/>
        <v>0</v>
      </c>
      <c r="D17" s="44">
        <f t="shared" si="4"/>
        <v>0</v>
      </c>
      <c r="E17" s="44">
        <f t="shared" si="4"/>
        <v>0</v>
      </c>
      <c r="F17" s="44">
        <f t="shared" si="4"/>
        <v>2498320.618</v>
      </c>
      <c r="G17" s="45"/>
    </row>
    <row r="19">
      <c r="A19" s="46" t="s">
        <v>107</v>
      </c>
      <c r="B19" s="47"/>
      <c r="C19" s="48"/>
    </row>
    <row r="20">
      <c r="A20" s="34" t="s">
        <v>108</v>
      </c>
      <c r="B20" s="37"/>
      <c r="C20" s="49">
        <f>F17</f>
        <v>2498320.618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4" width="18.88"/>
    <col customWidth="1" min="5" max="7" width="15.13"/>
  </cols>
  <sheetData>
    <row r="1">
      <c r="A1" s="22" t="s">
        <v>109</v>
      </c>
    </row>
    <row r="3">
      <c r="A3" s="50" t="s">
        <v>110</v>
      </c>
      <c r="B3" s="51">
        <v>540959.39</v>
      </c>
      <c r="D3" s="50" t="s">
        <v>111</v>
      </c>
      <c r="E3" s="52" t="str">
        <f>0+SUM(E7:E1000)</f>
        <v>#REF!</v>
      </c>
    </row>
    <row r="5">
      <c r="A5" s="7" t="s">
        <v>112</v>
      </c>
    </row>
    <row r="6">
      <c r="A6" s="41" t="s">
        <v>113</v>
      </c>
      <c r="B6" s="41" t="s">
        <v>114</v>
      </c>
      <c r="C6" s="41" t="s">
        <v>115</v>
      </c>
      <c r="D6" s="41" t="s">
        <v>116</v>
      </c>
      <c r="E6" s="41" t="s">
        <v>117</v>
      </c>
      <c r="F6" s="41" t="s">
        <v>118</v>
      </c>
      <c r="G6" s="41" t="s">
        <v>119</v>
      </c>
    </row>
    <row r="7">
      <c r="A7" s="37"/>
      <c r="B7" s="37"/>
      <c r="C7" s="37"/>
      <c r="D7" s="37"/>
      <c r="E7" s="36"/>
      <c r="F7" s="36"/>
      <c r="G7" s="36" t="str">
        <f>IF(E7="","",B3+E7-F7)</f>
        <v/>
      </c>
    </row>
    <row r="8">
      <c r="A8" s="37"/>
      <c r="B8" s="37"/>
      <c r="C8" s="37"/>
      <c r="D8" s="37"/>
      <c r="E8" s="36"/>
      <c r="F8" s="36"/>
      <c r="G8" s="36" t="str">
        <f t="shared" ref="G8:G100" si="1">IF(E8="","",G7+E8-F8)</f>
        <v/>
      </c>
    </row>
    <row r="9">
      <c r="A9" s="37"/>
      <c r="B9" s="37"/>
      <c r="C9" s="37"/>
      <c r="D9" s="37"/>
      <c r="E9" s="36"/>
      <c r="F9" s="36"/>
      <c r="G9" s="36" t="str">
        <f t="shared" si="1"/>
        <v/>
      </c>
    </row>
    <row r="10">
      <c r="A10" s="37"/>
      <c r="B10" s="37"/>
      <c r="C10" s="37"/>
      <c r="D10" s="37"/>
      <c r="E10" s="36"/>
      <c r="F10" s="36"/>
      <c r="G10" s="36" t="str">
        <f t="shared" si="1"/>
        <v/>
      </c>
    </row>
    <row r="11">
      <c r="A11" s="37"/>
      <c r="B11" s="37"/>
      <c r="C11" s="37"/>
      <c r="D11" s="37"/>
      <c r="E11" s="36"/>
      <c r="F11" s="36"/>
      <c r="G11" s="36" t="str">
        <f t="shared" si="1"/>
        <v/>
      </c>
    </row>
    <row r="12">
      <c r="A12" s="37"/>
      <c r="B12" s="37"/>
      <c r="C12" s="37"/>
      <c r="D12" s="37"/>
      <c r="E12" s="36"/>
      <c r="F12" s="36"/>
      <c r="G12" s="36" t="str">
        <f t="shared" si="1"/>
        <v/>
      </c>
    </row>
    <row r="13">
      <c r="A13" s="37"/>
      <c r="B13" s="37"/>
      <c r="C13" s="37"/>
      <c r="D13" s="37"/>
      <c r="E13" s="36"/>
      <c r="F13" s="36"/>
      <c r="G13" s="36" t="str">
        <f t="shared" si="1"/>
        <v/>
      </c>
    </row>
    <row r="14">
      <c r="A14" s="37"/>
      <c r="B14" s="37"/>
      <c r="C14" s="37"/>
      <c r="D14" s="37"/>
      <c r="E14" s="36"/>
      <c r="F14" s="36"/>
      <c r="G14" s="36" t="str">
        <f t="shared" si="1"/>
        <v/>
      </c>
    </row>
    <row r="15">
      <c r="A15" s="37"/>
      <c r="B15" s="37"/>
      <c r="C15" s="37"/>
      <c r="D15" s="37"/>
      <c r="E15" s="36"/>
      <c r="F15" s="36"/>
      <c r="G15" s="36" t="str">
        <f t="shared" si="1"/>
        <v/>
      </c>
    </row>
    <row r="16">
      <c r="A16" s="37"/>
      <c r="B16" s="37"/>
      <c r="C16" s="37"/>
      <c r="D16" s="37"/>
      <c r="E16" s="36"/>
      <c r="F16" s="36"/>
      <c r="G16" s="36" t="str">
        <f t="shared" si="1"/>
        <v/>
      </c>
    </row>
    <row r="17">
      <c r="A17" s="37"/>
      <c r="B17" s="37"/>
      <c r="C17" s="37"/>
      <c r="D17" s="37"/>
      <c r="E17" s="36"/>
      <c r="F17" s="36"/>
      <c r="G17" s="36" t="str">
        <f t="shared" si="1"/>
        <v/>
      </c>
    </row>
    <row r="18">
      <c r="A18" s="37"/>
      <c r="B18" s="37"/>
      <c r="C18" s="37"/>
      <c r="D18" s="37"/>
      <c r="E18" s="36"/>
      <c r="F18" s="36"/>
      <c r="G18" s="36" t="str">
        <f t="shared" si="1"/>
        <v/>
      </c>
    </row>
    <row r="19">
      <c r="A19" s="37"/>
      <c r="B19" s="37"/>
      <c r="C19" s="37"/>
      <c r="D19" s="37"/>
      <c r="E19" s="36"/>
      <c r="F19" s="36"/>
      <c r="G19" s="36" t="str">
        <f t="shared" si="1"/>
        <v/>
      </c>
    </row>
    <row r="20">
      <c r="A20" s="37"/>
      <c r="B20" s="37"/>
      <c r="C20" s="37"/>
      <c r="D20" s="37"/>
      <c r="E20" s="36"/>
      <c r="F20" s="36"/>
      <c r="G20" s="36" t="str">
        <f t="shared" si="1"/>
        <v/>
      </c>
    </row>
    <row r="21">
      <c r="A21" s="37"/>
      <c r="B21" s="37"/>
      <c r="C21" s="37"/>
      <c r="D21" s="37"/>
      <c r="E21" s="36"/>
      <c r="F21" s="36"/>
      <c r="G21" s="36" t="str">
        <f t="shared" si="1"/>
        <v/>
      </c>
    </row>
    <row r="22">
      <c r="A22" s="37"/>
      <c r="B22" s="37"/>
      <c r="C22" s="37"/>
      <c r="D22" s="37"/>
      <c r="E22" s="36"/>
      <c r="F22" s="36"/>
      <c r="G22" s="36" t="str">
        <f t="shared" si="1"/>
        <v/>
      </c>
    </row>
    <row r="23">
      <c r="A23" s="37"/>
      <c r="B23" s="37"/>
      <c r="C23" s="37"/>
      <c r="D23" s="37"/>
      <c r="E23" s="36"/>
      <c r="F23" s="36"/>
      <c r="G23" s="36" t="str">
        <f t="shared" si="1"/>
        <v/>
      </c>
    </row>
    <row r="24">
      <c r="A24" s="37"/>
      <c r="B24" s="37"/>
      <c r="C24" s="37"/>
      <c r="D24" s="37"/>
      <c r="E24" s="36"/>
      <c r="F24" s="36"/>
      <c r="G24" s="36" t="str">
        <f t="shared" si="1"/>
        <v/>
      </c>
    </row>
    <row r="25">
      <c r="A25" s="37"/>
      <c r="B25" s="37"/>
      <c r="C25" s="37"/>
      <c r="D25" s="37"/>
      <c r="E25" s="36"/>
      <c r="F25" s="36"/>
      <c r="G25" s="36" t="str">
        <f t="shared" si="1"/>
        <v/>
      </c>
    </row>
    <row r="26">
      <c r="A26" s="37"/>
      <c r="B26" s="37"/>
      <c r="C26" s="37"/>
      <c r="D26" s="37"/>
      <c r="E26" s="36"/>
      <c r="F26" s="36"/>
      <c r="G26" s="36" t="str">
        <f t="shared" si="1"/>
        <v/>
      </c>
    </row>
    <row r="27">
      <c r="A27" s="37"/>
      <c r="B27" s="37"/>
      <c r="C27" s="37"/>
      <c r="D27" s="37"/>
      <c r="E27" s="36"/>
      <c r="F27" s="36"/>
      <c r="G27" s="36" t="str">
        <f t="shared" si="1"/>
        <v/>
      </c>
    </row>
    <row r="28">
      <c r="A28" s="37"/>
      <c r="B28" s="37"/>
      <c r="C28" s="37"/>
      <c r="D28" s="37"/>
      <c r="E28" s="36"/>
      <c r="F28" s="36"/>
      <c r="G28" s="36" t="str">
        <f t="shared" si="1"/>
        <v/>
      </c>
    </row>
    <row r="29">
      <c r="A29" s="37"/>
      <c r="B29" s="37"/>
      <c r="C29" s="37"/>
      <c r="D29" s="37"/>
      <c r="E29" s="36"/>
      <c r="F29" s="36"/>
      <c r="G29" s="36" t="str">
        <f t="shared" si="1"/>
        <v/>
      </c>
    </row>
    <row r="30">
      <c r="A30" s="37"/>
      <c r="B30" s="37"/>
      <c r="C30" s="37"/>
      <c r="D30" s="37"/>
      <c r="E30" s="36"/>
      <c r="F30" s="36"/>
      <c r="G30" s="36" t="str">
        <f t="shared" si="1"/>
        <v/>
      </c>
    </row>
    <row r="31">
      <c r="A31" s="37"/>
      <c r="B31" s="37"/>
      <c r="C31" s="37"/>
      <c r="D31" s="37"/>
      <c r="E31" s="36"/>
      <c r="F31" s="36"/>
      <c r="G31" s="36" t="str">
        <f t="shared" si="1"/>
        <v/>
      </c>
    </row>
    <row r="32">
      <c r="A32" s="37"/>
      <c r="B32" s="37"/>
      <c r="C32" s="37"/>
      <c r="D32" s="37"/>
      <c r="E32" s="36"/>
      <c r="F32" s="36"/>
      <c r="G32" s="36" t="str">
        <f t="shared" si="1"/>
        <v/>
      </c>
    </row>
    <row r="33">
      <c r="A33" s="37"/>
      <c r="B33" s="37"/>
      <c r="C33" s="37"/>
      <c r="D33" s="37"/>
      <c r="E33" s="36"/>
      <c r="F33" s="36"/>
      <c r="G33" s="36" t="str">
        <f t="shared" si="1"/>
        <v/>
      </c>
    </row>
    <row r="34">
      <c r="A34" s="37"/>
      <c r="B34" s="37"/>
      <c r="C34" s="37"/>
      <c r="D34" s="37"/>
      <c r="E34" s="36"/>
      <c r="F34" s="36"/>
      <c r="G34" s="36" t="str">
        <f t="shared" si="1"/>
        <v/>
      </c>
    </row>
    <row r="35">
      <c r="A35" s="37"/>
      <c r="B35" s="37"/>
      <c r="C35" s="37"/>
      <c r="D35" s="37"/>
      <c r="E35" s="36"/>
      <c r="F35" s="36"/>
      <c r="G35" s="36" t="str">
        <f t="shared" si="1"/>
        <v/>
      </c>
    </row>
    <row r="36">
      <c r="A36" s="37"/>
      <c r="B36" s="37"/>
      <c r="C36" s="37"/>
      <c r="D36" s="37"/>
      <c r="E36" s="36"/>
      <c r="F36" s="36"/>
      <c r="G36" s="36" t="str">
        <f t="shared" si="1"/>
        <v/>
      </c>
    </row>
    <row r="37">
      <c r="A37" s="37"/>
      <c r="B37" s="37"/>
      <c r="C37" s="37"/>
      <c r="D37" s="37"/>
      <c r="E37" s="36"/>
      <c r="F37" s="36"/>
      <c r="G37" s="36" t="str">
        <f t="shared" si="1"/>
        <v/>
      </c>
    </row>
    <row r="38">
      <c r="A38" s="37"/>
      <c r="B38" s="37"/>
      <c r="C38" s="37"/>
      <c r="D38" s="37"/>
      <c r="E38" s="36"/>
      <c r="F38" s="36"/>
      <c r="G38" s="36" t="str">
        <f t="shared" si="1"/>
        <v/>
      </c>
    </row>
    <row r="39">
      <c r="A39" s="37"/>
      <c r="B39" s="37"/>
      <c r="C39" s="37"/>
      <c r="D39" s="37"/>
      <c r="E39" s="36"/>
      <c r="F39" s="36"/>
      <c r="G39" s="36" t="str">
        <f t="shared" si="1"/>
        <v/>
      </c>
    </row>
    <row r="40">
      <c r="A40" s="37"/>
      <c r="B40" s="37"/>
      <c r="C40" s="37"/>
      <c r="D40" s="37"/>
      <c r="E40" s="36"/>
      <c r="F40" s="36"/>
      <c r="G40" s="36" t="str">
        <f t="shared" si="1"/>
        <v/>
      </c>
    </row>
    <row r="41">
      <c r="A41" s="37"/>
      <c r="B41" s="37"/>
      <c r="C41" s="37"/>
      <c r="D41" s="37"/>
      <c r="E41" s="36"/>
      <c r="F41" s="36"/>
      <c r="G41" s="36" t="str">
        <f t="shared" si="1"/>
        <v/>
      </c>
    </row>
    <row r="42">
      <c r="A42" s="37"/>
      <c r="B42" s="37"/>
      <c r="C42" s="37"/>
      <c r="D42" s="37"/>
      <c r="E42" s="36"/>
      <c r="F42" s="36"/>
      <c r="G42" s="36" t="str">
        <f t="shared" si="1"/>
        <v/>
      </c>
    </row>
    <row r="43">
      <c r="A43" s="37"/>
      <c r="B43" s="37"/>
      <c r="C43" s="37"/>
      <c r="D43" s="37"/>
      <c r="E43" s="36"/>
      <c r="F43" s="36"/>
      <c r="G43" s="36" t="str">
        <f t="shared" si="1"/>
        <v/>
      </c>
    </row>
    <row r="44">
      <c r="A44" s="37"/>
      <c r="B44" s="37"/>
      <c r="C44" s="37"/>
      <c r="D44" s="37"/>
      <c r="E44" s="36"/>
      <c r="F44" s="36"/>
      <c r="G44" s="36" t="str">
        <f t="shared" si="1"/>
        <v/>
      </c>
    </row>
    <row r="45">
      <c r="A45" s="37"/>
      <c r="B45" s="37"/>
      <c r="C45" s="37"/>
      <c r="D45" s="37"/>
      <c r="E45" s="36"/>
      <c r="F45" s="36"/>
      <c r="G45" s="36" t="str">
        <f t="shared" si="1"/>
        <v/>
      </c>
    </row>
    <row r="46">
      <c r="A46" s="37"/>
      <c r="B46" s="37"/>
      <c r="C46" s="37"/>
      <c r="D46" s="37"/>
      <c r="E46" s="36"/>
      <c r="F46" s="36"/>
      <c r="G46" s="36" t="str">
        <f t="shared" si="1"/>
        <v/>
      </c>
    </row>
    <row r="47">
      <c r="A47" s="37"/>
      <c r="B47" s="37"/>
      <c r="C47" s="37"/>
      <c r="D47" s="37"/>
      <c r="E47" s="36"/>
      <c r="F47" s="36"/>
      <c r="G47" s="36" t="str">
        <f t="shared" si="1"/>
        <v/>
      </c>
    </row>
    <row r="48">
      <c r="A48" s="37"/>
      <c r="B48" s="37"/>
      <c r="C48" s="37"/>
      <c r="D48" s="37"/>
      <c r="E48" s="36"/>
      <c r="F48" s="36"/>
      <c r="G48" s="36" t="str">
        <f t="shared" si="1"/>
        <v/>
      </c>
    </row>
    <row r="49">
      <c r="A49" s="37"/>
      <c r="B49" s="37"/>
      <c r="C49" s="37"/>
      <c r="D49" s="37"/>
      <c r="E49" s="36"/>
      <c r="F49" s="36"/>
      <c r="G49" s="36" t="str">
        <f t="shared" si="1"/>
        <v/>
      </c>
    </row>
    <row r="50">
      <c r="A50" s="37"/>
      <c r="B50" s="37"/>
      <c r="C50" s="37"/>
      <c r="D50" s="37"/>
      <c r="E50" s="36"/>
      <c r="F50" s="36"/>
      <c r="G50" s="36" t="str">
        <f t="shared" si="1"/>
        <v/>
      </c>
    </row>
    <row r="51">
      <c r="A51" s="37"/>
      <c r="B51" s="37"/>
      <c r="C51" s="37"/>
      <c r="D51" s="37"/>
      <c r="E51" s="36"/>
      <c r="F51" s="36"/>
      <c r="G51" s="36" t="str">
        <f t="shared" si="1"/>
        <v/>
      </c>
    </row>
    <row r="52">
      <c r="A52" s="37"/>
      <c r="B52" s="37"/>
      <c r="C52" s="37"/>
      <c r="D52" s="37"/>
      <c r="E52" s="36"/>
      <c r="F52" s="36"/>
      <c r="G52" s="36" t="str">
        <f t="shared" si="1"/>
        <v/>
      </c>
    </row>
    <row r="53">
      <c r="A53" s="37"/>
      <c r="B53" s="37"/>
      <c r="C53" s="37"/>
      <c r="D53" s="37"/>
      <c r="E53" s="36"/>
      <c r="F53" s="36"/>
      <c r="G53" s="36" t="str">
        <f t="shared" si="1"/>
        <v/>
      </c>
    </row>
    <row r="54">
      <c r="A54" s="37"/>
      <c r="B54" s="37"/>
      <c r="C54" s="37"/>
      <c r="D54" s="37"/>
      <c r="E54" s="36"/>
      <c r="F54" s="36"/>
      <c r="G54" s="36" t="str">
        <f t="shared" si="1"/>
        <v/>
      </c>
    </row>
    <row r="55">
      <c r="A55" s="37"/>
      <c r="B55" s="37"/>
      <c r="C55" s="37"/>
      <c r="D55" s="37"/>
      <c r="E55" s="36"/>
      <c r="F55" s="36"/>
      <c r="G55" s="36" t="str">
        <f t="shared" si="1"/>
        <v/>
      </c>
    </row>
    <row r="56">
      <c r="A56" s="37"/>
      <c r="B56" s="37"/>
      <c r="C56" s="37"/>
      <c r="D56" s="37"/>
      <c r="E56" s="36"/>
      <c r="F56" s="36"/>
      <c r="G56" s="36" t="str">
        <f t="shared" si="1"/>
        <v/>
      </c>
    </row>
    <row r="57">
      <c r="A57" s="37"/>
      <c r="B57" s="37"/>
      <c r="C57" s="37"/>
      <c r="D57" s="37"/>
      <c r="E57" s="36"/>
      <c r="F57" s="36"/>
      <c r="G57" s="36" t="str">
        <f t="shared" si="1"/>
        <v/>
      </c>
    </row>
    <row r="58">
      <c r="A58" s="37"/>
      <c r="B58" s="37"/>
      <c r="C58" s="37"/>
      <c r="D58" s="37"/>
      <c r="E58" s="36"/>
      <c r="F58" s="36"/>
      <c r="G58" s="36" t="str">
        <f t="shared" si="1"/>
        <v/>
      </c>
    </row>
    <row r="59">
      <c r="A59" s="37"/>
      <c r="B59" s="37"/>
      <c r="C59" s="37"/>
      <c r="D59" s="37"/>
      <c r="E59" s="36"/>
      <c r="F59" s="36"/>
      <c r="G59" s="36" t="str">
        <f t="shared" si="1"/>
        <v/>
      </c>
    </row>
    <row r="60">
      <c r="A60" s="37"/>
      <c r="B60" s="37"/>
      <c r="C60" s="37"/>
      <c r="D60" s="37"/>
      <c r="E60" s="36"/>
      <c r="F60" s="36"/>
      <c r="G60" s="36" t="str">
        <f t="shared" si="1"/>
        <v/>
      </c>
    </row>
    <row r="61">
      <c r="A61" s="37"/>
      <c r="B61" s="37"/>
      <c r="C61" s="37"/>
      <c r="D61" s="37"/>
      <c r="E61" s="36"/>
      <c r="F61" s="36"/>
      <c r="G61" s="36" t="str">
        <f t="shared" si="1"/>
        <v/>
      </c>
    </row>
    <row r="62">
      <c r="A62" s="37"/>
      <c r="B62" s="37"/>
      <c r="C62" s="37"/>
      <c r="D62" s="37"/>
      <c r="E62" s="36"/>
      <c r="F62" s="36"/>
      <c r="G62" s="36" t="str">
        <f t="shared" si="1"/>
        <v/>
      </c>
    </row>
    <row r="63">
      <c r="A63" s="37"/>
      <c r="B63" s="37"/>
      <c r="C63" s="37"/>
      <c r="D63" s="37"/>
      <c r="E63" s="36"/>
      <c r="F63" s="36"/>
      <c r="G63" s="36" t="str">
        <f t="shared" si="1"/>
        <v/>
      </c>
    </row>
    <row r="64">
      <c r="A64" s="37"/>
      <c r="B64" s="37"/>
      <c r="C64" s="37"/>
      <c r="D64" s="37"/>
      <c r="E64" s="36"/>
      <c r="F64" s="36"/>
      <c r="G64" s="36" t="str">
        <f t="shared" si="1"/>
        <v/>
      </c>
    </row>
    <row r="65">
      <c r="A65" s="37"/>
      <c r="B65" s="37"/>
      <c r="C65" s="37"/>
      <c r="D65" s="37"/>
      <c r="E65" s="36"/>
      <c r="F65" s="36"/>
      <c r="G65" s="36" t="str">
        <f t="shared" si="1"/>
        <v/>
      </c>
    </row>
    <row r="66">
      <c r="A66" s="37"/>
      <c r="B66" s="37"/>
      <c r="C66" s="37"/>
      <c r="D66" s="37"/>
      <c r="E66" s="36"/>
      <c r="F66" s="36"/>
      <c r="G66" s="36" t="str">
        <f t="shared" si="1"/>
        <v/>
      </c>
    </row>
    <row r="67">
      <c r="A67" s="37"/>
      <c r="B67" s="37"/>
      <c r="C67" s="37"/>
      <c r="D67" s="37"/>
      <c r="E67" s="36"/>
      <c r="F67" s="36"/>
      <c r="G67" s="36" t="str">
        <f t="shared" si="1"/>
        <v/>
      </c>
    </row>
    <row r="68">
      <c r="A68" s="37"/>
      <c r="B68" s="37"/>
      <c r="C68" s="37"/>
      <c r="D68" s="37"/>
      <c r="E68" s="36"/>
      <c r="F68" s="36"/>
      <c r="G68" s="36" t="str">
        <f t="shared" si="1"/>
        <v/>
      </c>
    </row>
    <row r="69">
      <c r="A69" s="37"/>
      <c r="B69" s="37"/>
      <c r="C69" s="37"/>
      <c r="D69" s="37"/>
      <c r="E69" s="36"/>
      <c r="F69" s="36"/>
      <c r="G69" s="36" t="str">
        <f t="shared" si="1"/>
        <v/>
      </c>
    </row>
    <row r="70">
      <c r="A70" s="37"/>
      <c r="B70" s="37"/>
      <c r="C70" s="37"/>
      <c r="D70" s="37"/>
      <c r="E70" s="36"/>
      <c r="F70" s="36"/>
      <c r="G70" s="36" t="str">
        <f t="shared" si="1"/>
        <v/>
      </c>
    </row>
    <row r="71">
      <c r="A71" s="37"/>
      <c r="B71" s="37"/>
      <c r="C71" s="37"/>
      <c r="D71" s="37"/>
      <c r="E71" s="36"/>
      <c r="F71" s="36"/>
      <c r="G71" s="36" t="str">
        <f t="shared" si="1"/>
        <v/>
      </c>
    </row>
    <row r="72">
      <c r="A72" s="37"/>
      <c r="B72" s="37"/>
      <c r="C72" s="37"/>
      <c r="D72" s="37"/>
      <c r="E72" s="36"/>
      <c r="F72" s="36"/>
      <c r="G72" s="36" t="str">
        <f t="shared" si="1"/>
        <v/>
      </c>
    </row>
    <row r="73">
      <c r="A73" s="37"/>
      <c r="B73" s="37"/>
      <c r="C73" s="37"/>
      <c r="D73" s="37"/>
      <c r="E73" s="36"/>
      <c r="F73" s="36"/>
      <c r="G73" s="36" t="str">
        <f t="shared" si="1"/>
        <v/>
      </c>
    </row>
    <row r="74">
      <c r="A74" s="37"/>
      <c r="B74" s="37"/>
      <c r="C74" s="37"/>
      <c r="D74" s="37"/>
      <c r="E74" s="36"/>
      <c r="F74" s="36"/>
      <c r="G74" s="36" t="str">
        <f t="shared" si="1"/>
        <v/>
      </c>
    </row>
    <row r="75">
      <c r="A75" s="37"/>
      <c r="B75" s="37"/>
      <c r="C75" s="37"/>
      <c r="D75" s="37"/>
      <c r="E75" s="36"/>
      <c r="F75" s="36"/>
      <c r="G75" s="36" t="str">
        <f t="shared" si="1"/>
        <v/>
      </c>
    </row>
    <row r="76">
      <c r="A76" s="37"/>
      <c r="B76" s="37"/>
      <c r="C76" s="37"/>
      <c r="D76" s="37"/>
      <c r="E76" s="36"/>
      <c r="F76" s="36"/>
      <c r="G76" s="36" t="str">
        <f t="shared" si="1"/>
        <v/>
      </c>
    </row>
    <row r="77">
      <c r="A77" s="37"/>
      <c r="B77" s="37"/>
      <c r="C77" s="37"/>
      <c r="D77" s="37"/>
      <c r="E77" s="36"/>
      <c r="F77" s="36"/>
      <c r="G77" s="36" t="str">
        <f t="shared" si="1"/>
        <v/>
      </c>
    </row>
    <row r="78">
      <c r="A78" s="37"/>
      <c r="B78" s="37"/>
      <c r="C78" s="37"/>
      <c r="D78" s="37"/>
      <c r="E78" s="36"/>
      <c r="F78" s="36"/>
      <c r="G78" s="36" t="str">
        <f t="shared" si="1"/>
        <v/>
      </c>
    </row>
    <row r="79">
      <c r="A79" s="37"/>
      <c r="B79" s="37"/>
      <c r="C79" s="37"/>
      <c r="D79" s="37"/>
      <c r="E79" s="36"/>
      <c r="F79" s="36"/>
      <c r="G79" s="36" t="str">
        <f t="shared" si="1"/>
        <v/>
      </c>
    </row>
    <row r="80">
      <c r="A80" s="37"/>
      <c r="B80" s="37"/>
      <c r="C80" s="37"/>
      <c r="D80" s="37"/>
      <c r="E80" s="36"/>
      <c r="F80" s="36"/>
      <c r="G80" s="36" t="str">
        <f t="shared" si="1"/>
        <v/>
      </c>
    </row>
    <row r="81">
      <c r="A81" s="37"/>
      <c r="B81" s="37"/>
      <c r="C81" s="37"/>
      <c r="D81" s="37"/>
      <c r="E81" s="36"/>
      <c r="F81" s="36"/>
      <c r="G81" s="36" t="str">
        <f t="shared" si="1"/>
        <v/>
      </c>
    </row>
    <row r="82">
      <c r="A82" s="37"/>
      <c r="B82" s="37"/>
      <c r="C82" s="37"/>
      <c r="D82" s="37"/>
      <c r="E82" s="36"/>
      <c r="F82" s="36"/>
      <c r="G82" s="36" t="str">
        <f t="shared" si="1"/>
        <v/>
      </c>
    </row>
    <row r="83">
      <c r="A83" s="37"/>
      <c r="B83" s="37"/>
      <c r="C83" s="37"/>
      <c r="D83" s="37"/>
      <c r="E83" s="36"/>
      <c r="F83" s="36"/>
      <c r="G83" s="36" t="str">
        <f t="shared" si="1"/>
        <v/>
      </c>
    </row>
    <row r="84">
      <c r="A84" s="37"/>
      <c r="B84" s="37"/>
      <c r="C84" s="37"/>
      <c r="D84" s="37"/>
      <c r="E84" s="36"/>
      <c r="F84" s="36"/>
      <c r="G84" s="36" t="str">
        <f t="shared" si="1"/>
        <v/>
      </c>
    </row>
    <row r="85">
      <c r="A85" s="37"/>
      <c r="B85" s="37"/>
      <c r="C85" s="37"/>
      <c r="D85" s="37"/>
      <c r="E85" s="36"/>
      <c r="F85" s="36"/>
      <c r="G85" s="36" t="str">
        <f t="shared" si="1"/>
        <v/>
      </c>
    </row>
    <row r="86">
      <c r="A86" s="37"/>
      <c r="B86" s="37"/>
      <c r="C86" s="37"/>
      <c r="D86" s="37"/>
      <c r="E86" s="36"/>
      <c r="F86" s="36"/>
      <c r="G86" s="36" t="str">
        <f t="shared" si="1"/>
        <v/>
      </c>
    </row>
    <row r="87">
      <c r="A87" s="37"/>
      <c r="B87" s="37"/>
      <c r="C87" s="37"/>
      <c r="D87" s="37"/>
      <c r="E87" s="36"/>
      <c r="F87" s="36"/>
      <c r="G87" s="36" t="str">
        <f t="shared" si="1"/>
        <v/>
      </c>
    </row>
    <row r="88">
      <c r="A88" s="37"/>
      <c r="B88" s="37"/>
      <c r="C88" s="37"/>
      <c r="D88" s="37"/>
      <c r="E88" s="36"/>
      <c r="F88" s="36"/>
      <c r="G88" s="36" t="str">
        <f t="shared" si="1"/>
        <v/>
      </c>
    </row>
    <row r="89">
      <c r="A89" s="37"/>
      <c r="B89" s="37"/>
      <c r="C89" s="37"/>
      <c r="D89" s="37"/>
      <c r="E89" s="36"/>
      <c r="F89" s="36"/>
      <c r="G89" s="36" t="str">
        <f t="shared" si="1"/>
        <v/>
      </c>
    </row>
    <row r="90">
      <c r="A90" s="37"/>
      <c r="B90" s="37"/>
      <c r="C90" s="37"/>
      <c r="D90" s="37"/>
      <c r="E90" s="36"/>
      <c r="F90" s="36"/>
      <c r="G90" s="36" t="str">
        <f t="shared" si="1"/>
        <v/>
      </c>
    </row>
    <row r="91">
      <c r="A91" s="37"/>
      <c r="B91" s="37"/>
      <c r="C91" s="37"/>
      <c r="D91" s="37"/>
      <c r="E91" s="36"/>
      <c r="F91" s="36"/>
      <c r="G91" s="36" t="str">
        <f t="shared" si="1"/>
        <v/>
      </c>
    </row>
    <row r="92">
      <c r="A92" s="37"/>
      <c r="B92" s="37"/>
      <c r="C92" s="37"/>
      <c r="D92" s="37"/>
      <c r="E92" s="36"/>
      <c r="F92" s="36"/>
      <c r="G92" s="36" t="str">
        <f t="shared" si="1"/>
        <v/>
      </c>
    </row>
    <row r="93">
      <c r="A93" s="37"/>
      <c r="B93" s="37"/>
      <c r="C93" s="37"/>
      <c r="D93" s="37"/>
      <c r="E93" s="36"/>
      <c r="F93" s="36"/>
      <c r="G93" s="36" t="str">
        <f t="shared" si="1"/>
        <v/>
      </c>
    </row>
    <row r="94">
      <c r="A94" s="37"/>
      <c r="B94" s="37"/>
      <c r="C94" s="37"/>
      <c r="D94" s="37"/>
      <c r="E94" s="36"/>
      <c r="F94" s="36"/>
      <c r="G94" s="36" t="str">
        <f t="shared" si="1"/>
        <v/>
      </c>
    </row>
    <row r="95">
      <c r="A95" s="37"/>
      <c r="B95" s="37"/>
      <c r="C95" s="37"/>
      <c r="D95" s="37"/>
      <c r="E95" s="36"/>
      <c r="F95" s="36"/>
      <c r="G95" s="36" t="str">
        <f t="shared" si="1"/>
        <v/>
      </c>
    </row>
    <row r="96">
      <c r="A96" s="37"/>
      <c r="B96" s="37"/>
      <c r="C96" s="37"/>
      <c r="D96" s="37"/>
      <c r="E96" s="36"/>
      <c r="F96" s="36"/>
      <c r="G96" s="36" t="str">
        <f t="shared" si="1"/>
        <v/>
      </c>
    </row>
    <row r="97">
      <c r="A97" s="37"/>
      <c r="B97" s="37"/>
      <c r="C97" s="37"/>
      <c r="D97" s="37"/>
      <c r="E97" s="36"/>
      <c r="F97" s="36"/>
      <c r="G97" s="36" t="str">
        <f t="shared" si="1"/>
        <v/>
      </c>
    </row>
    <row r="98">
      <c r="A98" s="37"/>
      <c r="B98" s="37"/>
      <c r="C98" s="37"/>
      <c r="D98" s="37"/>
      <c r="E98" s="36"/>
      <c r="F98" s="36"/>
      <c r="G98" s="36" t="str">
        <f t="shared" si="1"/>
        <v/>
      </c>
    </row>
    <row r="99">
      <c r="A99" s="37"/>
      <c r="B99" s="37"/>
      <c r="C99" s="37"/>
      <c r="D99" s="37"/>
      <c r="E99" s="36"/>
      <c r="F99" s="36"/>
      <c r="G99" s="36" t="str">
        <f t="shared" si="1"/>
        <v/>
      </c>
    </row>
    <row r="100">
      <c r="A100" s="37"/>
      <c r="B100" s="37"/>
      <c r="C100" s="37"/>
      <c r="D100" s="37"/>
      <c r="E100" s="36"/>
      <c r="F100" s="36"/>
      <c r="G100" s="36" t="str">
        <f t="shared" si="1"/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 t="str">
        <f t="shared" ref="E102:F102" si="2">SUM(E7:E1000)</f>
        <v>#REF!</v>
      </c>
      <c r="F102" s="55" t="str">
        <f t="shared" si="2"/>
        <v>#REF!</v>
      </c>
      <c r="G102" s="56"/>
    </row>
  </sheetData>
  <mergeCells count="2">
    <mergeCell ref="A1:G1"/>
    <mergeCell ref="A5:G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120</v>
      </c>
    </row>
    <row r="3">
      <c r="A3" s="57" t="s">
        <v>110</v>
      </c>
      <c r="B3" s="58">
        <v>-186506.87999999998</v>
      </c>
      <c r="D3" s="57" t="s">
        <v>111</v>
      </c>
      <c r="E3" s="59" t="str">
        <f>0+SUM(E7:E1000)-SUM(F7:F1000)</f>
        <v>#REF!</v>
      </c>
    </row>
    <row r="5">
      <c r="A5" s="7" t="s">
        <v>121</v>
      </c>
    </row>
    <row r="6">
      <c r="A6" s="41" t="s">
        <v>113</v>
      </c>
      <c r="B6" s="41" t="s">
        <v>122</v>
      </c>
      <c r="C6" s="41" t="s">
        <v>115</v>
      </c>
      <c r="D6" s="41" t="s">
        <v>123</v>
      </c>
      <c r="E6" s="41" t="s">
        <v>124</v>
      </c>
      <c r="F6" s="41" t="s">
        <v>125</v>
      </c>
      <c r="G6" s="41" t="s">
        <v>119</v>
      </c>
    </row>
    <row r="7">
      <c r="A7" s="37"/>
      <c r="B7" s="37"/>
      <c r="C7" s="37"/>
      <c r="D7" s="37"/>
      <c r="E7" s="36"/>
      <c r="F7" s="36"/>
      <c r="G7" s="36" t="str">
        <f>IF(AND(E7="",F7=""),"",B3+E7-F7)</f>
        <v/>
      </c>
    </row>
    <row r="8">
      <c r="A8" s="37"/>
      <c r="B8" s="37"/>
      <c r="C8" s="37"/>
      <c r="D8" s="37"/>
      <c r="E8" s="36"/>
      <c r="F8" s="36"/>
      <c r="G8" s="36" t="str">
        <f t="shared" ref="G8:G100" si="1">IF(AND(E8="",F8=""),"",G7+E8-F8)</f>
        <v/>
      </c>
    </row>
    <row r="9">
      <c r="A9" s="37"/>
      <c r="B9" s="37"/>
      <c r="C9" s="37"/>
      <c r="D9" s="37"/>
      <c r="E9" s="36"/>
      <c r="F9" s="36"/>
      <c r="G9" s="36" t="str">
        <f t="shared" si="1"/>
        <v/>
      </c>
    </row>
    <row r="10">
      <c r="A10" s="37"/>
      <c r="B10" s="37"/>
      <c r="C10" s="37"/>
      <c r="D10" s="37"/>
      <c r="E10" s="36"/>
      <c r="F10" s="36"/>
      <c r="G10" s="36" t="str">
        <f t="shared" si="1"/>
        <v/>
      </c>
    </row>
    <row r="11">
      <c r="A11" s="37"/>
      <c r="B11" s="37"/>
      <c r="C11" s="37"/>
      <c r="D11" s="37"/>
      <c r="E11" s="36"/>
      <c r="F11" s="36"/>
      <c r="G11" s="36" t="str">
        <f t="shared" si="1"/>
        <v/>
      </c>
    </row>
    <row r="12">
      <c r="A12" s="37"/>
      <c r="B12" s="37"/>
      <c r="C12" s="37"/>
      <c r="D12" s="37"/>
      <c r="E12" s="36"/>
      <c r="F12" s="36"/>
      <c r="G12" s="36" t="str">
        <f t="shared" si="1"/>
        <v/>
      </c>
    </row>
    <row r="13">
      <c r="A13" s="37"/>
      <c r="B13" s="37"/>
      <c r="C13" s="37"/>
      <c r="D13" s="37"/>
      <c r="E13" s="36"/>
      <c r="F13" s="36"/>
      <c r="G13" s="36" t="str">
        <f t="shared" si="1"/>
        <v/>
      </c>
    </row>
    <row r="14">
      <c r="A14" s="37"/>
      <c r="B14" s="37"/>
      <c r="C14" s="37"/>
      <c r="D14" s="37"/>
      <c r="E14" s="36"/>
      <c r="F14" s="36"/>
      <c r="G14" s="36" t="str">
        <f t="shared" si="1"/>
        <v/>
      </c>
    </row>
    <row r="15">
      <c r="A15" s="37"/>
      <c r="B15" s="37"/>
      <c r="C15" s="37"/>
      <c r="D15" s="37"/>
      <c r="E15" s="36"/>
      <c r="F15" s="36"/>
      <c r="G15" s="36" t="str">
        <f t="shared" si="1"/>
        <v/>
      </c>
    </row>
    <row r="16">
      <c r="A16" s="37"/>
      <c r="B16" s="37"/>
      <c r="C16" s="37"/>
      <c r="D16" s="37"/>
      <c r="E16" s="36"/>
      <c r="F16" s="36"/>
      <c r="G16" s="36" t="str">
        <f t="shared" si="1"/>
        <v/>
      </c>
    </row>
    <row r="17">
      <c r="A17" s="37"/>
      <c r="B17" s="37"/>
      <c r="C17" s="37"/>
      <c r="D17" s="37"/>
      <c r="E17" s="36"/>
      <c r="F17" s="36"/>
      <c r="G17" s="36" t="str">
        <f t="shared" si="1"/>
        <v/>
      </c>
    </row>
    <row r="18">
      <c r="A18" s="37"/>
      <c r="B18" s="37"/>
      <c r="C18" s="37"/>
      <c r="D18" s="37"/>
      <c r="E18" s="36"/>
      <c r="F18" s="36"/>
      <c r="G18" s="36" t="str">
        <f t="shared" si="1"/>
        <v/>
      </c>
    </row>
    <row r="19">
      <c r="A19" s="37"/>
      <c r="B19" s="37"/>
      <c r="C19" s="37"/>
      <c r="D19" s="37"/>
      <c r="E19" s="36"/>
      <c r="F19" s="36"/>
      <c r="G19" s="36" t="str">
        <f t="shared" si="1"/>
        <v/>
      </c>
    </row>
    <row r="20">
      <c r="A20" s="37"/>
      <c r="B20" s="37"/>
      <c r="C20" s="37"/>
      <c r="D20" s="37"/>
      <c r="E20" s="36"/>
      <c r="F20" s="36"/>
      <c r="G20" s="36" t="str">
        <f t="shared" si="1"/>
        <v/>
      </c>
    </row>
    <row r="21">
      <c r="A21" s="37"/>
      <c r="B21" s="37"/>
      <c r="C21" s="37"/>
      <c r="D21" s="37"/>
      <c r="E21" s="36"/>
      <c r="F21" s="36"/>
      <c r="G21" s="36" t="str">
        <f t="shared" si="1"/>
        <v/>
      </c>
    </row>
    <row r="22">
      <c r="A22" s="37"/>
      <c r="B22" s="37"/>
      <c r="C22" s="37"/>
      <c r="D22" s="37"/>
      <c r="E22" s="36"/>
      <c r="F22" s="36"/>
      <c r="G22" s="36" t="str">
        <f t="shared" si="1"/>
        <v/>
      </c>
    </row>
    <row r="23">
      <c r="A23" s="37"/>
      <c r="B23" s="37"/>
      <c r="C23" s="37"/>
      <c r="D23" s="37"/>
      <c r="E23" s="36"/>
      <c r="F23" s="36"/>
      <c r="G23" s="36" t="str">
        <f t="shared" si="1"/>
        <v/>
      </c>
    </row>
    <row r="24">
      <c r="A24" s="37"/>
      <c r="B24" s="37"/>
      <c r="C24" s="37"/>
      <c r="D24" s="37"/>
      <c r="E24" s="36"/>
      <c r="F24" s="36"/>
      <c r="G24" s="36" t="str">
        <f t="shared" si="1"/>
        <v/>
      </c>
    </row>
    <row r="25">
      <c r="A25" s="37"/>
      <c r="B25" s="37"/>
      <c r="C25" s="37"/>
      <c r="D25" s="37"/>
      <c r="E25" s="36"/>
      <c r="F25" s="36"/>
      <c r="G25" s="36" t="str">
        <f t="shared" si="1"/>
        <v/>
      </c>
    </row>
    <row r="26">
      <c r="A26" s="37"/>
      <c r="B26" s="37"/>
      <c r="C26" s="37"/>
      <c r="D26" s="37"/>
      <c r="E26" s="36"/>
      <c r="F26" s="36"/>
      <c r="G26" s="36" t="str">
        <f t="shared" si="1"/>
        <v/>
      </c>
    </row>
    <row r="27">
      <c r="A27" s="37"/>
      <c r="B27" s="37"/>
      <c r="C27" s="37"/>
      <c r="D27" s="37"/>
      <c r="E27" s="36"/>
      <c r="F27" s="36"/>
      <c r="G27" s="36" t="str">
        <f t="shared" si="1"/>
        <v/>
      </c>
    </row>
    <row r="28">
      <c r="A28" s="37"/>
      <c r="B28" s="37"/>
      <c r="C28" s="37"/>
      <c r="D28" s="37"/>
      <c r="E28" s="36"/>
      <c r="F28" s="36"/>
      <c r="G28" s="36" t="str">
        <f t="shared" si="1"/>
        <v/>
      </c>
    </row>
    <row r="29">
      <c r="A29" s="37"/>
      <c r="B29" s="37"/>
      <c r="C29" s="37"/>
      <c r="D29" s="37"/>
      <c r="E29" s="36"/>
      <c r="F29" s="36"/>
      <c r="G29" s="36" t="str">
        <f t="shared" si="1"/>
        <v/>
      </c>
    </row>
    <row r="30">
      <c r="A30" s="37"/>
      <c r="B30" s="37"/>
      <c r="C30" s="37"/>
      <c r="D30" s="37"/>
      <c r="E30" s="36"/>
      <c r="F30" s="36"/>
      <c r="G30" s="36" t="str">
        <f t="shared" si="1"/>
        <v/>
      </c>
    </row>
    <row r="31">
      <c r="A31" s="37"/>
      <c r="B31" s="37"/>
      <c r="C31" s="37"/>
      <c r="D31" s="37"/>
      <c r="E31" s="36"/>
      <c r="F31" s="36"/>
      <c r="G31" s="36" t="str">
        <f t="shared" si="1"/>
        <v/>
      </c>
    </row>
    <row r="32">
      <c r="A32" s="37"/>
      <c r="B32" s="37"/>
      <c r="C32" s="37"/>
      <c r="D32" s="37"/>
      <c r="E32" s="36"/>
      <c r="F32" s="36"/>
      <c r="G32" s="36" t="str">
        <f t="shared" si="1"/>
        <v/>
      </c>
    </row>
    <row r="33">
      <c r="A33" s="37"/>
      <c r="B33" s="37"/>
      <c r="C33" s="37"/>
      <c r="D33" s="37"/>
      <c r="E33" s="36"/>
      <c r="F33" s="36"/>
      <c r="G33" s="36" t="str">
        <f t="shared" si="1"/>
        <v/>
      </c>
    </row>
    <row r="34">
      <c r="A34" s="37"/>
      <c r="B34" s="37"/>
      <c r="C34" s="37"/>
      <c r="D34" s="37"/>
      <c r="E34" s="36"/>
      <c r="F34" s="36"/>
      <c r="G34" s="36" t="str">
        <f t="shared" si="1"/>
        <v/>
      </c>
    </row>
    <row r="35">
      <c r="A35" s="37"/>
      <c r="B35" s="37"/>
      <c r="C35" s="37"/>
      <c r="D35" s="37"/>
      <c r="E35" s="36"/>
      <c r="F35" s="36"/>
      <c r="G35" s="36" t="str">
        <f t="shared" si="1"/>
        <v/>
      </c>
    </row>
    <row r="36">
      <c r="A36" s="37"/>
      <c r="B36" s="37"/>
      <c r="C36" s="37"/>
      <c r="D36" s="37"/>
      <c r="E36" s="36"/>
      <c r="F36" s="36"/>
      <c r="G36" s="36" t="str">
        <f t="shared" si="1"/>
        <v/>
      </c>
    </row>
    <row r="37">
      <c r="A37" s="37"/>
      <c r="B37" s="37"/>
      <c r="C37" s="37"/>
      <c r="D37" s="37"/>
      <c r="E37" s="36"/>
      <c r="F37" s="36"/>
      <c r="G37" s="36" t="str">
        <f t="shared" si="1"/>
        <v/>
      </c>
    </row>
    <row r="38">
      <c r="A38" s="37"/>
      <c r="B38" s="37"/>
      <c r="C38" s="37"/>
      <c r="D38" s="37"/>
      <c r="E38" s="36"/>
      <c r="F38" s="36"/>
      <c r="G38" s="36" t="str">
        <f t="shared" si="1"/>
        <v/>
      </c>
    </row>
    <row r="39">
      <c r="A39" s="37"/>
      <c r="B39" s="37"/>
      <c r="C39" s="37"/>
      <c r="D39" s="37"/>
      <c r="E39" s="36"/>
      <c r="F39" s="36"/>
      <c r="G39" s="36" t="str">
        <f t="shared" si="1"/>
        <v/>
      </c>
    </row>
    <row r="40">
      <c r="A40" s="37"/>
      <c r="B40" s="37"/>
      <c r="C40" s="37"/>
      <c r="D40" s="37"/>
      <c r="E40" s="36"/>
      <c r="F40" s="36"/>
      <c r="G40" s="36" t="str">
        <f t="shared" si="1"/>
        <v/>
      </c>
    </row>
    <row r="41">
      <c r="A41" s="37"/>
      <c r="B41" s="37"/>
      <c r="C41" s="37"/>
      <c r="D41" s="37"/>
      <c r="E41" s="36"/>
      <c r="F41" s="36"/>
      <c r="G41" s="36" t="str">
        <f t="shared" si="1"/>
        <v/>
      </c>
    </row>
    <row r="42">
      <c r="A42" s="37"/>
      <c r="B42" s="37"/>
      <c r="C42" s="37"/>
      <c r="D42" s="37"/>
      <c r="E42" s="36"/>
      <c r="F42" s="36"/>
      <c r="G42" s="36" t="str">
        <f t="shared" si="1"/>
        <v/>
      </c>
    </row>
    <row r="43">
      <c r="A43" s="37"/>
      <c r="B43" s="37"/>
      <c r="C43" s="37"/>
      <c r="D43" s="37"/>
      <c r="E43" s="36"/>
      <c r="F43" s="36"/>
      <c r="G43" s="36" t="str">
        <f t="shared" si="1"/>
        <v/>
      </c>
    </row>
    <row r="44">
      <c r="A44" s="37"/>
      <c r="B44" s="37"/>
      <c r="C44" s="37"/>
      <c r="D44" s="37"/>
      <c r="E44" s="36"/>
      <c r="F44" s="36"/>
      <c r="G44" s="36" t="str">
        <f t="shared" si="1"/>
        <v/>
      </c>
    </row>
    <row r="45">
      <c r="A45" s="37"/>
      <c r="B45" s="37"/>
      <c r="C45" s="37"/>
      <c r="D45" s="37"/>
      <c r="E45" s="36"/>
      <c r="F45" s="36"/>
      <c r="G45" s="36" t="str">
        <f t="shared" si="1"/>
        <v/>
      </c>
    </row>
    <row r="46">
      <c r="A46" s="37"/>
      <c r="B46" s="37"/>
      <c r="C46" s="37"/>
      <c r="D46" s="37"/>
      <c r="E46" s="36"/>
      <c r="F46" s="36"/>
      <c r="G46" s="36" t="str">
        <f t="shared" si="1"/>
        <v/>
      </c>
    </row>
    <row r="47">
      <c r="A47" s="37"/>
      <c r="B47" s="37"/>
      <c r="C47" s="37"/>
      <c r="D47" s="37"/>
      <c r="E47" s="36"/>
      <c r="F47" s="36"/>
      <c r="G47" s="36" t="str">
        <f t="shared" si="1"/>
        <v/>
      </c>
    </row>
    <row r="48">
      <c r="A48" s="37"/>
      <c r="B48" s="37"/>
      <c r="C48" s="37"/>
      <c r="D48" s="37"/>
      <c r="E48" s="36"/>
      <c r="F48" s="36"/>
      <c r="G48" s="36" t="str">
        <f t="shared" si="1"/>
        <v/>
      </c>
    </row>
    <row r="49">
      <c r="A49" s="37"/>
      <c r="B49" s="37"/>
      <c r="C49" s="37"/>
      <c r="D49" s="37"/>
      <c r="E49" s="36"/>
      <c r="F49" s="36"/>
      <c r="G49" s="36" t="str">
        <f t="shared" si="1"/>
        <v/>
      </c>
    </row>
    <row r="50">
      <c r="A50" s="37"/>
      <c r="B50" s="37"/>
      <c r="C50" s="37"/>
      <c r="D50" s="37"/>
      <c r="E50" s="36"/>
      <c r="F50" s="36"/>
      <c r="G50" s="36" t="str">
        <f t="shared" si="1"/>
        <v/>
      </c>
    </row>
    <row r="51">
      <c r="A51" s="37"/>
      <c r="B51" s="37"/>
      <c r="C51" s="37"/>
      <c r="D51" s="37"/>
      <c r="E51" s="36"/>
      <c r="F51" s="36"/>
      <c r="G51" s="36" t="str">
        <f t="shared" si="1"/>
        <v/>
      </c>
    </row>
    <row r="52">
      <c r="A52" s="37"/>
      <c r="B52" s="37"/>
      <c r="C52" s="37"/>
      <c r="D52" s="37"/>
      <c r="E52" s="36"/>
      <c r="F52" s="36"/>
      <c r="G52" s="36" t="str">
        <f t="shared" si="1"/>
        <v/>
      </c>
    </row>
    <row r="53">
      <c r="A53" s="37"/>
      <c r="B53" s="37"/>
      <c r="C53" s="37"/>
      <c r="D53" s="37"/>
      <c r="E53" s="36"/>
      <c r="F53" s="36"/>
      <c r="G53" s="36" t="str">
        <f t="shared" si="1"/>
        <v/>
      </c>
    </row>
    <row r="54">
      <c r="A54" s="37"/>
      <c r="B54" s="37"/>
      <c r="C54" s="37"/>
      <c r="D54" s="37"/>
      <c r="E54" s="36"/>
      <c r="F54" s="36"/>
      <c r="G54" s="36" t="str">
        <f t="shared" si="1"/>
        <v/>
      </c>
    </row>
    <row r="55">
      <c r="A55" s="37"/>
      <c r="B55" s="37"/>
      <c r="C55" s="37"/>
      <c r="D55" s="37"/>
      <c r="E55" s="36"/>
      <c r="F55" s="36"/>
      <c r="G55" s="36" t="str">
        <f t="shared" si="1"/>
        <v/>
      </c>
    </row>
    <row r="56">
      <c r="A56" s="37"/>
      <c r="B56" s="37"/>
      <c r="C56" s="37"/>
      <c r="D56" s="37"/>
      <c r="E56" s="36"/>
      <c r="F56" s="36"/>
      <c r="G56" s="36" t="str">
        <f t="shared" si="1"/>
        <v/>
      </c>
    </row>
    <row r="57">
      <c r="A57" s="37"/>
      <c r="B57" s="37"/>
      <c r="C57" s="37"/>
      <c r="D57" s="37"/>
      <c r="E57" s="36"/>
      <c r="F57" s="36"/>
      <c r="G57" s="36" t="str">
        <f t="shared" si="1"/>
        <v/>
      </c>
    </row>
    <row r="58">
      <c r="A58" s="37"/>
      <c r="B58" s="37"/>
      <c r="C58" s="37"/>
      <c r="D58" s="37"/>
      <c r="E58" s="36"/>
      <c r="F58" s="36"/>
      <c r="G58" s="36" t="str">
        <f t="shared" si="1"/>
        <v/>
      </c>
    </row>
    <row r="59">
      <c r="A59" s="37"/>
      <c r="B59" s="37"/>
      <c r="C59" s="37"/>
      <c r="D59" s="37"/>
      <c r="E59" s="36"/>
      <c r="F59" s="36"/>
      <c r="G59" s="36" t="str">
        <f t="shared" si="1"/>
        <v/>
      </c>
    </row>
    <row r="60">
      <c r="A60" s="37"/>
      <c r="B60" s="37"/>
      <c r="C60" s="37"/>
      <c r="D60" s="37"/>
      <c r="E60" s="36"/>
      <c r="F60" s="36"/>
      <c r="G60" s="36" t="str">
        <f t="shared" si="1"/>
        <v/>
      </c>
    </row>
    <row r="61">
      <c r="A61" s="37"/>
      <c r="B61" s="37"/>
      <c r="C61" s="37"/>
      <c r="D61" s="37"/>
      <c r="E61" s="36"/>
      <c r="F61" s="36"/>
      <c r="G61" s="36" t="str">
        <f t="shared" si="1"/>
        <v/>
      </c>
    </row>
    <row r="62">
      <c r="A62" s="37"/>
      <c r="B62" s="37"/>
      <c r="C62" s="37"/>
      <c r="D62" s="37"/>
      <c r="E62" s="36"/>
      <c r="F62" s="36"/>
      <c r="G62" s="36" t="str">
        <f t="shared" si="1"/>
        <v/>
      </c>
    </row>
    <row r="63">
      <c r="A63" s="37"/>
      <c r="B63" s="37"/>
      <c r="C63" s="37"/>
      <c r="D63" s="37"/>
      <c r="E63" s="36"/>
      <c r="F63" s="36"/>
      <c r="G63" s="36" t="str">
        <f t="shared" si="1"/>
        <v/>
      </c>
    </row>
    <row r="64">
      <c r="A64" s="37"/>
      <c r="B64" s="37"/>
      <c r="C64" s="37"/>
      <c r="D64" s="37"/>
      <c r="E64" s="36"/>
      <c r="F64" s="36"/>
      <c r="G64" s="36" t="str">
        <f t="shared" si="1"/>
        <v/>
      </c>
    </row>
    <row r="65">
      <c r="A65" s="37"/>
      <c r="B65" s="37"/>
      <c r="C65" s="37"/>
      <c r="D65" s="37"/>
      <c r="E65" s="36"/>
      <c r="F65" s="36"/>
      <c r="G65" s="36" t="str">
        <f t="shared" si="1"/>
        <v/>
      </c>
    </row>
    <row r="66">
      <c r="A66" s="37"/>
      <c r="B66" s="37"/>
      <c r="C66" s="37"/>
      <c r="D66" s="37"/>
      <c r="E66" s="36"/>
      <c r="F66" s="36"/>
      <c r="G66" s="36" t="str">
        <f t="shared" si="1"/>
        <v/>
      </c>
    </row>
    <row r="67">
      <c r="A67" s="37"/>
      <c r="B67" s="37"/>
      <c r="C67" s="37"/>
      <c r="D67" s="37"/>
      <c r="E67" s="36"/>
      <c r="F67" s="36"/>
      <c r="G67" s="36" t="str">
        <f t="shared" si="1"/>
        <v/>
      </c>
    </row>
    <row r="68">
      <c r="A68" s="37"/>
      <c r="B68" s="37"/>
      <c r="C68" s="37"/>
      <c r="D68" s="37"/>
      <c r="E68" s="36"/>
      <c r="F68" s="36"/>
      <c r="G68" s="36" t="str">
        <f t="shared" si="1"/>
        <v/>
      </c>
    </row>
    <row r="69">
      <c r="A69" s="37"/>
      <c r="B69" s="37"/>
      <c r="C69" s="37"/>
      <c r="D69" s="37"/>
      <c r="E69" s="36"/>
      <c r="F69" s="36"/>
      <c r="G69" s="36" t="str">
        <f t="shared" si="1"/>
        <v/>
      </c>
    </row>
    <row r="70">
      <c r="A70" s="37"/>
      <c r="B70" s="37"/>
      <c r="C70" s="37"/>
      <c r="D70" s="37"/>
      <c r="E70" s="36"/>
      <c r="F70" s="36"/>
      <c r="G70" s="36" t="str">
        <f t="shared" si="1"/>
        <v/>
      </c>
    </row>
    <row r="71">
      <c r="A71" s="37"/>
      <c r="B71" s="37"/>
      <c r="C71" s="37"/>
      <c r="D71" s="37"/>
      <c r="E71" s="36"/>
      <c r="F71" s="36"/>
      <c r="G71" s="36" t="str">
        <f t="shared" si="1"/>
        <v/>
      </c>
    </row>
    <row r="72">
      <c r="A72" s="37"/>
      <c r="B72" s="37"/>
      <c r="C72" s="37"/>
      <c r="D72" s="37"/>
      <c r="E72" s="36"/>
      <c r="F72" s="36"/>
      <c r="G72" s="36" t="str">
        <f t="shared" si="1"/>
        <v/>
      </c>
    </row>
    <row r="73">
      <c r="A73" s="37"/>
      <c r="B73" s="37"/>
      <c r="C73" s="37"/>
      <c r="D73" s="37"/>
      <c r="E73" s="36"/>
      <c r="F73" s="36"/>
      <c r="G73" s="36" t="str">
        <f t="shared" si="1"/>
        <v/>
      </c>
    </row>
    <row r="74">
      <c r="A74" s="37"/>
      <c r="B74" s="37"/>
      <c r="C74" s="37"/>
      <c r="D74" s="37"/>
      <c r="E74" s="36"/>
      <c r="F74" s="36"/>
      <c r="G74" s="36" t="str">
        <f t="shared" si="1"/>
        <v/>
      </c>
    </row>
    <row r="75">
      <c r="A75" s="37"/>
      <c r="B75" s="37"/>
      <c r="C75" s="37"/>
      <c r="D75" s="37"/>
      <c r="E75" s="36"/>
      <c r="F75" s="36"/>
      <c r="G75" s="36" t="str">
        <f t="shared" si="1"/>
        <v/>
      </c>
    </row>
    <row r="76">
      <c r="A76" s="37"/>
      <c r="B76" s="37"/>
      <c r="C76" s="37"/>
      <c r="D76" s="37"/>
      <c r="E76" s="36"/>
      <c r="F76" s="36"/>
      <c r="G76" s="36" t="str">
        <f t="shared" si="1"/>
        <v/>
      </c>
    </row>
    <row r="77">
      <c r="A77" s="37"/>
      <c r="B77" s="37"/>
      <c r="C77" s="37"/>
      <c r="D77" s="37"/>
      <c r="E77" s="36"/>
      <c r="F77" s="36"/>
      <c r="G77" s="36" t="str">
        <f t="shared" si="1"/>
        <v/>
      </c>
    </row>
    <row r="78">
      <c r="A78" s="37"/>
      <c r="B78" s="37"/>
      <c r="C78" s="37"/>
      <c r="D78" s="37"/>
      <c r="E78" s="36"/>
      <c r="F78" s="36"/>
      <c r="G78" s="36" t="str">
        <f t="shared" si="1"/>
        <v/>
      </c>
    </row>
    <row r="79">
      <c r="A79" s="37"/>
      <c r="B79" s="37"/>
      <c r="C79" s="37"/>
      <c r="D79" s="37"/>
      <c r="E79" s="36"/>
      <c r="F79" s="36"/>
      <c r="G79" s="36" t="str">
        <f t="shared" si="1"/>
        <v/>
      </c>
    </row>
    <row r="80">
      <c r="A80" s="37"/>
      <c r="B80" s="37"/>
      <c r="C80" s="37"/>
      <c r="D80" s="37"/>
      <c r="E80" s="36"/>
      <c r="F80" s="36"/>
      <c r="G80" s="36" t="str">
        <f t="shared" si="1"/>
        <v/>
      </c>
    </row>
    <row r="81">
      <c r="A81" s="37"/>
      <c r="B81" s="37"/>
      <c r="C81" s="37"/>
      <c r="D81" s="37"/>
      <c r="E81" s="36"/>
      <c r="F81" s="36"/>
      <c r="G81" s="36" t="str">
        <f t="shared" si="1"/>
        <v/>
      </c>
    </row>
    <row r="82">
      <c r="A82" s="37"/>
      <c r="B82" s="37"/>
      <c r="C82" s="37"/>
      <c r="D82" s="37"/>
      <c r="E82" s="36"/>
      <c r="F82" s="36"/>
      <c r="G82" s="36" t="str">
        <f t="shared" si="1"/>
        <v/>
      </c>
    </row>
    <row r="83">
      <c r="A83" s="37"/>
      <c r="B83" s="37"/>
      <c r="C83" s="37"/>
      <c r="D83" s="37"/>
      <c r="E83" s="36"/>
      <c r="F83" s="36"/>
      <c r="G83" s="36" t="str">
        <f t="shared" si="1"/>
        <v/>
      </c>
    </row>
    <row r="84">
      <c r="A84" s="37"/>
      <c r="B84" s="37"/>
      <c r="C84" s="37"/>
      <c r="D84" s="37"/>
      <c r="E84" s="36"/>
      <c r="F84" s="36"/>
      <c r="G84" s="36" t="str">
        <f t="shared" si="1"/>
        <v/>
      </c>
    </row>
    <row r="85">
      <c r="A85" s="37"/>
      <c r="B85" s="37"/>
      <c r="C85" s="37"/>
      <c r="D85" s="37"/>
      <c r="E85" s="36"/>
      <c r="F85" s="36"/>
      <c r="G85" s="36" t="str">
        <f t="shared" si="1"/>
        <v/>
      </c>
    </row>
    <row r="86">
      <c r="A86" s="37"/>
      <c r="B86" s="37"/>
      <c r="C86" s="37"/>
      <c r="D86" s="37"/>
      <c r="E86" s="36"/>
      <c r="F86" s="36"/>
      <c r="G86" s="36" t="str">
        <f t="shared" si="1"/>
        <v/>
      </c>
    </row>
    <row r="87">
      <c r="A87" s="37"/>
      <c r="B87" s="37"/>
      <c r="C87" s="37"/>
      <c r="D87" s="37"/>
      <c r="E87" s="36"/>
      <c r="F87" s="36"/>
      <c r="G87" s="36" t="str">
        <f t="shared" si="1"/>
        <v/>
      </c>
    </row>
    <row r="88">
      <c r="A88" s="37"/>
      <c r="B88" s="37"/>
      <c r="C88" s="37"/>
      <c r="D88" s="37"/>
      <c r="E88" s="36"/>
      <c r="F88" s="36"/>
      <c r="G88" s="36" t="str">
        <f t="shared" si="1"/>
        <v/>
      </c>
    </row>
    <row r="89">
      <c r="A89" s="37"/>
      <c r="B89" s="37"/>
      <c r="C89" s="37"/>
      <c r="D89" s="37"/>
      <c r="E89" s="36"/>
      <c r="F89" s="36"/>
      <c r="G89" s="36" t="str">
        <f t="shared" si="1"/>
        <v/>
      </c>
    </row>
    <row r="90">
      <c r="A90" s="37"/>
      <c r="B90" s="37"/>
      <c r="C90" s="37"/>
      <c r="D90" s="37"/>
      <c r="E90" s="36"/>
      <c r="F90" s="36"/>
      <c r="G90" s="36" t="str">
        <f t="shared" si="1"/>
        <v/>
      </c>
    </row>
    <row r="91">
      <c r="A91" s="37"/>
      <c r="B91" s="37"/>
      <c r="C91" s="37"/>
      <c r="D91" s="37"/>
      <c r="E91" s="36"/>
      <c r="F91" s="36"/>
      <c r="G91" s="36" t="str">
        <f t="shared" si="1"/>
        <v/>
      </c>
    </row>
    <row r="92">
      <c r="A92" s="37"/>
      <c r="B92" s="37"/>
      <c r="C92" s="37"/>
      <c r="D92" s="37"/>
      <c r="E92" s="36"/>
      <c r="F92" s="36"/>
      <c r="G92" s="36" t="str">
        <f t="shared" si="1"/>
        <v/>
      </c>
    </row>
    <row r="93">
      <c r="A93" s="37"/>
      <c r="B93" s="37"/>
      <c r="C93" s="37"/>
      <c r="D93" s="37"/>
      <c r="E93" s="36"/>
      <c r="F93" s="36"/>
      <c r="G93" s="36" t="str">
        <f t="shared" si="1"/>
        <v/>
      </c>
    </row>
    <row r="94">
      <c r="A94" s="37"/>
      <c r="B94" s="37"/>
      <c r="C94" s="37"/>
      <c r="D94" s="37"/>
      <c r="E94" s="36"/>
      <c r="F94" s="36"/>
      <c r="G94" s="36" t="str">
        <f t="shared" si="1"/>
        <v/>
      </c>
    </row>
    <row r="95">
      <c r="A95" s="37"/>
      <c r="B95" s="37"/>
      <c r="C95" s="37"/>
      <c r="D95" s="37"/>
      <c r="E95" s="36"/>
      <c r="F95" s="36"/>
      <c r="G95" s="36" t="str">
        <f t="shared" si="1"/>
        <v/>
      </c>
    </row>
    <row r="96">
      <c r="A96" s="37"/>
      <c r="B96" s="37"/>
      <c r="C96" s="37"/>
      <c r="D96" s="37"/>
      <c r="E96" s="36"/>
      <c r="F96" s="36"/>
      <c r="G96" s="36" t="str">
        <f t="shared" si="1"/>
        <v/>
      </c>
    </row>
    <row r="97">
      <c r="A97" s="37"/>
      <c r="B97" s="37"/>
      <c r="C97" s="37"/>
      <c r="D97" s="37"/>
      <c r="E97" s="36"/>
      <c r="F97" s="36"/>
      <c r="G97" s="36" t="str">
        <f t="shared" si="1"/>
        <v/>
      </c>
    </row>
    <row r="98">
      <c r="A98" s="37"/>
      <c r="B98" s="37"/>
      <c r="C98" s="37"/>
      <c r="D98" s="37"/>
      <c r="E98" s="36"/>
      <c r="F98" s="36"/>
      <c r="G98" s="36" t="str">
        <f t="shared" si="1"/>
        <v/>
      </c>
    </row>
    <row r="99">
      <c r="A99" s="37"/>
      <c r="B99" s="37"/>
      <c r="C99" s="37"/>
      <c r="D99" s="37"/>
      <c r="E99" s="36"/>
      <c r="F99" s="36"/>
      <c r="G99" s="36" t="str">
        <f t="shared" si="1"/>
        <v/>
      </c>
    </row>
    <row r="100">
      <c r="A100" s="37"/>
      <c r="B100" s="37"/>
      <c r="C100" s="37"/>
      <c r="D100" s="37"/>
      <c r="E100" s="36"/>
      <c r="F100" s="36"/>
      <c r="G100" s="36" t="str">
        <f t="shared" si="1"/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 t="str">
        <f t="shared" ref="E102:F102" si="2">SUM(E7:E1000)</f>
        <v>#REF!</v>
      </c>
      <c r="F102" s="55" t="str">
        <f t="shared" si="2"/>
        <v>#REF!</v>
      </c>
      <c r="G102" s="56"/>
    </row>
  </sheetData>
  <mergeCells count="2">
    <mergeCell ref="A1:G1"/>
    <mergeCell ref="A5:G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2.0" topLeftCell="A23" activePane="bottomLeft" state="frozen"/>
      <selection activeCell="B24" sqref="B24" pane="bottomLeft"/>
    </sheetView>
  </sheetViews>
  <sheetFormatPr customHeight="1" defaultColWidth="12.63" defaultRowHeight="15.75"/>
  <cols>
    <col customWidth="1" min="1" max="1" width="51.13"/>
    <col customWidth="1" min="2" max="2" width="65.38"/>
  </cols>
  <sheetData>
    <row r="1">
      <c r="A1" s="24" t="s">
        <v>126</v>
      </c>
    </row>
    <row r="3">
      <c r="A3" s="15" t="s">
        <v>41</v>
      </c>
      <c r="B3" s="15" t="s">
        <v>127</v>
      </c>
      <c r="C3" s="15" t="s">
        <v>128</v>
      </c>
      <c r="D3" s="15" t="s">
        <v>129</v>
      </c>
    </row>
    <row r="4">
      <c r="A4" s="4" t="s">
        <v>43</v>
      </c>
      <c r="B4" s="6">
        <f t="shared" ref="B4:B19" si="1">SUMIF($D$23:$D$502,A4,$G$23:$G$502)</f>
        <v>79345.24</v>
      </c>
      <c r="C4" s="6">
        <f t="shared" ref="C4:C19" si="2">COUNTIF($D$23:$D$502,A4)</f>
        <v>54</v>
      </c>
      <c r="D4" s="6">
        <f t="shared" ref="D4:D18" si="3">IFERROR(B4/C4,0)</f>
        <v>1469.356296</v>
      </c>
    </row>
    <row r="5">
      <c r="A5" s="4" t="s">
        <v>44</v>
      </c>
      <c r="B5" s="6">
        <f t="shared" si="1"/>
        <v>19951.36</v>
      </c>
      <c r="C5" s="6">
        <f t="shared" si="2"/>
        <v>17</v>
      </c>
      <c r="D5" s="6">
        <f t="shared" si="3"/>
        <v>1173.609412</v>
      </c>
    </row>
    <row r="6">
      <c r="A6" s="4" t="s">
        <v>45</v>
      </c>
      <c r="B6" s="6">
        <f t="shared" si="1"/>
        <v>22733.87</v>
      </c>
      <c r="C6" s="6">
        <f t="shared" si="2"/>
        <v>15</v>
      </c>
      <c r="D6" s="6">
        <f t="shared" si="3"/>
        <v>1515.591333</v>
      </c>
    </row>
    <row r="7">
      <c r="A7" s="4" t="s">
        <v>46</v>
      </c>
      <c r="B7" s="6">
        <f t="shared" si="1"/>
        <v>34121.05</v>
      </c>
      <c r="C7" s="6">
        <f t="shared" si="2"/>
        <v>14</v>
      </c>
      <c r="D7" s="6">
        <f t="shared" si="3"/>
        <v>2437.217857</v>
      </c>
    </row>
    <row r="8">
      <c r="A8" s="4" t="s">
        <v>47</v>
      </c>
      <c r="B8" s="6">
        <f t="shared" si="1"/>
        <v>486637.4</v>
      </c>
      <c r="C8" s="6">
        <f t="shared" si="2"/>
        <v>26</v>
      </c>
      <c r="D8" s="6">
        <f t="shared" si="3"/>
        <v>18716.82308</v>
      </c>
    </row>
    <row r="9">
      <c r="A9" s="4" t="s">
        <v>48</v>
      </c>
      <c r="B9" s="6">
        <f t="shared" si="1"/>
        <v>92907.92</v>
      </c>
      <c r="C9" s="6">
        <f t="shared" si="2"/>
        <v>61</v>
      </c>
      <c r="D9" s="6">
        <f t="shared" si="3"/>
        <v>1523.080656</v>
      </c>
    </row>
    <row r="10">
      <c r="A10" s="4" t="s">
        <v>49</v>
      </c>
      <c r="B10" s="6">
        <f t="shared" si="1"/>
        <v>976412.87</v>
      </c>
      <c r="C10" s="6">
        <f t="shared" si="2"/>
        <v>15</v>
      </c>
      <c r="D10" s="6">
        <f t="shared" si="3"/>
        <v>65094.19133</v>
      </c>
    </row>
    <row r="11">
      <c r="A11" s="4" t="s">
        <v>50</v>
      </c>
      <c r="B11" s="6">
        <f t="shared" si="1"/>
        <v>18398.82</v>
      </c>
      <c r="C11" s="6">
        <f t="shared" si="2"/>
        <v>35</v>
      </c>
      <c r="D11" s="6">
        <f t="shared" si="3"/>
        <v>525.6805714</v>
      </c>
    </row>
    <row r="12">
      <c r="A12" s="4" t="s">
        <v>51</v>
      </c>
      <c r="B12" s="6">
        <f t="shared" si="1"/>
        <v>17807.28</v>
      </c>
      <c r="C12" s="6">
        <f t="shared" si="2"/>
        <v>26</v>
      </c>
      <c r="D12" s="6">
        <f t="shared" si="3"/>
        <v>684.8953846</v>
      </c>
    </row>
    <row r="13">
      <c r="A13" s="4" t="s">
        <v>52</v>
      </c>
      <c r="B13" s="6">
        <f t="shared" si="1"/>
        <v>270754.61</v>
      </c>
      <c r="C13" s="6">
        <f t="shared" si="2"/>
        <v>21</v>
      </c>
      <c r="D13" s="6">
        <f t="shared" si="3"/>
        <v>12893.07667</v>
      </c>
    </row>
    <row r="14">
      <c r="A14" s="4" t="s">
        <v>53</v>
      </c>
      <c r="B14" s="6">
        <f t="shared" si="1"/>
        <v>89837.02</v>
      </c>
      <c r="C14" s="6">
        <f t="shared" si="2"/>
        <v>112</v>
      </c>
      <c r="D14" s="6">
        <f t="shared" si="3"/>
        <v>802.11625</v>
      </c>
    </row>
    <row r="15">
      <c r="A15" s="4" t="s">
        <v>54</v>
      </c>
      <c r="B15" s="6">
        <f t="shared" si="1"/>
        <v>0</v>
      </c>
      <c r="C15" s="6">
        <f t="shared" si="2"/>
        <v>0</v>
      </c>
      <c r="D15" s="6">
        <f t="shared" si="3"/>
        <v>0</v>
      </c>
    </row>
    <row r="16">
      <c r="A16" s="4" t="s">
        <v>55</v>
      </c>
      <c r="B16" s="6">
        <f t="shared" si="1"/>
        <v>20589.67</v>
      </c>
      <c r="C16" s="6">
        <f t="shared" si="2"/>
        <v>9</v>
      </c>
      <c r="D16" s="6">
        <f t="shared" si="3"/>
        <v>2287.741111</v>
      </c>
    </row>
    <row r="17">
      <c r="A17" s="4" t="s">
        <v>56</v>
      </c>
      <c r="B17" s="6">
        <f t="shared" si="1"/>
        <v>30912.4</v>
      </c>
      <c r="C17" s="6">
        <f t="shared" si="2"/>
        <v>10</v>
      </c>
      <c r="D17" s="6">
        <f t="shared" si="3"/>
        <v>3091.24</v>
      </c>
    </row>
    <row r="18">
      <c r="A18" s="4" t="s">
        <v>57</v>
      </c>
      <c r="B18" s="6">
        <f t="shared" si="1"/>
        <v>4257.5</v>
      </c>
      <c r="C18" s="6">
        <f t="shared" si="2"/>
        <v>17</v>
      </c>
      <c r="D18" s="6">
        <f t="shared" si="3"/>
        <v>250.4411765</v>
      </c>
    </row>
    <row r="19">
      <c r="A19" s="4" t="s">
        <v>58</v>
      </c>
      <c r="B19" s="6">
        <f t="shared" si="1"/>
        <v>15016.49</v>
      </c>
      <c r="C19" s="6">
        <f t="shared" si="2"/>
        <v>9</v>
      </c>
      <c r="D19" s="6">
        <f>IFERROR(B23/C19,0)</f>
        <v>0</v>
      </c>
    </row>
    <row r="20">
      <c r="A20" s="25" t="s">
        <v>59</v>
      </c>
      <c r="B20" s="6">
        <f t="shared" ref="B20:C20" si="4">SUM(B4:B19)</f>
        <v>2179683.5</v>
      </c>
      <c r="C20" s="6">
        <f t="shared" si="4"/>
        <v>441</v>
      </c>
      <c r="D20" s="6">
        <f>IFERROR(B23/C20,0)</f>
        <v>0</v>
      </c>
    </row>
    <row r="22">
      <c r="A22" s="15" t="s">
        <v>130</v>
      </c>
      <c r="B22" s="15" t="s">
        <v>131</v>
      </c>
      <c r="C22" s="15" t="s">
        <v>132</v>
      </c>
      <c r="D22" s="15" t="s">
        <v>41</v>
      </c>
      <c r="E22" s="15" t="s">
        <v>133</v>
      </c>
      <c r="F22" s="15" t="s">
        <v>134</v>
      </c>
      <c r="G22" s="15" t="s">
        <v>104</v>
      </c>
      <c r="H22" s="15" t="s">
        <v>135</v>
      </c>
    </row>
    <row r="23">
      <c r="A23" s="60" t="s">
        <v>136</v>
      </c>
      <c r="B23" s="60" t="s">
        <v>137</v>
      </c>
      <c r="C23" s="4" t="s">
        <v>83</v>
      </c>
      <c r="D23" s="4" t="s">
        <v>44</v>
      </c>
      <c r="E23" s="61">
        <v>1019.82</v>
      </c>
      <c r="G23" s="62">
        <f t="shared" ref="G23:G502" si="5">IF(E23="","",E23-F23)</f>
        <v>1019.82</v>
      </c>
    </row>
    <row r="24">
      <c r="A24" s="60" t="s">
        <v>138</v>
      </c>
      <c r="B24" s="60" t="s">
        <v>139</v>
      </c>
      <c r="C24" s="4" t="s">
        <v>83</v>
      </c>
      <c r="D24" s="4" t="s">
        <v>44</v>
      </c>
      <c r="E24" s="61">
        <v>1939.7</v>
      </c>
      <c r="G24" s="62">
        <f t="shared" si="5"/>
        <v>1939.7</v>
      </c>
    </row>
    <row r="25">
      <c r="A25" s="60" t="s">
        <v>140</v>
      </c>
      <c r="B25" s="60" t="s">
        <v>141</v>
      </c>
      <c r="C25" s="4" t="s">
        <v>83</v>
      </c>
      <c r="D25" s="4" t="s">
        <v>44</v>
      </c>
      <c r="E25" s="63">
        <v>192.96</v>
      </c>
      <c r="G25" s="5">
        <f t="shared" si="5"/>
        <v>192.96</v>
      </c>
    </row>
    <row r="26">
      <c r="A26" s="60" t="s">
        <v>142</v>
      </c>
      <c r="B26" s="60" t="s">
        <v>143</v>
      </c>
      <c r="C26" s="4" t="s">
        <v>83</v>
      </c>
      <c r="D26" s="4" t="s">
        <v>44</v>
      </c>
      <c r="E26" s="61">
        <v>1460.78</v>
      </c>
      <c r="G26" s="62">
        <f t="shared" si="5"/>
        <v>1460.78</v>
      </c>
    </row>
    <row r="27">
      <c r="A27" s="60" t="s">
        <v>144</v>
      </c>
      <c r="B27" s="60" t="s">
        <v>145</v>
      </c>
      <c r="C27" s="4" t="s">
        <v>83</v>
      </c>
      <c r="D27" s="4" t="s">
        <v>44</v>
      </c>
      <c r="E27" s="63">
        <v>284.96</v>
      </c>
      <c r="G27" s="5">
        <f t="shared" si="5"/>
        <v>284.96</v>
      </c>
    </row>
    <row r="28">
      <c r="A28" s="60" t="s">
        <v>146</v>
      </c>
      <c r="B28" s="60" t="s">
        <v>147</v>
      </c>
      <c r="C28" s="4" t="s">
        <v>83</v>
      </c>
      <c r="D28" s="4" t="s">
        <v>44</v>
      </c>
      <c r="E28" s="63">
        <v>917.88</v>
      </c>
      <c r="G28" s="5">
        <f t="shared" si="5"/>
        <v>917.88</v>
      </c>
    </row>
    <row r="29">
      <c r="A29" s="60" t="s">
        <v>148</v>
      </c>
      <c r="B29" s="60" t="s">
        <v>149</v>
      </c>
      <c r="C29" s="4" t="s">
        <v>83</v>
      </c>
      <c r="D29" s="4" t="s">
        <v>44</v>
      </c>
      <c r="E29" s="61">
        <v>1201.86</v>
      </c>
      <c r="G29" s="62">
        <f t="shared" si="5"/>
        <v>1201.86</v>
      </c>
    </row>
    <row r="30">
      <c r="A30" s="60" t="s">
        <v>150</v>
      </c>
      <c r="B30" s="60" t="s">
        <v>151</v>
      </c>
      <c r="C30" s="4" t="s">
        <v>83</v>
      </c>
      <c r="D30" s="4" t="s">
        <v>44</v>
      </c>
      <c r="E30" s="61">
        <v>1257.81</v>
      </c>
      <c r="G30" s="62">
        <f t="shared" si="5"/>
        <v>1257.81</v>
      </c>
    </row>
    <row r="31">
      <c r="A31" s="60" t="s">
        <v>152</v>
      </c>
      <c r="B31" s="60" t="s">
        <v>153</v>
      </c>
      <c r="C31" s="4" t="s">
        <v>83</v>
      </c>
      <c r="D31" s="4" t="s">
        <v>44</v>
      </c>
      <c r="E31" s="61">
        <v>2567.63</v>
      </c>
      <c r="G31" s="62">
        <f t="shared" si="5"/>
        <v>2567.63</v>
      </c>
    </row>
    <row r="32">
      <c r="A32" s="60" t="s">
        <v>154</v>
      </c>
      <c r="B32" s="60" t="s">
        <v>155</v>
      </c>
      <c r="C32" s="4" t="s">
        <v>83</v>
      </c>
      <c r="D32" s="4" t="s">
        <v>44</v>
      </c>
      <c r="E32" s="61">
        <v>1584.79</v>
      </c>
      <c r="G32" s="62">
        <f t="shared" si="5"/>
        <v>1584.79</v>
      </c>
    </row>
    <row r="33">
      <c r="A33" s="60" t="s">
        <v>156</v>
      </c>
      <c r="B33" s="60" t="s">
        <v>157</v>
      </c>
      <c r="C33" s="4" t="s">
        <v>83</v>
      </c>
      <c r="D33" s="4" t="s">
        <v>44</v>
      </c>
      <c r="E33" s="63">
        <v>600.0</v>
      </c>
      <c r="G33" s="5">
        <f t="shared" si="5"/>
        <v>600</v>
      </c>
    </row>
    <row r="34">
      <c r="A34" s="60" t="s">
        <v>158</v>
      </c>
      <c r="B34" s="60" t="s">
        <v>159</v>
      </c>
      <c r="C34" s="4" t="s">
        <v>83</v>
      </c>
      <c r="D34" s="4" t="s">
        <v>44</v>
      </c>
      <c r="E34" s="61">
        <v>2569.55</v>
      </c>
      <c r="G34" s="62">
        <f t="shared" si="5"/>
        <v>2569.55</v>
      </c>
    </row>
    <row r="35">
      <c r="A35" s="60" t="s">
        <v>160</v>
      </c>
      <c r="B35" s="60" t="s">
        <v>161</v>
      </c>
      <c r="C35" s="4" t="s">
        <v>83</v>
      </c>
      <c r="D35" s="4" t="s">
        <v>44</v>
      </c>
      <c r="E35" s="61">
        <v>1555.0</v>
      </c>
      <c r="G35" s="62">
        <f t="shared" si="5"/>
        <v>1555</v>
      </c>
    </row>
    <row r="36">
      <c r="A36" s="60" t="s">
        <v>162</v>
      </c>
      <c r="B36" s="60" t="s">
        <v>163</v>
      </c>
      <c r="C36" s="4" t="s">
        <v>83</v>
      </c>
      <c r="D36" s="4" t="s">
        <v>44</v>
      </c>
      <c r="E36" s="63">
        <v>561.91</v>
      </c>
      <c r="G36" s="5">
        <f t="shared" si="5"/>
        <v>561.91</v>
      </c>
    </row>
    <row r="37">
      <c r="A37" s="60" t="s">
        <v>164</v>
      </c>
      <c r="B37" s="60" t="s">
        <v>165</v>
      </c>
      <c r="C37" s="4" t="s">
        <v>83</v>
      </c>
      <c r="D37" s="4" t="s">
        <v>44</v>
      </c>
      <c r="E37" s="63">
        <v>611.91</v>
      </c>
      <c r="G37" s="5">
        <f t="shared" si="5"/>
        <v>611.91</v>
      </c>
    </row>
    <row r="38">
      <c r="A38" s="60" t="s">
        <v>166</v>
      </c>
      <c r="B38" s="60" t="s">
        <v>167</v>
      </c>
      <c r="C38" s="4" t="s">
        <v>83</v>
      </c>
      <c r="D38" s="4" t="s">
        <v>44</v>
      </c>
      <c r="E38" s="63">
        <v>570.93</v>
      </c>
      <c r="G38" s="5">
        <f t="shared" si="5"/>
        <v>570.93</v>
      </c>
    </row>
    <row r="39">
      <c r="A39" s="60" t="s">
        <v>168</v>
      </c>
      <c r="B39" s="60" t="s">
        <v>169</v>
      </c>
      <c r="C39" s="4" t="s">
        <v>83</v>
      </c>
      <c r="D39" s="4" t="s">
        <v>44</v>
      </c>
      <c r="E39" s="61">
        <v>1053.87</v>
      </c>
      <c r="G39" s="62">
        <f t="shared" si="5"/>
        <v>1053.87</v>
      </c>
    </row>
    <row r="40">
      <c r="A40" s="60" t="s">
        <v>170</v>
      </c>
      <c r="B40" s="60" t="s">
        <v>171</v>
      </c>
      <c r="C40" s="4" t="s">
        <v>81</v>
      </c>
      <c r="D40" s="4" t="s">
        <v>43</v>
      </c>
      <c r="E40" s="63">
        <v>135.97</v>
      </c>
      <c r="G40" s="5">
        <f t="shared" si="5"/>
        <v>135.97</v>
      </c>
    </row>
    <row r="41">
      <c r="A41" s="60" t="s">
        <v>172</v>
      </c>
      <c r="B41" s="60" t="s">
        <v>173</v>
      </c>
      <c r="C41" s="4" t="s">
        <v>81</v>
      </c>
      <c r="D41" s="4" t="s">
        <v>43</v>
      </c>
      <c r="E41" s="63">
        <v>188.47</v>
      </c>
      <c r="G41" s="5">
        <f t="shared" si="5"/>
        <v>188.47</v>
      </c>
    </row>
    <row r="42">
      <c r="A42" s="60" t="s">
        <v>174</v>
      </c>
      <c r="B42" s="60" t="s">
        <v>175</v>
      </c>
      <c r="C42" s="4" t="s">
        <v>81</v>
      </c>
      <c r="D42" s="4" t="s">
        <v>43</v>
      </c>
      <c r="E42" s="61">
        <v>1000.81</v>
      </c>
      <c r="G42" s="62">
        <f t="shared" si="5"/>
        <v>1000.81</v>
      </c>
    </row>
    <row r="43">
      <c r="A43" s="60" t="s">
        <v>176</v>
      </c>
      <c r="B43" s="60" t="s">
        <v>177</v>
      </c>
      <c r="C43" s="4" t="s">
        <v>81</v>
      </c>
      <c r="D43" s="4" t="s">
        <v>43</v>
      </c>
      <c r="E43" s="63">
        <v>300.01</v>
      </c>
      <c r="G43" s="5">
        <f t="shared" si="5"/>
        <v>300.01</v>
      </c>
    </row>
    <row r="44">
      <c r="A44" s="60" t="s">
        <v>178</v>
      </c>
      <c r="B44" s="60" t="s">
        <v>179</v>
      </c>
      <c r="C44" s="4" t="s">
        <v>81</v>
      </c>
      <c r="D44" s="4" t="s">
        <v>43</v>
      </c>
      <c r="E44" s="63">
        <v>759.88</v>
      </c>
      <c r="G44" s="5">
        <f t="shared" si="5"/>
        <v>759.88</v>
      </c>
    </row>
    <row r="45">
      <c r="A45" s="60" t="s">
        <v>180</v>
      </c>
      <c r="B45" s="60" t="s">
        <v>181</v>
      </c>
      <c r="C45" s="4" t="s">
        <v>81</v>
      </c>
      <c r="D45" s="4" t="s">
        <v>43</v>
      </c>
      <c r="E45" s="61">
        <v>1241.84</v>
      </c>
      <c r="G45" s="62">
        <f t="shared" si="5"/>
        <v>1241.84</v>
      </c>
    </row>
    <row r="46">
      <c r="A46" s="60" t="s">
        <v>182</v>
      </c>
      <c r="B46" s="60" t="s">
        <v>183</v>
      </c>
      <c r="C46" s="4" t="s">
        <v>81</v>
      </c>
      <c r="D46" s="4" t="s">
        <v>43</v>
      </c>
      <c r="E46" s="61">
        <v>2263.69</v>
      </c>
      <c r="G46" s="62">
        <f t="shared" si="5"/>
        <v>2263.69</v>
      </c>
    </row>
    <row r="47">
      <c r="A47" s="60" t="s">
        <v>184</v>
      </c>
      <c r="B47" s="60" t="s">
        <v>185</v>
      </c>
      <c r="C47" s="4" t="s">
        <v>81</v>
      </c>
      <c r="D47" s="4" t="s">
        <v>43</v>
      </c>
      <c r="E47" s="61">
        <v>1416.81</v>
      </c>
      <c r="G47" s="62">
        <f t="shared" si="5"/>
        <v>1416.81</v>
      </c>
    </row>
    <row r="48">
      <c r="A48" s="60" t="s">
        <v>186</v>
      </c>
      <c r="B48" s="60" t="s">
        <v>187</v>
      </c>
      <c r="C48" s="4" t="s">
        <v>81</v>
      </c>
      <c r="D48" s="4" t="s">
        <v>43</v>
      </c>
      <c r="E48" s="63">
        <v>477.92</v>
      </c>
      <c r="G48" s="5">
        <f t="shared" si="5"/>
        <v>477.92</v>
      </c>
    </row>
    <row r="49">
      <c r="A49" s="60" t="s">
        <v>188</v>
      </c>
      <c r="B49" s="60" t="s">
        <v>189</v>
      </c>
      <c r="C49" s="4" t="s">
        <v>81</v>
      </c>
      <c r="D49" s="4" t="s">
        <v>43</v>
      </c>
      <c r="E49" s="63">
        <v>461.23</v>
      </c>
      <c r="G49" s="5">
        <f t="shared" si="5"/>
        <v>461.23</v>
      </c>
    </row>
    <row r="50">
      <c r="A50" s="60" t="s">
        <v>190</v>
      </c>
      <c r="B50" s="60" t="s">
        <v>191</v>
      </c>
      <c r="C50" s="4" t="s">
        <v>81</v>
      </c>
      <c r="D50" s="4" t="s">
        <v>43</v>
      </c>
      <c r="E50" s="61">
        <v>1411.8</v>
      </c>
      <c r="G50" s="62">
        <f t="shared" si="5"/>
        <v>1411.8</v>
      </c>
    </row>
    <row r="51">
      <c r="A51" s="60" t="s">
        <v>192</v>
      </c>
      <c r="B51" s="60" t="s">
        <v>193</v>
      </c>
      <c r="C51" s="4" t="s">
        <v>81</v>
      </c>
      <c r="D51" s="4" t="s">
        <v>43</v>
      </c>
      <c r="E51" s="61">
        <v>1578.73</v>
      </c>
      <c r="G51" s="62">
        <f t="shared" si="5"/>
        <v>1578.73</v>
      </c>
    </row>
    <row r="52">
      <c r="A52" s="60" t="s">
        <v>194</v>
      </c>
      <c r="B52" s="60" t="s">
        <v>195</v>
      </c>
      <c r="C52" s="4" t="s">
        <v>81</v>
      </c>
      <c r="D52" s="4" t="s">
        <v>43</v>
      </c>
      <c r="E52" s="61">
        <v>1123.68</v>
      </c>
      <c r="G52" s="62">
        <f t="shared" si="5"/>
        <v>1123.68</v>
      </c>
    </row>
    <row r="53">
      <c r="A53" s="60" t="s">
        <v>196</v>
      </c>
      <c r="B53" s="60" t="s">
        <v>197</v>
      </c>
      <c r="C53" s="4" t="s">
        <v>81</v>
      </c>
      <c r="D53" s="4" t="s">
        <v>43</v>
      </c>
      <c r="E53" s="61">
        <v>2059.76</v>
      </c>
      <c r="G53" s="62">
        <f t="shared" si="5"/>
        <v>2059.76</v>
      </c>
    </row>
    <row r="54">
      <c r="A54" s="60" t="s">
        <v>198</v>
      </c>
      <c r="B54" s="60" t="s">
        <v>199</v>
      </c>
      <c r="C54" s="4" t="s">
        <v>81</v>
      </c>
      <c r="D54" s="4" t="s">
        <v>43</v>
      </c>
      <c r="E54" s="61">
        <v>1263.56</v>
      </c>
      <c r="G54" s="62">
        <f t="shared" si="5"/>
        <v>1263.56</v>
      </c>
    </row>
    <row r="55">
      <c r="A55" s="60" t="s">
        <v>200</v>
      </c>
      <c r="B55" s="60" t="s">
        <v>201</v>
      </c>
      <c r="C55" s="4" t="s">
        <v>81</v>
      </c>
      <c r="D55" s="4" t="s">
        <v>43</v>
      </c>
      <c r="E55" s="61">
        <v>1021.87</v>
      </c>
      <c r="G55" s="62">
        <f t="shared" si="5"/>
        <v>1021.87</v>
      </c>
    </row>
    <row r="56">
      <c r="A56" s="60" t="s">
        <v>202</v>
      </c>
      <c r="B56" s="60" t="s">
        <v>203</v>
      </c>
      <c r="C56" s="4" t="s">
        <v>81</v>
      </c>
      <c r="D56" s="4" t="s">
        <v>43</v>
      </c>
      <c r="E56" s="63">
        <v>384.95</v>
      </c>
      <c r="G56" s="5">
        <f t="shared" si="5"/>
        <v>384.95</v>
      </c>
    </row>
    <row r="57">
      <c r="A57" s="60" t="s">
        <v>204</v>
      </c>
      <c r="B57" s="60" t="s">
        <v>205</v>
      </c>
      <c r="C57" s="4" t="s">
        <v>81</v>
      </c>
      <c r="D57" s="4" t="s">
        <v>43</v>
      </c>
      <c r="E57" s="61">
        <v>1680.78</v>
      </c>
      <c r="G57" s="62">
        <f t="shared" si="5"/>
        <v>1680.78</v>
      </c>
    </row>
    <row r="58">
      <c r="A58" s="60" t="s">
        <v>206</v>
      </c>
      <c r="B58" s="60" t="s">
        <v>207</v>
      </c>
      <c r="C58" s="4" t="s">
        <v>81</v>
      </c>
      <c r="D58" s="4" t="s">
        <v>43</v>
      </c>
      <c r="E58" s="61">
        <v>3533.39</v>
      </c>
      <c r="G58" s="62">
        <f t="shared" si="5"/>
        <v>3533.39</v>
      </c>
    </row>
    <row r="59">
      <c r="A59" s="60" t="s">
        <v>208</v>
      </c>
      <c r="B59" s="60" t="s">
        <v>209</v>
      </c>
      <c r="C59" s="4" t="s">
        <v>81</v>
      </c>
      <c r="D59" s="4" t="s">
        <v>43</v>
      </c>
      <c r="E59" s="61">
        <v>3080.58</v>
      </c>
      <c r="G59" s="62">
        <f t="shared" si="5"/>
        <v>3080.58</v>
      </c>
    </row>
    <row r="60">
      <c r="A60" s="60" t="s">
        <v>210</v>
      </c>
      <c r="B60" s="60" t="s">
        <v>211</v>
      </c>
      <c r="C60" s="4" t="s">
        <v>81</v>
      </c>
      <c r="D60" s="4" t="s">
        <v>43</v>
      </c>
      <c r="E60" s="63">
        <v>39.99</v>
      </c>
      <c r="G60" s="5">
        <f t="shared" si="5"/>
        <v>39.99</v>
      </c>
    </row>
    <row r="61">
      <c r="A61" s="60" t="s">
        <v>212</v>
      </c>
      <c r="B61" s="60" t="s">
        <v>213</v>
      </c>
      <c r="C61" s="4" t="s">
        <v>81</v>
      </c>
      <c r="D61" s="4" t="s">
        <v>43</v>
      </c>
      <c r="E61" s="61">
        <v>2527.7</v>
      </c>
      <c r="G61" s="62">
        <f t="shared" si="5"/>
        <v>2527.7</v>
      </c>
    </row>
    <row r="62">
      <c r="A62" s="60" t="s">
        <v>214</v>
      </c>
      <c r="B62" s="60" t="s">
        <v>215</v>
      </c>
      <c r="C62" s="4" t="s">
        <v>81</v>
      </c>
      <c r="D62" s="4" t="s">
        <v>43</v>
      </c>
      <c r="E62" s="63">
        <v>234.97</v>
      </c>
      <c r="G62" s="5">
        <f t="shared" si="5"/>
        <v>234.97</v>
      </c>
    </row>
    <row r="63">
      <c r="A63" s="60" t="s">
        <v>216</v>
      </c>
      <c r="B63" s="60" t="s">
        <v>217</v>
      </c>
      <c r="C63" s="4" t="s">
        <v>81</v>
      </c>
      <c r="D63" s="4" t="s">
        <v>43</v>
      </c>
      <c r="E63" s="63">
        <v>526.92</v>
      </c>
      <c r="G63" s="5">
        <f t="shared" si="5"/>
        <v>526.92</v>
      </c>
    </row>
    <row r="64">
      <c r="A64" s="60" t="s">
        <v>218</v>
      </c>
      <c r="B64" s="60" t="s">
        <v>219</v>
      </c>
      <c r="C64" s="4" t="s">
        <v>81</v>
      </c>
      <c r="D64" s="4" t="s">
        <v>43</v>
      </c>
      <c r="E64" s="61">
        <v>4792.8</v>
      </c>
      <c r="G64" s="62">
        <f t="shared" si="5"/>
        <v>4792.8</v>
      </c>
    </row>
    <row r="65">
      <c r="A65" s="60" t="s">
        <v>220</v>
      </c>
      <c r="B65" s="60" t="s">
        <v>221</v>
      </c>
      <c r="C65" s="4" t="s">
        <v>81</v>
      </c>
      <c r="D65" s="4" t="s">
        <v>43</v>
      </c>
      <c r="E65" s="63">
        <v>293.94</v>
      </c>
      <c r="G65" s="5">
        <f t="shared" si="5"/>
        <v>293.94</v>
      </c>
    </row>
    <row r="66">
      <c r="A66" s="60" t="s">
        <v>222</v>
      </c>
      <c r="B66" s="60" t="s">
        <v>223</v>
      </c>
      <c r="C66" s="4" t="s">
        <v>81</v>
      </c>
      <c r="D66" s="4" t="s">
        <v>43</v>
      </c>
      <c r="E66" s="63">
        <v>74.99</v>
      </c>
      <c r="G66" s="5">
        <f t="shared" si="5"/>
        <v>74.99</v>
      </c>
    </row>
    <row r="67">
      <c r="A67" s="60" t="s">
        <v>224</v>
      </c>
      <c r="B67" s="60" t="s">
        <v>225</v>
      </c>
      <c r="C67" s="4" t="s">
        <v>81</v>
      </c>
      <c r="D67" s="4" t="s">
        <v>43</v>
      </c>
      <c r="E67" s="61">
        <v>1066.84</v>
      </c>
      <c r="G67" s="62">
        <f t="shared" si="5"/>
        <v>1066.84</v>
      </c>
    </row>
    <row r="68">
      <c r="A68" s="60" t="s">
        <v>226</v>
      </c>
      <c r="B68" s="60" t="s">
        <v>227</v>
      </c>
      <c r="C68" s="4" t="s">
        <v>81</v>
      </c>
      <c r="D68" s="4" t="s">
        <v>43</v>
      </c>
      <c r="E68" s="63">
        <v>3.8</v>
      </c>
      <c r="G68" s="5">
        <f t="shared" si="5"/>
        <v>3.8</v>
      </c>
    </row>
    <row r="69">
      <c r="A69" s="60" t="s">
        <v>228</v>
      </c>
      <c r="B69" s="60" t="s">
        <v>229</v>
      </c>
      <c r="C69" s="4" t="s">
        <v>81</v>
      </c>
      <c r="D69" s="4" t="s">
        <v>43</v>
      </c>
      <c r="E69" s="61">
        <v>1206.74</v>
      </c>
      <c r="G69" s="62">
        <f t="shared" si="5"/>
        <v>1206.74</v>
      </c>
    </row>
    <row r="70">
      <c r="A70" s="60" t="s">
        <v>230</v>
      </c>
      <c r="B70" s="60" t="s">
        <v>231</v>
      </c>
      <c r="C70" s="4" t="s">
        <v>81</v>
      </c>
      <c r="D70" s="4" t="s">
        <v>43</v>
      </c>
      <c r="E70" s="61">
        <v>1016.17</v>
      </c>
      <c r="G70" s="62">
        <f t="shared" si="5"/>
        <v>1016.17</v>
      </c>
    </row>
    <row r="71">
      <c r="A71" s="60" t="s">
        <v>232</v>
      </c>
      <c r="B71" s="60" t="s">
        <v>233</v>
      </c>
      <c r="C71" s="4" t="s">
        <v>81</v>
      </c>
      <c r="D71" s="4" t="s">
        <v>43</v>
      </c>
      <c r="E71" s="61">
        <v>1250.82</v>
      </c>
      <c r="G71" s="62">
        <f t="shared" si="5"/>
        <v>1250.82</v>
      </c>
    </row>
    <row r="72">
      <c r="A72" s="60" t="s">
        <v>234</v>
      </c>
      <c r="B72" s="60" t="s">
        <v>235</v>
      </c>
      <c r="C72" s="4" t="s">
        <v>81</v>
      </c>
      <c r="D72" s="4" t="s">
        <v>43</v>
      </c>
      <c r="E72" s="61">
        <v>1238.47</v>
      </c>
      <c r="G72" s="62">
        <f t="shared" si="5"/>
        <v>1238.47</v>
      </c>
    </row>
    <row r="73">
      <c r="A73" s="60" t="s">
        <v>236</v>
      </c>
      <c r="B73" s="60" t="s">
        <v>237</v>
      </c>
      <c r="C73" s="4" t="s">
        <v>81</v>
      </c>
      <c r="D73" s="4" t="s">
        <v>43</v>
      </c>
      <c r="E73" s="63">
        <v>292.95</v>
      </c>
      <c r="G73" s="5">
        <f t="shared" si="5"/>
        <v>292.95</v>
      </c>
    </row>
    <row r="74">
      <c r="A74" s="60" t="s">
        <v>238</v>
      </c>
      <c r="B74" s="60" t="s">
        <v>239</v>
      </c>
      <c r="C74" s="4" t="s">
        <v>81</v>
      </c>
      <c r="D74" s="4" t="s">
        <v>43</v>
      </c>
      <c r="E74" s="61">
        <v>1315.86</v>
      </c>
      <c r="G74" s="62">
        <f t="shared" si="5"/>
        <v>1315.86</v>
      </c>
    </row>
    <row r="75">
      <c r="A75" s="60" t="s">
        <v>240</v>
      </c>
      <c r="B75" s="60" t="s">
        <v>241</v>
      </c>
      <c r="C75" s="4" t="s">
        <v>81</v>
      </c>
      <c r="D75" s="4" t="s">
        <v>43</v>
      </c>
      <c r="E75" s="61">
        <v>12128.17</v>
      </c>
      <c r="G75" s="62">
        <f t="shared" si="5"/>
        <v>12128.17</v>
      </c>
    </row>
    <row r="76">
      <c r="A76" s="60" t="s">
        <v>242</v>
      </c>
      <c r="B76" s="60" t="s">
        <v>243</v>
      </c>
      <c r="C76" s="4" t="s">
        <v>81</v>
      </c>
      <c r="D76" s="4" t="s">
        <v>43</v>
      </c>
      <c r="E76" s="61">
        <v>9916.74</v>
      </c>
      <c r="G76" s="62">
        <f t="shared" si="5"/>
        <v>9916.74</v>
      </c>
    </row>
    <row r="77">
      <c r="A77" s="60" t="s">
        <v>244</v>
      </c>
      <c r="B77" s="60" t="s">
        <v>245</v>
      </c>
      <c r="C77" s="4" t="s">
        <v>81</v>
      </c>
      <c r="D77" s="4" t="s">
        <v>43</v>
      </c>
      <c r="E77" s="61">
        <v>1571.29</v>
      </c>
      <c r="G77" s="62">
        <f t="shared" si="5"/>
        <v>1571.29</v>
      </c>
    </row>
    <row r="78">
      <c r="A78" s="60" t="s">
        <v>246</v>
      </c>
      <c r="B78" s="60" t="s">
        <v>247</v>
      </c>
      <c r="C78" s="4" t="s">
        <v>81</v>
      </c>
      <c r="D78" s="4" t="s">
        <v>43</v>
      </c>
      <c r="E78" s="63">
        <v>509.92</v>
      </c>
      <c r="G78" s="5">
        <f t="shared" si="5"/>
        <v>509.92</v>
      </c>
    </row>
    <row r="79">
      <c r="A79" s="60" t="s">
        <v>248</v>
      </c>
      <c r="B79" s="60" t="s">
        <v>249</v>
      </c>
      <c r="C79" s="4" t="s">
        <v>81</v>
      </c>
      <c r="D79" s="4" t="s">
        <v>43</v>
      </c>
      <c r="E79" s="63">
        <v>1.87</v>
      </c>
      <c r="G79" s="5">
        <f t="shared" si="5"/>
        <v>1.87</v>
      </c>
    </row>
    <row r="80">
      <c r="A80" s="60" t="s">
        <v>250</v>
      </c>
      <c r="B80" s="60" t="s">
        <v>251</v>
      </c>
      <c r="C80" s="4" t="s">
        <v>81</v>
      </c>
      <c r="D80" s="4" t="s">
        <v>43</v>
      </c>
      <c r="E80" s="61">
        <v>2181.68</v>
      </c>
      <c r="G80" s="62">
        <f t="shared" si="5"/>
        <v>2181.68</v>
      </c>
    </row>
    <row r="81">
      <c r="A81" s="60" t="s">
        <v>252</v>
      </c>
      <c r="B81" s="60" t="s">
        <v>253</v>
      </c>
      <c r="C81" s="4" t="s">
        <v>81</v>
      </c>
      <c r="D81" s="4" t="s">
        <v>43</v>
      </c>
      <c r="E81" s="63">
        <v>387.93</v>
      </c>
      <c r="G81" s="5">
        <f t="shared" si="5"/>
        <v>387.93</v>
      </c>
    </row>
    <row r="82">
      <c r="A82" s="60" t="s">
        <v>254</v>
      </c>
      <c r="B82" s="60" t="s">
        <v>255</v>
      </c>
      <c r="C82" s="4" t="s">
        <v>81</v>
      </c>
      <c r="D82" s="4" t="s">
        <v>43</v>
      </c>
      <c r="E82" s="61">
        <v>1013.36</v>
      </c>
      <c r="G82" s="62">
        <f t="shared" si="5"/>
        <v>1013.36</v>
      </c>
    </row>
    <row r="83">
      <c r="A83" s="60" t="s">
        <v>256</v>
      </c>
      <c r="B83" s="60" t="s">
        <v>257</v>
      </c>
      <c r="C83" s="4" t="s">
        <v>81</v>
      </c>
      <c r="D83" s="4" t="s">
        <v>43</v>
      </c>
      <c r="E83" s="61">
        <v>1258.24</v>
      </c>
      <c r="G83" s="62">
        <f t="shared" si="5"/>
        <v>1258.24</v>
      </c>
    </row>
    <row r="84">
      <c r="A84" s="60" t="s">
        <v>258</v>
      </c>
      <c r="B84" s="60" t="s">
        <v>259</v>
      </c>
      <c r="C84" s="4" t="s">
        <v>81</v>
      </c>
      <c r="D84" s="4" t="s">
        <v>43</v>
      </c>
      <c r="E84" s="61">
        <v>1379.83</v>
      </c>
      <c r="G84" s="62">
        <f t="shared" si="5"/>
        <v>1379.83</v>
      </c>
    </row>
    <row r="85">
      <c r="A85" s="60" t="s">
        <v>260</v>
      </c>
      <c r="B85" s="60" t="s">
        <v>261</v>
      </c>
      <c r="C85" s="4" t="s">
        <v>81</v>
      </c>
      <c r="D85" s="4" t="s">
        <v>43</v>
      </c>
      <c r="E85" s="63">
        <v>689.9</v>
      </c>
      <c r="G85" s="5">
        <f t="shared" si="5"/>
        <v>689.9</v>
      </c>
    </row>
    <row r="86">
      <c r="A86" s="60" t="s">
        <v>262</v>
      </c>
      <c r="B86" s="60" t="s">
        <v>263</v>
      </c>
      <c r="C86" s="4" t="s">
        <v>81</v>
      </c>
      <c r="D86" s="4" t="s">
        <v>43</v>
      </c>
      <c r="E86" s="61">
        <v>1141.93</v>
      </c>
      <c r="G86" s="62">
        <f t="shared" si="5"/>
        <v>1141.93</v>
      </c>
    </row>
    <row r="87">
      <c r="A87" s="60" t="s">
        <v>264</v>
      </c>
      <c r="B87" s="60" t="s">
        <v>265</v>
      </c>
      <c r="C87" s="4" t="s">
        <v>81</v>
      </c>
      <c r="D87" s="4" t="s">
        <v>43</v>
      </c>
      <c r="E87" s="61">
        <v>1331.8</v>
      </c>
      <c r="G87" s="62">
        <f t="shared" si="5"/>
        <v>1331.8</v>
      </c>
    </row>
    <row r="88">
      <c r="A88" s="60" t="s">
        <v>266</v>
      </c>
      <c r="B88" s="60" t="s">
        <v>267</v>
      </c>
      <c r="C88" s="4" t="s">
        <v>81</v>
      </c>
      <c r="D88" s="4" t="s">
        <v>43</v>
      </c>
      <c r="E88" s="63">
        <v>899.86</v>
      </c>
      <c r="G88" s="5">
        <f t="shared" si="5"/>
        <v>899.86</v>
      </c>
    </row>
    <row r="89">
      <c r="A89" s="60" t="s">
        <v>268</v>
      </c>
      <c r="B89" s="60" t="s">
        <v>269</v>
      </c>
      <c r="C89" s="4" t="s">
        <v>81</v>
      </c>
      <c r="D89" s="4" t="s">
        <v>43</v>
      </c>
      <c r="E89" s="63">
        <v>38.01</v>
      </c>
      <c r="G89" s="5">
        <f t="shared" si="5"/>
        <v>38.01</v>
      </c>
    </row>
    <row r="90">
      <c r="A90" s="60" t="s">
        <v>270</v>
      </c>
      <c r="B90" s="60" t="s">
        <v>271</v>
      </c>
      <c r="C90" s="4" t="s">
        <v>81</v>
      </c>
      <c r="D90" s="4" t="s">
        <v>43</v>
      </c>
      <c r="E90" s="63">
        <v>439.95</v>
      </c>
      <c r="G90" s="5">
        <f t="shared" si="5"/>
        <v>439.95</v>
      </c>
    </row>
    <row r="91">
      <c r="A91" s="60" t="s">
        <v>272</v>
      </c>
      <c r="B91" s="60" t="s">
        <v>273</v>
      </c>
      <c r="C91" s="4" t="s">
        <v>81</v>
      </c>
      <c r="D91" s="4" t="s">
        <v>43</v>
      </c>
      <c r="E91" s="61">
        <v>1669.29</v>
      </c>
      <c r="G91" s="62">
        <f t="shared" si="5"/>
        <v>1669.29</v>
      </c>
    </row>
    <row r="92">
      <c r="A92" s="60" t="s">
        <v>274</v>
      </c>
      <c r="B92" s="60" t="s">
        <v>275</v>
      </c>
      <c r="C92" s="4" t="s">
        <v>81</v>
      </c>
      <c r="D92" s="4" t="s">
        <v>43</v>
      </c>
      <c r="E92" s="63">
        <v>455.94</v>
      </c>
      <c r="G92" s="5">
        <f t="shared" si="5"/>
        <v>455.94</v>
      </c>
    </row>
    <row r="93">
      <c r="A93" s="60" t="s">
        <v>276</v>
      </c>
      <c r="B93" s="60" t="s">
        <v>277</v>
      </c>
      <c r="C93" s="4" t="s">
        <v>81</v>
      </c>
      <c r="D93" s="4" t="s">
        <v>43</v>
      </c>
      <c r="E93" s="61">
        <v>1060.84</v>
      </c>
      <c r="G93" s="62">
        <f t="shared" si="5"/>
        <v>1060.84</v>
      </c>
    </row>
    <row r="94">
      <c r="A94" s="60" t="s">
        <v>278</v>
      </c>
      <c r="B94" s="60" t="s">
        <v>279</v>
      </c>
      <c r="C94" s="4" t="s">
        <v>82</v>
      </c>
      <c r="D94" s="4" t="s">
        <v>45</v>
      </c>
      <c r="E94" s="61">
        <v>2529.65</v>
      </c>
      <c r="G94" s="62">
        <f t="shared" si="5"/>
        <v>2529.65</v>
      </c>
    </row>
    <row r="95">
      <c r="A95" s="60" t="s">
        <v>280</v>
      </c>
      <c r="B95" s="60" t="s">
        <v>281</v>
      </c>
      <c r="C95" s="4" t="s">
        <v>82</v>
      </c>
      <c r="D95" s="4" t="s">
        <v>45</v>
      </c>
      <c r="E95" s="61">
        <v>1699.99</v>
      </c>
      <c r="G95" s="62">
        <f t="shared" si="5"/>
        <v>1699.99</v>
      </c>
    </row>
    <row r="96">
      <c r="A96" s="60" t="s">
        <v>282</v>
      </c>
      <c r="B96" s="60" t="s">
        <v>283</v>
      </c>
      <c r="C96" s="4" t="s">
        <v>82</v>
      </c>
      <c r="D96" s="4" t="s">
        <v>45</v>
      </c>
      <c r="E96" s="61">
        <v>1216.83</v>
      </c>
      <c r="G96" s="62">
        <f t="shared" si="5"/>
        <v>1216.83</v>
      </c>
    </row>
    <row r="97">
      <c r="A97" s="60" t="s">
        <v>284</v>
      </c>
      <c r="B97" s="60" t="s">
        <v>285</v>
      </c>
      <c r="C97" s="4" t="s">
        <v>82</v>
      </c>
      <c r="D97" s="4" t="s">
        <v>45</v>
      </c>
      <c r="E97" s="61">
        <v>1013.22</v>
      </c>
      <c r="G97" s="62">
        <f t="shared" si="5"/>
        <v>1013.22</v>
      </c>
    </row>
    <row r="98">
      <c r="A98" s="60" t="s">
        <v>286</v>
      </c>
      <c r="B98" s="60" t="s">
        <v>287</v>
      </c>
      <c r="C98" s="4" t="s">
        <v>82</v>
      </c>
      <c r="D98" s="4" t="s">
        <v>45</v>
      </c>
      <c r="E98" s="61">
        <v>1315.8</v>
      </c>
      <c r="G98" s="62">
        <f t="shared" si="5"/>
        <v>1315.8</v>
      </c>
    </row>
    <row r="99">
      <c r="A99" s="60" t="s">
        <v>288</v>
      </c>
      <c r="B99" s="60" t="s">
        <v>289</v>
      </c>
      <c r="C99" s="4" t="s">
        <v>82</v>
      </c>
      <c r="D99" s="4" t="s">
        <v>45</v>
      </c>
      <c r="E99" s="61">
        <v>2125.73</v>
      </c>
      <c r="G99" s="62">
        <f t="shared" si="5"/>
        <v>2125.73</v>
      </c>
    </row>
    <row r="100">
      <c r="A100" s="60" t="s">
        <v>290</v>
      </c>
      <c r="B100" s="60" t="s">
        <v>291</v>
      </c>
      <c r="C100" s="4" t="s">
        <v>82</v>
      </c>
      <c r="D100" s="4" t="s">
        <v>45</v>
      </c>
      <c r="E100" s="61">
        <v>3063.63</v>
      </c>
      <c r="G100" s="62">
        <f t="shared" si="5"/>
        <v>3063.63</v>
      </c>
    </row>
    <row r="101">
      <c r="A101" s="60" t="s">
        <v>292</v>
      </c>
      <c r="B101" s="60" t="s">
        <v>293</v>
      </c>
      <c r="C101" s="4" t="s">
        <v>82</v>
      </c>
      <c r="D101" s="4" t="s">
        <v>45</v>
      </c>
      <c r="E101" s="63">
        <v>824.86</v>
      </c>
      <c r="G101" s="5">
        <f t="shared" si="5"/>
        <v>824.86</v>
      </c>
    </row>
    <row r="102">
      <c r="A102" s="60" t="s">
        <v>294</v>
      </c>
      <c r="B102" s="60" t="s">
        <v>295</v>
      </c>
      <c r="C102" s="4" t="s">
        <v>82</v>
      </c>
      <c r="D102" s="4" t="s">
        <v>45</v>
      </c>
      <c r="E102" s="61">
        <v>1187.84</v>
      </c>
      <c r="G102" s="62">
        <f t="shared" si="5"/>
        <v>1187.84</v>
      </c>
    </row>
    <row r="103">
      <c r="A103" s="60" t="s">
        <v>296</v>
      </c>
      <c r="B103" s="60" t="s">
        <v>297</v>
      </c>
      <c r="C103" s="4" t="s">
        <v>82</v>
      </c>
      <c r="D103" s="4" t="s">
        <v>45</v>
      </c>
      <c r="E103" s="61">
        <v>1257.87</v>
      </c>
      <c r="G103" s="62">
        <f t="shared" si="5"/>
        <v>1257.87</v>
      </c>
    </row>
    <row r="104">
      <c r="A104" s="60" t="s">
        <v>298</v>
      </c>
      <c r="B104" s="60" t="s">
        <v>299</v>
      </c>
      <c r="C104" s="4" t="s">
        <v>82</v>
      </c>
      <c r="D104" s="4" t="s">
        <v>45</v>
      </c>
      <c r="E104" s="63">
        <v>159.97</v>
      </c>
      <c r="G104" s="5">
        <f t="shared" si="5"/>
        <v>159.97</v>
      </c>
    </row>
    <row r="105">
      <c r="A105" s="60" t="s">
        <v>300</v>
      </c>
      <c r="B105" s="60" t="s">
        <v>301</v>
      </c>
      <c r="C105" s="4" t="s">
        <v>82</v>
      </c>
      <c r="D105" s="4" t="s">
        <v>45</v>
      </c>
      <c r="E105" s="63">
        <v>343.95</v>
      </c>
      <c r="G105" s="5">
        <f t="shared" si="5"/>
        <v>343.95</v>
      </c>
    </row>
    <row r="106">
      <c r="A106" s="60" t="s">
        <v>302</v>
      </c>
      <c r="B106" s="60" t="s">
        <v>303</v>
      </c>
      <c r="C106" s="4" t="s">
        <v>82</v>
      </c>
      <c r="D106" s="4" t="s">
        <v>45</v>
      </c>
      <c r="E106" s="61">
        <v>3418.42</v>
      </c>
      <c r="G106" s="62">
        <f t="shared" si="5"/>
        <v>3418.42</v>
      </c>
    </row>
    <row r="107">
      <c r="A107" s="60" t="s">
        <v>304</v>
      </c>
      <c r="B107" s="60" t="s">
        <v>305</v>
      </c>
      <c r="C107" s="4" t="s">
        <v>82</v>
      </c>
      <c r="D107" s="4" t="s">
        <v>45</v>
      </c>
      <c r="E107" s="61">
        <v>1507.79</v>
      </c>
      <c r="G107" s="62">
        <f t="shared" si="5"/>
        <v>1507.79</v>
      </c>
    </row>
    <row r="108">
      <c r="A108" s="60" t="s">
        <v>306</v>
      </c>
      <c r="B108" s="60" t="s">
        <v>307</v>
      </c>
      <c r="C108" s="4" t="s">
        <v>82</v>
      </c>
      <c r="D108" s="4" t="s">
        <v>45</v>
      </c>
      <c r="E108" s="61">
        <v>1068.32</v>
      </c>
      <c r="G108" s="62">
        <f t="shared" si="5"/>
        <v>1068.32</v>
      </c>
    </row>
    <row r="109">
      <c r="A109" s="60" t="s">
        <v>308</v>
      </c>
      <c r="B109" s="60" t="s">
        <v>309</v>
      </c>
      <c r="C109" s="4" t="s">
        <v>73</v>
      </c>
      <c r="D109" s="4" t="s">
        <v>52</v>
      </c>
      <c r="E109" s="61">
        <v>25737.86</v>
      </c>
      <c r="G109" s="62">
        <f t="shared" si="5"/>
        <v>25737.86</v>
      </c>
    </row>
    <row r="110">
      <c r="A110" s="60" t="s">
        <v>310</v>
      </c>
      <c r="B110" s="60" t="s">
        <v>311</v>
      </c>
      <c r="C110" s="4" t="s">
        <v>73</v>
      </c>
      <c r="D110" s="4" t="s">
        <v>52</v>
      </c>
      <c r="E110" s="61">
        <v>19329.37</v>
      </c>
      <c r="G110" s="62">
        <f t="shared" si="5"/>
        <v>19329.37</v>
      </c>
    </row>
    <row r="111">
      <c r="A111" s="60" t="s">
        <v>312</v>
      </c>
      <c r="B111" s="60" t="s">
        <v>313</v>
      </c>
      <c r="C111" s="4" t="s">
        <v>73</v>
      </c>
      <c r="D111" s="4" t="s">
        <v>52</v>
      </c>
      <c r="E111" s="61">
        <v>5815.5</v>
      </c>
      <c r="G111" s="62">
        <f t="shared" si="5"/>
        <v>5815.5</v>
      </c>
    </row>
    <row r="112">
      <c r="A112" s="60" t="s">
        <v>314</v>
      </c>
      <c r="B112" s="60" t="s">
        <v>315</v>
      </c>
      <c r="C112" s="4" t="s">
        <v>73</v>
      </c>
      <c r="D112" s="4" t="s">
        <v>52</v>
      </c>
      <c r="E112" s="61">
        <v>11259.67</v>
      </c>
      <c r="G112" s="62">
        <f t="shared" si="5"/>
        <v>11259.67</v>
      </c>
    </row>
    <row r="113">
      <c r="A113" s="60" t="s">
        <v>316</v>
      </c>
      <c r="B113" s="60" t="s">
        <v>317</v>
      </c>
      <c r="C113" s="4" t="s">
        <v>73</v>
      </c>
      <c r="D113" s="4" t="s">
        <v>52</v>
      </c>
      <c r="E113" s="61">
        <v>9344.63</v>
      </c>
      <c r="G113" s="62">
        <f t="shared" si="5"/>
        <v>9344.63</v>
      </c>
    </row>
    <row r="114">
      <c r="A114" s="60" t="s">
        <v>318</v>
      </c>
      <c r="B114" s="60" t="s">
        <v>319</v>
      </c>
      <c r="C114" s="4" t="s">
        <v>73</v>
      </c>
      <c r="D114" s="4" t="s">
        <v>52</v>
      </c>
      <c r="E114" s="61">
        <v>16534.77</v>
      </c>
      <c r="G114" s="62">
        <f t="shared" si="5"/>
        <v>16534.77</v>
      </c>
    </row>
    <row r="115">
      <c r="A115" s="60" t="s">
        <v>320</v>
      </c>
      <c r="B115" s="60" t="s">
        <v>321</v>
      </c>
      <c r="C115" s="4" t="s">
        <v>73</v>
      </c>
      <c r="D115" s="4" t="s">
        <v>52</v>
      </c>
      <c r="E115" s="61">
        <v>3223.25</v>
      </c>
      <c r="G115" s="62">
        <f t="shared" si="5"/>
        <v>3223.25</v>
      </c>
    </row>
    <row r="116">
      <c r="A116" s="60" t="s">
        <v>322</v>
      </c>
      <c r="B116" s="60" t="s">
        <v>323</v>
      </c>
      <c r="C116" s="4" t="s">
        <v>73</v>
      </c>
      <c r="D116" s="4" t="s">
        <v>52</v>
      </c>
      <c r="E116" s="61">
        <v>2004.12</v>
      </c>
      <c r="G116" s="62">
        <f t="shared" si="5"/>
        <v>2004.12</v>
      </c>
    </row>
    <row r="117">
      <c r="A117" s="60" t="s">
        <v>324</v>
      </c>
      <c r="B117" s="60" t="s">
        <v>325</v>
      </c>
      <c r="C117" s="4" t="s">
        <v>73</v>
      </c>
      <c r="D117" s="4" t="s">
        <v>52</v>
      </c>
      <c r="E117" s="61">
        <v>2208.62</v>
      </c>
      <c r="G117" s="62">
        <f t="shared" si="5"/>
        <v>2208.62</v>
      </c>
    </row>
    <row r="118">
      <c r="A118" s="60" t="s">
        <v>326</v>
      </c>
      <c r="B118" s="60" t="s">
        <v>327</v>
      </c>
      <c r="C118" s="4" t="s">
        <v>73</v>
      </c>
      <c r="D118" s="4" t="s">
        <v>52</v>
      </c>
      <c r="E118" s="61">
        <v>1019.99</v>
      </c>
      <c r="G118" s="62">
        <f t="shared" si="5"/>
        <v>1019.99</v>
      </c>
    </row>
    <row r="119">
      <c r="A119" s="60" t="s">
        <v>328</v>
      </c>
      <c r="B119" s="60" t="s">
        <v>329</v>
      </c>
      <c r="C119" s="4" t="s">
        <v>73</v>
      </c>
      <c r="D119" s="4" t="s">
        <v>52</v>
      </c>
      <c r="E119" s="61">
        <v>11153.9</v>
      </c>
      <c r="G119" s="62">
        <f t="shared" si="5"/>
        <v>11153.9</v>
      </c>
    </row>
    <row r="120">
      <c r="A120" s="60" t="s">
        <v>330</v>
      </c>
      <c r="B120" s="60" t="s">
        <v>331</v>
      </c>
      <c r="C120" s="4" t="s">
        <v>73</v>
      </c>
      <c r="D120" s="4" t="s">
        <v>52</v>
      </c>
      <c r="E120" s="61">
        <v>3399.98</v>
      </c>
      <c r="G120" s="62">
        <f t="shared" si="5"/>
        <v>3399.98</v>
      </c>
    </row>
    <row r="121">
      <c r="A121" s="60" t="s">
        <v>332</v>
      </c>
      <c r="B121" s="60" t="s">
        <v>333</v>
      </c>
      <c r="C121" s="4" t="s">
        <v>73</v>
      </c>
      <c r="D121" s="4" t="s">
        <v>52</v>
      </c>
      <c r="E121" s="63">
        <v>550.75</v>
      </c>
      <c r="G121" s="5">
        <f t="shared" si="5"/>
        <v>550.75</v>
      </c>
    </row>
    <row r="122">
      <c r="A122" s="60" t="s">
        <v>334</v>
      </c>
      <c r="B122" s="60" t="s">
        <v>335</v>
      </c>
      <c r="C122" s="4" t="s">
        <v>73</v>
      </c>
      <c r="D122" s="4" t="s">
        <v>52</v>
      </c>
      <c r="E122" s="63">
        <v>128279.0</v>
      </c>
      <c r="G122" s="5">
        <f t="shared" si="5"/>
        <v>128279</v>
      </c>
    </row>
    <row r="123">
      <c r="A123" s="60" t="s">
        <v>336</v>
      </c>
      <c r="B123" s="60" t="s">
        <v>337</v>
      </c>
      <c r="C123" s="4" t="s">
        <v>73</v>
      </c>
      <c r="D123" s="4" t="s">
        <v>52</v>
      </c>
      <c r="E123" s="61">
        <v>4800.12</v>
      </c>
      <c r="G123" s="62">
        <f t="shared" si="5"/>
        <v>4800.12</v>
      </c>
    </row>
    <row r="124">
      <c r="A124" s="60" t="s">
        <v>338</v>
      </c>
      <c r="B124" s="60" t="s">
        <v>339</v>
      </c>
      <c r="C124" s="4" t="s">
        <v>73</v>
      </c>
      <c r="D124" s="4" t="s">
        <v>52</v>
      </c>
      <c r="E124" s="61">
        <v>2399.9</v>
      </c>
      <c r="G124" s="62">
        <f t="shared" si="5"/>
        <v>2399.9</v>
      </c>
    </row>
    <row r="125">
      <c r="A125" s="60" t="s">
        <v>340</v>
      </c>
      <c r="B125" s="60" t="s">
        <v>341</v>
      </c>
      <c r="C125" s="4" t="s">
        <v>73</v>
      </c>
      <c r="D125" s="4" t="s">
        <v>52</v>
      </c>
      <c r="E125" s="63">
        <v>720.12</v>
      </c>
      <c r="G125" s="5">
        <f t="shared" si="5"/>
        <v>720.12</v>
      </c>
    </row>
    <row r="126">
      <c r="A126" s="60" t="s">
        <v>342</v>
      </c>
      <c r="B126" s="60" t="s">
        <v>343</v>
      </c>
      <c r="C126" s="4" t="s">
        <v>73</v>
      </c>
      <c r="D126" s="4" t="s">
        <v>52</v>
      </c>
      <c r="E126" s="61">
        <v>6325.0</v>
      </c>
      <c r="G126" s="62">
        <f t="shared" si="5"/>
        <v>6325</v>
      </c>
    </row>
    <row r="127">
      <c r="A127" s="60" t="s">
        <v>344</v>
      </c>
      <c r="B127" s="60" t="s">
        <v>345</v>
      </c>
      <c r="C127" s="4" t="s">
        <v>73</v>
      </c>
      <c r="D127" s="4" t="s">
        <v>52</v>
      </c>
      <c r="E127" s="61">
        <v>12397.5</v>
      </c>
      <c r="G127" s="62">
        <f t="shared" si="5"/>
        <v>12397.5</v>
      </c>
    </row>
    <row r="128">
      <c r="A128" s="60" t="s">
        <v>346</v>
      </c>
      <c r="B128" s="60" t="s">
        <v>347</v>
      </c>
      <c r="C128" s="4" t="s">
        <v>73</v>
      </c>
      <c r="D128" s="4" t="s">
        <v>52</v>
      </c>
      <c r="E128" s="61">
        <v>2650.52</v>
      </c>
      <c r="G128" s="62">
        <f t="shared" si="5"/>
        <v>2650.52</v>
      </c>
    </row>
    <row r="129">
      <c r="A129" s="60" t="s">
        <v>348</v>
      </c>
      <c r="B129" s="60" t="s">
        <v>349</v>
      </c>
      <c r="C129" s="4" t="s">
        <v>73</v>
      </c>
      <c r="D129" s="4" t="s">
        <v>52</v>
      </c>
      <c r="E129" s="61">
        <v>1600.04</v>
      </c>
      <c r="G129" s="62">
        <f t="shared" si="5"/>
        <v>1600.04</v>
      </c>
    </row>
    <row r="130">
      <c r="A130" s="60" t="s">
        <v>350</v>
      </c>
      <c r="B130" s="60" t="s">
        <v>351</v>
      </c>
      <c r="C130" s="4" t="s">
        <v>75</v>
      </c>
      <c r="D130" s="4" t="s">
        <v>48</v>
      </c>
      <c r="E130" s="63">
        <v>100.0</v>
      </c>
      <c r="G130" s="5">
        <f t="shared" si="5"/>
        <v>100</v>
      </c>
    </row>
    <row r="131">
      <c r="A131" s="60" t="s">
        <v>352</v>
      </c>
      <c r="B131" s="60" t="s">
        <v>353</v>
      </c>
      <c r="C131" s="4" t="s">
        <v>75</v>
      </c>
      <c r="D131" s="4" t="s">
        <v>48</v>
      </c>
      <c r="E131" s="63">
        <v>108.98</v>
      </c>
      <c r="G131" s="5">
        <f t="shared" si="5"/>
        <v>108.98</v>
      </c>
    </row>
    <row r="132">
      <c r="A132" s="60" t="s">
        <v>354</v>
      </c>
      <c r="B132" s="60" t="s">
        <v>355</v>
      </c>
      <c r="C132" s="4" t="s">
        <v>75</v>
      </c>
      <c r="D132" s="4" t="s">
        <v>48</v>
      </c>
      <c r="E132" s="63">
        <v>508.98</v>
      </c>
      <c r="G132" s="5">
        <f t="shared" si="5"/>
        <v>508.98</v>
      </c>
    </row>
    <row r="133">
      <c r="A133" s="60" t="s">
        <v>356</v>
      </c>
      <c r="B133" s="60" t="s">
        <v>357</v>
      </c>
      <c r="C133" s="4" t="s">
        <v>75</v>
      </c>
      <c r="D133" s="4" t="s">
        <v>48</v>
      </c>
      <c r="E133" s="63">
        <v>149.98</v>
      </c>
      <c r="G133" s="5">
        <f t="shared" si="5"/>
        <v>149.98</v>
      </c>
    </row>
    <row r="134">
      <c r="A134" s="60" t="s">
        <v>358</v>
      </c>
      <c r="B134" s="60" t="s">
        <v>359</v>
      </c>
      <c r="C134" s="4" t="s">
        <v>75</v>
      </c>
      <c r="D134" s="4" t="s">
        <v>48</v>
      </c>
      <c r="E134" s="63">
        <v>207.98</v>
      </c>
      <c r="G134" s="5">
        <f t="shared" si="5"/>
        <v>207.98</v>
      </c>
    </row>
    <row r="135">
      <c r="A135" s="60" t="s">
        <v>360</v>
      </c>
      <c r="B135" s="60" t="s">
        <v>361</v>
      </c>
      <c r="C135" s="4" t="s">
        <v>75</v>
      </c>
      <c r="D135" s="4" t="s">
        <v>48</v>
      </c>
      <c r="E135" s="63">
        <v>208.0</v>
      </c>
      <c r="G135" s="5">
        <f t="shared" si="5"/>
        <v>208</v>
      </c>
    </row>
    <row r="136">
      <c r="A136" s="60" t="s">
        <v>362</v>
      </c>
      <c r="B136" s="60" t="s">
        <v>363</v>
      </c>
      <c r="C136" s="4" t="s">
        <v>75</v>
      </c>
      <c r="D136" s="4" t="s">
        <v>48</v>
      </c>
      <c r="E136" s="63">
        <v>142.98</v>
      </c>
      <c r="G136" s="5">
        <f t="shared" si="5"/>
        <v>142.98</v>
      </c>
    </row>
    <row r="137">
      <c r="A137" s="60" t="s">
        <v>364</v>
      </c>
      <c r="B137" s="60" t="s">
        <v>365</v>
      </c>
      <c r="C137" s="4" t="s">
        <v>75</v>
      </c>
      <c r="D137" s="4" t="s">
        <v>48</v>
      </c>
      <c r="E137" s="61">
        <v>6384.99</v>
      </c>
      <c r="G137" s="62">
        <f t="shared" si="5"/>
        <v>6384.99</v>
      </c>
    </row>
    <row r="138">
      <c r="A138" s="60" t="s">
        <v>366</v>
      </c>
      <c r="B138" s="60" t="s">
        <v>367</v>
      </c>
      <c r="C138" s="4" t="s">
        <v>75</v>
      </c>
      <c r="D138" s="4" t="s">
        <v>48</v>
      </c>
      <c r="E138" s="61">
        <v>2170.74</v>
      </c>
      <c r="G138" s="62">
        <f t="shared" si="5"/>
        <v>2170.74</v>
      </c>
    </row>
    <row r="139">
      <c r="A139" s="60" t="s">
        <v>368</v>
      </c>
      <c r="B139" s="60" t="s">
        <v>369</v>
      </c>
      <c r="C139" s="4" t="s">
        <v>75</v>
      </c>
      <c r="D139" s="4" t="s">
        <v>48</v>
      </c>
      <c r="E139" s="61">
        <v>19155.05</v>
      </c>
      <c r="G139" s="62">
        <f t="shared" si="5"/>
        <v>19155.05</v>
      </c>
    </row>
    <row r="140">
      <c r="A140" s="60" t="s">
        <v>370</v>
      </c>
      <c r="B140" s="60" t="s">
        <v>371</v>
      </c>
      <c r="C140" s="4" t="s">
        <v>75</v>
      </c>
      <c r="D140" s="4" t="s">
        <v>48</v>
      </c>
      <c r="E140" s="61">
        <v>3103.69</v>
      </c>
      <c r="G140" s="62">
        <f t="shared" si="5"/>
        <v>3103.69</v>
      </c>
    </row>
    <row r="141">
      <c r="A141" s="60" t="s">
        <v>372</v>
      </c>
      <c r="B141" s="60" t="s">
        <v>373</v>
      </c>
      <c r="C141" s="4" t="s">
        <v>75</v>
      </c>
      <c r="D141" s="4" t="s">
        <v>48</v>
      </c>
      <c r="E141" s="63">
        <v>771.91</v>
      </c>
      <c r="G141" s="5">
        <f t="shared" si="5"/>
        <v>771.91</v>
      </c>
    </row>
    <row r="142">
      <c r="A142" s="60" t="s">
        <v>374</v>
      </c>
      <c r="B142" s="60" t="s">
        <v>375</v>
      </c>
      <c r="C142" s="4" t="s">
        <v>75</v>
      </c>
      <c r="D142" s="4" t="s">
        <v>48</v>
      </c>
      <c r="E142" s="63">
        <v>378.01</v>
      </c>
      <c r="G142" s="5">
        <f t="shared" si="5"/>
        <v>378.01</v>
      </c>
    </row>
    <row r="143">
      <c r="A143" s="60" t="s">
        <v>376</v>
      </c>
      <c r="B143" s="60" t="s">
        <v>377</v>
      </c>
      <c r="C143" s="4" t="s">
        <v>75</v>
      </c>
      <c r="D143" s="4" t="s">
        <v>48</v>
      </c>
      <c r="E143" s="61">
        <v>6170.21</v>
      </c>
      <c r="G143" s="62">
        <f t="shared" si="5"/>
        <v>6170.21</v>
      </c>
    </row>
    <row r="144">
      <c r="A144" s="60" t="s">
        <v>378</v>
      </c>
      <c r="B144" s="60" t="s">
        <v>379</v>
      </c>
      <c r="C144" s="4" t="s">
        <v>75</v>
      </c>
      <c r="D144" s="4" t="s">
        <v>48</v>
      </c>
      <c r="E144" s="63">
        <v>559.05</v>
      </c>
      <c r="G144" s="5">
        <f t="shared" si="5"/>
        <v>559.05</v>
      </c>
    </row>
    <row r="145">
      <c r="A145" s="60" t="s">
        <v>380</v>
      </c>
      <c r="B145" s="60" t="s">
        <v>381</v>
      </c>
      <c r="C145" s="4" t="s">
        <v>75</v>
      </c>
      <c r="D145" s="4" t="s">
        <v>48</v>
      </c>
      <c r="E145" s="63">
        <v>438.0</v>
      </c>
      <c r="G145" s="5">
        <f t="shared" si="5"/>
        <v>438</v>
      </c>
    </row>
    <row r="146">
      <c r="A146" s="60" t="s">
        <v>382</v>
      </c>
      <c r="B146" s="60" t="s">
        <v>383</v>
      </c>
      <c r="C146" s="4" t="s">
        <v>75</v>
      </c>
      <c r="D146" s="4" t="s">
        <v>48</v>
      </c>
      <c r="E146" s="61">
        <v>1696.25</v>
      </c>
      <c r="G146" s="62">
        <f t="shared" si="5"/>
        <v>1696.25</v>
      </c>
    </row>
    <row r="147">
      <c r="A147" s="60" t="s">
        <v>384</v>
      </c>
      <c r="B147" s="60" t="s">
        <v>385</v>
      </c>
      <c r="C147" s="4" t="s">
        <v>75</v>
      </c>
      <c r="D147" s="4" t="s">
        <v>48</v>
      </c>
      <c r="E147" s="61">
        <v>2469.68</v>
      </c>
      <c r="G147" s="62">
        <f t="shared" si="5"/>
        <v>2469.68</v>
      </c>
    </row>
    <row r="148">
      <c r="A148" s="60" t="s">
        <v>386</v>
      </c>
      <c r="B148" s="60" t="s">
        <v>387</v>
      </c>
      <c r="C148" s="4" t="s">
        <v>75</v>
      </c>
      <c r="D148" s="4" t="s">
        <v>48</v>
      </c>
      <c r="E148" s="63">
        <v>333.96</v>
      </c>
      <c r="G148" s="5">
        <f t="shared" si="5"/>
        <v>333.96</v>
      </c>
    </row>
    <row r="149">
      <c r="A149" s="60" t="s">
        <v>388</v>
      </c>
      <c r="B149" s="60" t="s">
        <v>389</v>
      </c>
      <c r="C149" s="4" t="s">
        <v>75</v>
      </c>
      <c r="D149" s="4" t="s">
        <v>48</v>
      </c>
      <c r="E149" s="61">
        <v>1075.9</v>
      </c>
      <c r="G149" s="62">
        <f t="shared" si="5"/>
        <v>1075.9</v>
      </c>
    </row>
    <row r="150">
      <c r="A150" s="60" t="s">
        <v>390</v>
      </c>
      <c r="B150" s="60" t="s">
        <v>391</v>
      </c>
      <c r="C150" s="4" t="s">
        <v>75</v>
      </c>
      <c r="D150" s="4" t="s">
        <v>48</v>
      </c>
      <c r="E150" s="63">
        <v>828.0</v>
      </c>
      <c r="G150" s="5">
        <f t="shared" si="5"/>
        <v>828</v>
      </c>
    </row>
    <row r="151">
      <c r="A151" s="60" t="s">
        <v>392</v>
      </c>
      <c r="B151" s="60" t="s">
        <v>393</v>
      </c>
      <c r="C151" s="4" t="s">
        <v>75</v>
      </c>
      <c r="D151" s="4" t="s">
        <v>48</v>
      </c>
      <c r="E151" s="63">
        <v>727.03</v>
      </c>
      <c r="G151" s="5">
        <f t="shared" si="5"/>
        <v>727.03</v>
      </c>
    </row>
    <row r="152">
      <c r="A152" s="60" t="s">
        <v>394</v>
      </c>
      <c r="B152" s="60" t="s">
        <v>395</v>
      </c>
      <c r="C152" s="4" t="s">
        <v>75</v>
      </c>
      <c r="D152" s="4" t="s">
        <v>48</v>
      </c>
      <c r="E152" s="63">
        <v>100.0</v>
      </c>
      <c r="G152" s="5">
        <f t="shared" si="5"/>
        <v>100</v>
      </c>
    </row>
    <row r="153">
      <c r="A153" s="60" t="s">
        <v>396</v>
      </c>
      <c r="B153" s="60" t="s">
        <v>397</v>
      </c>
      <c r="C153" s="4" t="s">
        <v>75</v>
      </c>
      <c r="D153" s="4" t="s">
        <v>48</v>
      </c>
      <c r="E153" s="61">
        <v>2718.05</v>
      </c>
      <c r="G153" s="62">
        <f t="shared" si="5"/>
        <v>2718.05</v>
      </c>
    </row>
    <row r="154">
      <c r="A154" s="60" t="s">
        <v>398</v>
      </c>
      <c r="B154" s="60" t="s">
        <v>399</v>
      </c>
      <c r="C154" s="4" t="s">
        <v>75</v>
      </c>
      <c r="D154" s="4" t="s">
        <v>48</v>
      </c>
      <c r="E154" s="61">
        <v>1639.0</v>
      </c>
      <c r="G154" s="62">
        <f t="shared" si="5"/>
        <v>1639</v>
      </c>
    </row>
    <row r="155">
      <c r="A155" s="60" t="s">
        <v>400</v>
      </c>
      <c r="B155" s="60" t="s">
        <v>401</v>
      </c>
      <c r="C155" s="4" t="s">
        <v>75</v>
      </c>
      <c r="D155" s="4" t="s">
        <v>48</v>
      </c>
      <c r="E155" s="63">
        <v>585.01</v>
      </c>
      <c r="G155" s="5">
        <f t="shared" si="5"/>
        <v>585.01</v>
      </c>
    </row>
    <row r="156">
      <c r="A156" s="60" t="s">
        <v>402</v>
      </c>
      <c r="B156" s="60" t="s">
        <v>403</v>
      </c>
      <c r="C156" s="4" t="s">
        <v>75</v>
      </c>
      <c r="D156" s="4" t="s">
        <v>48</v>
      </c>
      <c r="E156" s="63">
        <v>327.02</v>
      </c>
      <c r="G156" s="5">
        <f t="shared" si="5"/>
        <v>327.02</v>
      </c>
    </row>
    <row r="157">
      <c r="A157" s="60" t="s">
        <v>404</v>
      </c>
      <c r="B157" s="60" t="s">
        <v>405</v>
      </c>
      <c r="C157" s="4" t="s">
        <v>75</v>
      </c>
      <c r="D157" s="4" t="s">
        <v>48</v>
      </c>
      <c r="E157" s="63">
        <v>367.99</v>
      </c>
      <c r="G157" s="5">
        <f t="shared" si="5"/>
        <v>367.99</v>
      </c>
    </row>
    <row r="158">
      <c r="A158" s="60" t="s">
        <v>406</v>
      </c>
      <c r="B158" s="60" t="s">
        <v>407</v>
      </c>
      <c r="C158" s="4" t="s">
        <v>75</v>
      </c>
      <c r="D158" s="4" t="s">
        <v>48</v>
      </c>
      <c r="E158" s="63">
        <v>434.15</v>
      </c>
      <c r="G158" s="5">
        <f t="shared" si="5"/>
        <v>434.15</v>
      </c>
    </row>
    <row r="159">
      <c r="A159" s="60" t="s">
        <v>408</v>
      </c>
      <c r="B159" s="60" t="s">
        <v>409</v>
      </c>
      <c r="C159" s="4" t="s">
        <v>75</v>
      </c>
      <c r="D159" s="4" t="s">
        <v>48</v>
      </c>
      <c r="E159" s="63">
        <v>335.0</v>
      </c>
      <c r="G159" s="5">
        <f t="shared" si="5"/>
        <v>335</v>
      </c>
    </row>
    <row r="160">
      <c r="A160" s="60" t="s">
        <v>410</v>
      </c>
      <c r="B160" s="60" t="s">
        <v>411</v>
      </c>
      <c r="C160" s="4" t="s">
        <v>75</v>
      </c>
      <c r="D160" s="4" t="s">
        <v>48</v>
      </c>
      <c r="E160" s="63">
        <v>276.0</v>
      </c>
      <c r="G160" s="5">
        <f t="shared" si="5"/>
        <v>276</v>
      </c>
    </row>
    <row r="161">
      <c r="A161" s="60" t="s">
        <v>412</v>
      </c>
      <c r="B161" s="60" t="s">
        <v>413</v>
      </c>
      <c r="C161" s="4" t="s">
        <v>75</v>
      </c>
      <c r="D161" s="4" t="s">
        <v>48</v>
      </c>
      <c r="E161" s="63">
        <v>758.91</v>
      </c>
      <c r="G161" s="5">
        <f t="shared" si="5"/>
        <v>758.91</v>
      </c>
    </row>
    <row r="162">
      <c r="A162" s="60" t="s">
        <v>414</v>
      </c>
      <c r="B162" s="60" t="s">
        <v>415</v>
      </c>
      <c r="C162" s="4" t="s">
        <v>75</v>
      </c>
      <c r="D162" s="4" t="s">
        <v>48</v>
      </c>
      <c r="E162" s="63">
        <v>663.01</v>
      </c>
      <c r="G162" s="5">
        <f t="shared" si="5"/>
        <v>663.01</v>
      </c>
    </row>
    <row r="163">
      <c r="A163" s="60" t="s">
        <v>416</v>
      </c>
      <c r="B163" s="60" t="s">
        <v>417</v>
      </c>
      <c r="C163" s="4" t="s">
        <v>75</v>
      </c>
      <c r="D163" s="4" t="s">
        <v>48</v>
      </c>
      <c r="E163" s="63">
        <v>352.0</v>
      </c>
      <c r="G163" s="5">
        <f t="shared" si="5"/>
        <v>352</v>
      </c>
    </row>
    <row r="164">
      <c r="A164" s="60" t="s">
        <v>418</v>
      </c>
      <c r="B164" s="60" t="s">
        <v>419</v>
      </c>
      <c r="C164" s="4" t="s">
        <v>75</v>
      </c>
      <c r="D164" s="4" t="s">
        <v>48</v>
      </c>
      <c r="E164" s="63">
        <v>562.06</v>
      </c>
      <c r="G164" s="5">
        <f t="shared" si="5"/>
        <v>562.06</v>
      </c>
    </row>
    <row r="165">
      <c r="A165" s="60" t="s">
        <v>420</v>
      </c>
      <c r="B165" s="60" t="s">
        <v>421</v>
      </c>
      <c r="C165" s="4" t="s">
        <v>75</v>
      </c>
      <c r="D165" s="4" t="s">
        <v>48</v>
      </c>
      <c r="E165" s="61">
        <v>1437.5</v>
      </c>
      <c r="G165" s="62">
        <f t="shared" si="5"/>
        <v>1437.5</v>
      </c>
    </row>
    <row r="166">
      <c r="A166" s="60" t="s">
        <v>422</v>
      </c>
      <c r="B166" s="60" t="s">
        <v>423</v>
      </c>
      <c r="C166" s="4" t="s">
        <v>75</v>
      </c>
      <c r="D166" s="4" t="s">
        <v>48</v>
      </c>
      <c r="E166" s="61">
        <v>1581.25</v>
      </c>
      <c r="G166" s="62">
        <f t="shared" si="5"/>
        <v>1581.25</v>
      </c>
    </row>
    <row r="167">
      <c r="A167" s="60" t="s">
        <v>424</v>
      </c>
      <c r="B167" s="60" t="s">
        <v>425</v>
      </c>
      <c r="C167" s="4" t="s">
        <v>75</v>
      </c>
      <c r="D167" s="4" t="s">
        <v>48</v>
      </c>
      <c r="E167" s="63">
        <v>285.96</v>
      </c>
      <c r="G167" s="5">
        <f t="shared" si="5"/>
        <v>285.96</v>
      </c>
    </row>
    <row r="168">
      <c r="A168" s="60" t="s">
        <v>426</v>
      </c>
      <c r="B168" s="60" t="s">
        <v>427</v>
      </c>
      <c r="C168" s="4" t="s">
        <v>75</v>
      </c>
      <c r="D168" s="4" t="s">
        <v>48</v>
      </c>
      <c r="E168" s="63">
        <v>234.97</v>
      </c>
      <c r="G168" s="5">
        <f t="shared" si="5"/>
        <v>234.97</v>
      </c>
    </row>
    <row r="169">
      <c r="A169" s="60" t="s">
        <v>428</v>
      </c>
      <c r="B169" s="60" t="s">
        <v>429</v>
      </c>
      <c r="C169" s="4" t="s">
        <v>75</v>
      </c>
      <c r="D169" s="4" t="s">
        <v>48</v>
      </c>
      <c r="E169" s="63">
        <v>647.02</v>
      </c>
      <c r="G169" s="5">
        <f t="shared" si="5"/>
        <v>647.02</v>
      </c>
    </row>
    <row r="170">
      <c r="A170" s="60" t="s">
        <v>430</v>
      </c>
      <c r="B170" s="60" t="s">
        <v>431</v>
      </c>
      <c r="C170" s="4" t="s">
        <v>75</v>
      </c>
      <c r="D170" s="4" t="s">
        <v>48</v>
      </c>
      <c r="E170" s="63">
        <v>310.0</v>
      </c>
      <c r="G170" s="5">
        <f t="shared" si="5"/>
        <v>310</v>
      </c>
    </row>
    <row r="171">
      <c r="A171" s="60" t="s">
        <v>432</v>
      </c>
      <c r="B171" s="60" t="s">
        <v>433</v>
      </c>
      <c r="C171" s="4" t="s">
        <v>75</v>
      </c>
      <c r="D171" s="4" t="s">
        <v>48</v>
      </c>
      <c r="E171" s="63">
        <v>795.02</v>
      </c>
      <c r="G171" s="5">
        <f t="shared" si="5"/>
        <v>795.02</v>
      </c>
    </row>
    <row r="172">
      <c r="A172" s="60" t="s">
        <v>434</v>
      </c>
      <c r="B172" s="60" t="s">
        <v>435</v>
      </c>
      <c r="C172" s="4" t="s">
        <v>75</v>
      </c>
      <c r="D172" s="4" t="s">
        <v>48</v>
      </c>
      <c r="E172" s="63">
        <v>184.0</v>
      </c>
      <c r="G172" s="5">
        <f t="shared" si="5"/>
        <v>184</v>
      </c>
    </row>
    <row r="173">
      <c r="A173" s="60" t="s">
        <v>436</v>
      </c>
      <c r="B173" s="60" t="s">
        <v>437</v>
      </c>
      <c r="C173" s="4" t="s">
        <v>75</v>
      </c>
      <c r="D173" s="4" t="s">
        <v>48</v>
      </c>
      <c r="E173" s="63">
        <v>67.99</v>
      </c>
      <c r="G173" s="5">
        <f t="shared" si="5"/>
        <v>67.99</v>
      </c>
    </row>
    <row r="174">
      <c r="A174" s="60" t="s">
        <v>438</v>
      </c>
      <c r="B174" s="60" t="s">
        <v>439</v>
      </c>
      <c r="C174" s="4" t="s">
        <v>75</v>
      </c>
      <c r="D174" s="4" t="s">
        <v>48</v>
      </c>
      <c r="E174" s="61">
        <v>1022.04</v>
      </c>
      <c r="G174" s="62">
        <f t="shared" si="5"/>
        <v>1022.04</v>
      </c>
    </row>
    <row r="175">
      <c r="A175" s="60" t="s">
        <v>440</v>
      </c>
      <c r="B175" s="60" t="s">
        <v>441</v>
      </c>
      <c r="C175" s="4" t="s">
        <v>75</v>
      </c>
      <c r="D175" s="4" t="s">
        <v>48</v>
      </c>
      <c r="E175" s="63">
        <v>795.03</v>
      </c>
      <c r="G175" s="5">
        <f t="shared" si="5"/>
        <v>795.03</v>
      </c>
    </row>
    <row r="176">
      <c r="A176" s="60" t="s">
        <v>442</v>
      </c>
      <c r="B176" s="60" t="s">
        <v>443</v>
      </c>
      <c r="C176" s="4" t="s">
        <v>75</v>
      </c>
      <c r="D176" s="4" t="s">
        <v>48</v>
      </c>
      <c r="E176" s="61">
        <v>5522.13</v>
      </c>
      <c r="G176" s="62">
        <f t="shared" si="5"/>
        <v>5522.13</v>
      </c>
    </row>
    <row r="177">
      <c r="A177" s="60" t="s">
        <v>444</v>
      </c>
      <c r="B177" s="60" t="s">
        <v>445</v>
      </c>
      <c r="C177" s="4" t="s">
        <v>75</v>
      </c>
      <c r="D177" s="4" t="s">
        <v>48</v>
      </c>
      <c r="E177" s="63">
        <v>460.0</v>
      </c>
      <c r="G177" s="5">
        <f t="shared" si="5"/>
        <v>460</v>
      </c>
    </row>
    <row r="178">
      <c r="A178" s="60" t="s">
        <v>446</v>
      </c>
      <c r="B178" s="60" t="s">
        <v>447</v>
      </c>
      <c r="C178" s="4" t="s">
        <v>75</v>
      </c>
      <c r="D178" s="4" t="s">
        <v>48</v>
      </c>
      <c r="E178" s="61">
        <v>2722.8</v>
      </c>
      <c r="G178" s="62">
        <f t="shared" si="5"/>
        <v>2722.8</v>
      </c>
    </row>
    <row r="179">
      <c r="A179" s="60" t="s">
        <v>448</v>
      </c>
      <c r="B179" s="60" t="s">
        <v>449</v>
      </c>
      <c r="C179" s="4" t="s">
        <v>75</v>
      </c>
      <c r="D179" s="4" t="s">
        <v>48</v>
      </c>
      <c r="E179" s="61">
        <v>2064.97</v>
      </c>
      <c r="G179" s="62">
        <f t="shared" si="5"/>
        <v>2064.97</v>
      </c>
    </row>
    <row r="180">
      <c r="A180" s="60" t="s">
        <v>450</v>
      </c>
      <c r="B180" s="60" t="s">
        <v>451</v>
      </c>
      <c r="C180" s="4" t="s">
        <v>75</v>
      </c>
      <c r="D180" s="4" t="s">
        <v>48</v>
      </c>
      <c r="E180" s="61">
        <v>1723.8</v>
      </c>
      <c r="G180" s="62">
        <f t="shared" si="5"/>
        <v>1723.8</v>
      </c>
    </row>
    <row r="181">
      <c r="A181" s="60" t="s">
        <v>452</v>
      </c>
      <c r="B181" s="60" t="s">
        <v>453</v>
      </c>
      <c r="C181" s="4" t="s">
        <v>75</v>
      </c>
      <c r="D181" s="4" t="s">
        <v>48</v>
      </c>
      <c r="E181" s="63">
        <v>219.03</v>
      </c>
      <c r="G181" s="5">
        <f t="shared" si="5"/>
        <v>219.03</v>
      </c>
    </row>
    <row r="182">
      <c r="A182" s="60" t="s">
        <v>454</v>
      </c>
      <c r="B182" s="60" t="s">
        <v>455</v>
      </c>
      <c r="C182" s="4" t="s">
        <v>75</v>
      </c>
      <c r="D182" s="4" t="s">
        <v>48</v>
      </c>
      <c r="E182" s="63">
        <v>109.0</v>
      </c>
      <c r="G182" s="5">
        <f t="shared" si="5"/>
        <v>109</v>
      </c>
    </row>
    <row r="183">
      <c r="A183" s="60" t="s">
        <v>456</v>
      </c>
      <c r="B183" s="60" t="s">
        <v>457</v>
      </c>
      <c r="C183" s="4" t="s">
        <v>75</v>
      </c>
      <c r="D183" s="4" t="s">
        <v>48</v>
      </c>
      <c r="E183" s="63">
        <v>201.0</v>
      </c>
      <c r="G183" s="5">
        <f t="shared" si="5"/>
        <v>201</v>
      </c>
    </row>
    <row r="184">
      <c r="A184" s="60" t="s">
        <v>458</v>
      </c>
      <c r="B184" s="60" t="s">
        <v>459</v>
      </c>
      <c r="C184" s="4" t="s">
        <v>75</v>
      </c>
      <c r="D184" s="4" t="s">
        <v>48</v>
      </c>
      <c r="E184" s="63">
        <v>485.02</v>
      </c>
      <c r="G184" s="5">
        <f t="shared" si="5"/>
        <v>485.02</v>
      </c>
    </row>
    <row r="185">
      <c r="A185" s="60" t="s">
        <v>460</v>
      </c>
      <c r="B185" s="60" t="s">
        <v>461</v>
      </c>
      <c r="C185" s="4" t="s">
        <v>75</v>
      </c>
      <c r="D185" s="4" t="s">
        <v>48</v>
      </c>
      <c r="E185" s="63">
        <v>252.64</v>
      </c>
      <c r="G185" s="5">
        <f t="shared" si="5"/>
        <v>252.64</v>
      </c>
    </row>
    <row r="186">
      <c r="A186" s="60" t="s">
        <v>462</v>
      </c>
      <c r="B186" s="60" t="s">
        <v>463</v>
      </c>
      <c r="C186" s="4" t="s">
        <v>75</v>
      </c>
      <c r="D186" s="4" t="s">
        <v>48</v>
      </c>
      <c r="E186" s="61">
        <v>6441.64</v>
      </c>
      <c r="G186" s="62">
        <f t="shared" si="5"/>
        <v>6441.64</v>
      </c>
    </row>
    <row r="187">
      <c r="A187" s="60" t="s">
        <v>464</v>
      </c>
      <c r="B187" s="60" t="s">
        <v>465</v>
      </c>
      <c r="C187" s="4" t="s">
        <v>75</v>
      </c>
      <c r="D187" s="4" t="s">
        <v>48</v>
      </c>
      <c r="E187" s="63">
        <v>335.0</v>
      </c>
      <c r="G187" s="5">
        <f t="shared" si="5"/>
        <v>335</v>
      </c>
    </row>
    <row r="188">
      <c r="A188" s="60" t="s">
        <v>466</v>
      </c>
      <c r="B188" s="60" t="s">
        <v>467</v>
      </c>
      <c r="C188" s="4" t="s">
        <v>75</v>
      </c>
      <c r="D188" s="4" t="s">
        <v>48</v>
      </c>
      <c r="E188" s="61">
        <v>2282.0</v>
      </c>
      <c r="G188" s="62">
        <f t="shared" si="5"/>
        <v>2282</v>
      </c>
    </row>
    <row r="189">
      <c r="A189" s="60" t="s">
        <v>468</v>
      </c>
      <c r="B189" s="60" t="s">
        <v>469</v>
      </c>
      <c r="C189" s="4" t="s">
        <v>75</v>
      </c>
      <c r="D189" s="4" t="s">
        <v>48</v>
      </c>
      <c r="E189" s="61">
        <v>3782.86</v>
      </c>
      <c r="G189" s="62">
        <f t="shared" si="5"/>
        <v>3782.86</v>
      </c>
    </row>
    <row r="190">
      <c r="A190" s="60" t="s">
        <v>470</v>
      </c>
      <c r="B190" s="60" t="s">
        <v>471</v>
      </c>
      <c r="C190" s="4" t="s">
        <v>75</v>
      </c>
      <c r="D190" s="4" t="s">
        <v>48</v>
      </c>
      <c r="E190" s="61">
        <v>2137.68</v>
      </c>
      <c r="G190" s="62">
        <f t="shared" si="5"/>
        <v>2137.68</v>
      </c>
    </row>
    <row r="191">
      <c r="A191" s="60" t="s">
        <v>472</v>
      </c>
      <c r="B191" s="60" t="s">
        <v>473</v>
      </c>
      <c r="C191" s="4" t="s">
        <v>75</v>
      </c>
      <c r="D191" s="4" t="s">
        <v>53</v>
      </c>
      <c r="E191" s="63">
        <v>195.02</v>
      </c>
      <c r="G191" s="5">
        <f t="shared" si="5"/>
        <v>195.02</v>
      </c>
    </row>
    <row r="192">
      <c r="A192" s="60" t="s">
        <v>474</v>
      </c>
      <c r="B192" s="60" t="s">
        <v>475</v>
      </c>
      <c r="C192" s="4" t="s">
        <v>75</v>
      </c>
      <c r="D192" s="4" t="s">
        <v>53</v>
      </c>
      <c r="E192" s="63">
        <v>47.28</v>
      </c>
      <c r="G192" s="5">
        <f t="shared" si="5"/>
        <v>47.28</v>
      </c>
    </row>
    <row r="193">
      <c r="A193" s="60" t="s">
        <v>476</v>
      </c>
      <c r="B193" s="60" t="s">
        <v>477</v>
      </c>
      <c r="C193" s="4" t="s">
        <v>75</v>
      </c>
      <c r="D193" s="4" t="s">
        <v>53</v>
      </c>
      <c r="E193" s="63">
        <v>101.98</v>
      </c>
      <c r="G193" s="5">
        <f t="shared" si="5"/>
        <v>101.98</v>
      </c>
    </row>
    <row r="194">
      <c r="A194" s="60" t="s">
        <v>478</v>
      </c>
      <c r="B194" s="60" t="s">
        <v>479</v>
      </c>
      <c r="C194" s="4" t="s">
        <v>75</v>
      </c>
      <c r="D194" s="4" t="s">
        <v>53</v>
      </c>
      <c r="E194" s="63">
        <v>333.95</v>
      </c>
      <c r="G194" s="5">
        <f t="shared" si="5"/>
        <v>333.95</v>
      </c>
    </row>
    <row r="195">
      <c r="A195" s="60" t="s">
        <v>480</v>
      </c>
      <c r="B195" s="60" t="s">
        <v>481</v>
      </c>
      <c r="C195" s="4" t="s">
        <v>75</v>
      </c>
      <c r="D195" s="4" t="s">
        <v>53</v>
      </c>
      <c r="E195" s="63">
        <v>200.98</v>
      </c>
      <c r="G195" s="5">
        <f t="shared" si="5"/>
        <v>200.98</v>
      </c>
    </row>
    <row r="196">
      <c r="A196" s="60" t="s">
        <v>482</v>
      </c>
      <c r="B196" s="60" t="s">
        <v>483</v>
      </c>
      <c r="C196" s="4" t="s">
        <v>75</v>
      </c>
      <c r="D196" s="4" t="s">
        <v>53</v>
      </c>
      <c r="E196" s="63">
        <v>207.97</v>
      </c>
      <c r="G196" s="5">
        <f t="shared" si="5"/>
        <v>207.97</v>
      </c>
    </row>
    <row r="197">
      <c r="A197" s="60" t="s">
        <v>484</v>
      </c>
      <c r="B197" s="60" t="s">
        <v>485</v>
      </c>
      <c r="C197" s="4" t="s">
        <v>75</v>
      </c>
      <c r="D197" s="4" t="s">
        <v>53</v>
      </c>
      <c r="E197" s="63">
        <v>778.02</v>
      </c>
      <c r="G197" s="5">
        <f t="shared" si="5"/>
        <v>778.02</v>
      </c>
    </row>
    <row r="198">
      <c r="A198" s="60" t="s">
        <v>486</v>
      </c>
      <c r="B198" s="60" t="s">
        <v>487</v>
      </c>
      <c r="C198" s="4" t="s">
        <v>75</v>
      </c>
      <c r="D198" s="4" t="s">
        <v>53</v>
      </c>
      <c r="E198" s="63">
        <v>479.96</v>
      </c>
      <c r="G198" s="5">
        <f t="shared" si="5"/>
        <v>479.96</v>
      </c>
    </row>
    <row r="199">
      <c r="A199" s="60" t="s">
        <v>488</v>
      </c>
      <c r="B199" s="60" t="s">
        <v>489</v>
      </c>
      <c r="C199" s="4" t="s">
        <v>75</v>
      </c>
      <c r="D199" s="4" t="s">
        <v>53</v>
      </c>
      <c r="E199" s="63">
        <v>108.98</v>
      </c>
      <c r="G199" s="5">
        <f t="shared" si="5"/>
        <v>108.98</v>
      </c>
    </row>
    <row r="200">
      <c r="A200" s="60" t="s">
        <v>490</v>
      </c>
      <c r="B200" s="60" t="s">
        <v>491</v>
      </c>
      <c r="C200" s="4" t="s">
        <v>75</v>
      </c>
      <c r="D200" s="4" t="s">
        <v>53</v>
      </c>
      <c r="E200" s="63">
        <v>285.96</v>
      </c>
      <c r="G200" s="5">
        <f t="shared" si="5"/>
        <v>285.96</v>
      </c>
    </row>
    <row r="201">
      <c r="A201" s="60" t="s">
        <v>492</v>
      </c>
      <c r="B201" s="60" t="s">
        <v>493</v>
      </c>
      <c r="C201" s="4" t="s">
        <v>75</v>
      </c>
      <c r="D201" s="4" t="s">
        <v>53</v>
      </c>
      <c r="E201" s="63">
        <v>83.98</v>
      </c>
      <c r="G201" s="5">
        <f t="shared" si="5"/>
        <v>83.98</v>
      </c>
    </row>
    <row r="202">
      <c r="A202" s="60" t="s">
        <v>494</v>
      </c>
      <c r="B202" s="60" t="s">
        <v>495</v>
      </c>
      <c r="C202" s="4" t="s">
        <v>75</v>
      </c>
      <c r="D202" s="4" t="s">
        <v>53</v>
      </c>
      <c r="E202" s="63">
        <v>149.98</v>
      </c>
      <c r="G202" s="5">
        <f t="shared" si="5"/>
        <v>149.98</v>
      </c>
    </row>
    <row r="203">
      <c r="A203" s="60" t="s">
        <v>496</v>
      </c>
      <c r="B203" s="60" t="s">
        <v>497</v>
      </c>
      <c r="C203" s="4" t="s">
        <v>75</v>
      </c>
      <c r="D203" s="4" t="s">
        <v>53</v>
      </c>
      <c r="E203" s="63">
        <v>91.98</v>
      </c>
      <c r="G203" s="5">
        <f t="shared" si="5"/>
        <v>91.98</v>
      </c>
    </row>
    <row r="204">
      <c r="A204" s="60" t="s">
        <v>498</v>
      </c>
      <c r="B204" s="60" t="s">
        <v>499</v>
      </c>
      <c r="C204" s="4" t="s">
        <v>75</v>
      </c>
      <c r="D204" s="4" t="s">
        <v>53</v>
      </c>
      <c r="E204" s="63">
        <v>292.96</v>
      </c>
      <c r="G204" s="5">
        <f t="shared" si="5"/>
        <v>292.96</v>
      </c>
    </row>
    <row r="205">
      <c r="A205" s="60" t="s">
        <v>500</v>
      </c>
      <c r="B205" s="60" t="s">
        <v>501</v>
      </c>
      <c r="C205" s="4" t="s">
        <v>75</v>
      </c>
      <c r="D205" s="4" t="s">
        <v>53</v>
      </c>
      <c r="E205" s="63">
        <v>333.96</v>
      </c>
      <c r="G205" s="5">
        <f t="shared" si="5"/>
        <v>333.96</v>
      </c>
    </row>
    <row r="206">
      <c r="A206" s="60" t="s">
        <v>502</v>
      </c>
      <c r="B206" s="60" t="s">
        <v>503</v>
      </c>
      <c r="C206" s="4" t="s">
        <v>75</v>
      </c>
      <c r="D206" s="4" t="s">
        <v>53</v>
      </c>
      <c r="E206" s="63">
        <v>53.98</v>
      </c>
      <c r="G206" s="5">
        <f t="shared" si="5"/>
        <v>53.98</v>
      </c>
    </row>
    <row r="207">
      <c r="A207" s="60" t="s">
        <v>504</v>
      </c>
      <c r="B207" s="60" t="s">
        <v>505</v>
      </c>
      <c r="C207" s="4" t="s">
        <v>75</v>
      </c>
      <c r="D207" s="4" t="s">
        <v>53</v>
      </c>
      <c r="E207" s="63">
        <v>292.96</v>
      </c>
      <c r="G207" s="5">
        <f t="shared" si="5"/>
        <v>292.96</v>
      </c>
    </row>
    <row r="208">
      <c r="A208" s="60" t="s">
        <v>506</v>
      </c>
      <c r="B208" s="60" t="s">
        <v>507</v>
      </c>
      <c r="C208" s="4" t="s">
        <v>75</v>
      </c>
      <c r="D208" s="4" t="s">
        <v>53</v>
      </c>
      <c r="E208" s="61">
        <v>1101.4</v>
      </c>
      <c r="G208" s="62">
        <f t="shared" si="5"/>
        <v>1101.4</v>
      </c>
    </row>
    <row r="209">
      <c r="A209" s="60" t="s">
        <v>508</v>
      </c>
      <c r="B209" s="60" t="s">
        <v>509</v>
      </c>
      <c r="C209" s="4" t="s">
        <v>75</v>
      </c>
      <c r="D209" s="4" t="s">
        <v>53</v>
      </c>
      <c r="E209" s="63">
        <v>91.98</v>
      </c>
      <c r="G209" s="5">
        <f t="shared" si="5"/>
        <v>91.98</v>
      </c>
    </row>
    <row r="210">
      <c r="A210" s="60" t="s">
        <v>510</v>
      </c>
      <c r="B210" s="60" t="s">
        <v>511</v>
      </c>
      <c r="C210" s="4" t="s">
        <v>75</v>
      </c>
      <c r="D210" s="4" t="s">
        <v>53</v>
      </c>
      <c r="E210" s="63">
        <v>333.96</v>
      </c>
      <c r="G210" s="5">
        <f t="shared" si="5"/>
        <v>333.96</v>
      </c>
    </row>
    <row r="211">
      <c r="A211" s="60" t="s">
        <v>512</v>
      </c>
      <c r="B211" s="60" t="s">
        <v>513</v>
      </c>
      <c r="C211" s="4" t="s">
        <v>75</v>
      </c>
      <c r="D211" s="4" t="s">
        <v>53</v>
      </c>
      <c r="E211" s="63">
        <v>276.0</v>
      </c>
      <c r="G211" s="5">
        <f t="shared" si="5"/>
        <v>276</v>
      </c>
    </row>
    <row r="212">
      <c r="A212" s="60" t="s">
        <v>514</v>
      </c>
      <c r="B212" s="60" t="s">
        <v>515</v>
      </c>
      <c r="C212" s="4" t="s">
        <v>75</v>
      </c>
      <c r="D212" s="4" t="s">
        <v>53</v>
      </c>
      <c r="E212" s="63">
        <v>125.97</v>
      </c>
      <c r="G212" s="5">
        <f t="shared" si="5"/>
        <v>125.97</v>
      </c>
    </row>
    <row r="213">
      <c r="A213" s="60" t="s">
        <v>516</v>
      </c>
      <c r="B213" s="60" t="s">
        <v>517</v>
      </c>
      <c r="C213" s="4" t="s">
        <v>75</v>
      </c>
      <c r="D213" s="4" t="s">
        <v>53</v>
      </c>
      <c r="E213" s="63">
        <v>167.0</v>
      </c>
      <c r="G213" s="5">
        <f t="shared" si="5"/>
        <v>167</v>
      </c>
    </row>
    <row r="214">
      <c r="A214" s="60" t="s">
        <v>518</v>
      </c>
      <c r="B214" s="60" t="s">
        <v>519</v>
      </c>
      <c r="C214" s="4" t="s">
        <v>75</v>
      </c>
      <c r="D214" s="4" t="s">
        <v>53</v>
      </c>
      <c r="E214" s="63">
        <v>425.94</v>
      </c>
      <c r="G214" s="5">
        <f t="shared" si="5"/>
        <v>425.94</v>
      </c>
    </row>
    <row r="215">
      <c r="A215" s="60" t="s">
        <v>520</v>
      </c>
      <c r="B215" s="60" t="s">
        <v>521</v>
      </c>
      <c r="C215" s="4" t="s">
        <v>75</v>
      </c>
      <c r="D215" s="4" t="s">
        <v>53</v>
      </c>
      <c r="E215" s="63">
        <v>220.96</v>
      </c>
      <c r="G215" s="5">
        <f t="shared" si="5"/>
        <v>220.96</v>
      </c>
    </row>
    <row r="216">
      <c r="A216" s="60" t="s">
        <v>522</v>
      </c>
      <c r="B216" s="60" t="s">
        <v>523</v>
      </c>
      <c r="C216" s="4" t="s">
        <v>75</v>
      </c>
      <c r="D216" s="4" t="s">
        <v>53</v>
      </c>
      <c r="E216" s="63">
        <v>367.95</v>
      </c>
      <c r="G216" s="5">
        <f t="shared" si="5"/>
        <v>367.95</v>
      </c>
    </row>
    <row r="217">
      <c r="A217" s="60" t="s">
        <v>524</v>
      </c>
      <c r="B217" s="60" t="s">
        <v>525</v>
      </c>
      <c r="C217" s="4" t="s">
        <v>75</v>
      </c>
      <c r="D217" s="4" t="s">
        <v>53</v>
      </c>
      <c r="E217" s="61">
        <v>8131.59</v>
      </c>
      <c r="G217" s="62">
        <f t="shared" si="5"/>
        <v>8131.59</v>
      </c>
    </row>
    <row r="218">
      <c r="A218" s="60" t="s">
        <v>526</v>
      </c>
      <c r="B218" s="60" t="s">
        <v>527</v>
      </c>
      <c r="C218" s="4" t="s">
        <v>75</v>
      </c>
      <c r="D218" s="4" t="s">
        <v>53</v>
      </c>
      <c r="E218" s="63">
        <v>108.98</v>
      </c>
      <c r="G218" s="5">
        <f t="shared" si="5"/>
        <v>108.98</v>
      </c>
    </row>
    <row r="219">
      <c r="A219" s="60" t="s">
        <v>528</v>
      </c>
      <c r="B219" s="60" t="s">
        <v>529</v>
      </c>
      <c r="C219" s="4" t="s">
        <v>75</v>
      </c>
      <c r="D219" s="4" t="s">
        <v>53</v>
      </c>
      <c r="E219" s="63">
        <v>493.93</v>
      </c>
      <c r="G219" s="5">
        <f t="shared" si="5"/>
        <v>493.93</v>
      </c>
    </row>
    <row r="220">
      <c r="A220" s="60" t="s">
        <v>530</v>
      </c>
      <c r="B220" s="60" t="s">
        <v>531</v>
      </c>
      <c r="C220" s="4" t="s">
        <v>75</v>
      </c>
      <c r="D220" s="4" t="s">
        <v>53</v>
      </c>
      <c r="E220" s="63">
        <v>511.02</v>
      </c>
      <c r="G220" s="5">
        <f t="shared" si="5"/>
        <v>511.02</v>
      </c>
    </row>
    <row r="221">
      <c r="A221" s="60" t="s">
        <v>532</v>
      </c>
      <c r="B221" s="60" t="s">
        <v>533</v>
      </c>
      <c r="C221" s="4" t="s">
        <v>75</v>
      </c>
      <c r="D221" s="4" t="s">
        <v>53</v>
      </c>
      <c r="E221" s="63">
        <v>183.97</v>
      </c>
      <c r="G221" s="5">
        <f t="shared" si="5"/>
        <v>183.97</v>
      </c>
    </row>
    <row r="222">
      <c r="A222" s="60" t="s">
        <v>534</v>
      </c>
      <c r="B222" s="60" t="s">
        <v>535</v>
      </c>
      <c r="C222" s="4" t="s">
        <v>75</v>
      </c>
      <c r="D222" s="4" t="s">
        <v>53</v>
      </c>
      <c r="E222" s="63">
        <v>50.99</v>
      </c>
      <c r="G222" s="5">
        <f t="shared" si="5"/>
        <v>50.99</v>
      </c>
    </row>
    <row r="223">
      <c r="A223" s="60" t="s">
        <v>536</v>
      </c>
      <c r="B223" s="60" t="s">
        <v>537</v>
      </c>
      <c r="C223" s="4" t="s">
        <v>75</v>
      </c>
      <c r="D223" s="4" t="s">
        <v>53</v>
      </c>
      <c r="E223" s="63">
        <v>200.98</v>
      </c>
      <c r="G223" s="5">
        <f t="shared" si="5"/>
        <v>200.98</v>
      </c>
    </row>
    <row r="224">
      <c r="A224" s="60" t="s">
        <v>538</v>
      </c>
      <c r="B224" s="60" t="s">
        <v>539</v>
      </c>
      <c r="C224" s="4" t="s">
        <v>75</v>
      </c>
      <c r="D224" s="4" t="s">
        <v>53</v>
      </c>
      <c r="E224" s="63">
        <v>494.02</v>
      </c>
      <c r="G224" s="5">
        <f t="shared" si="5"/>
        <v>494.02</v>
      </c>
    </row>
    <row r="225">
      <c r="A225" s="60" t="s">
        <v>540</v>
      </c>
      <c r="B225" s="60" t="s">
        <v>541</v>
      </c>
      <c r="C225" s="4" t="s">
        <v>75</v>
      </c>
      <c r="D225" s="4" t="s">
        <v>53</v>
      </c>
      <c r="E225" s="63">
        <v>91.98</v>
      </c>
      <c r="G225" s="5">
        <f t="shared" si="5"/>
        <v>91.98</v>
      </c>
    </row>
    <row r="226">
      <c r="A226" s="60" t="s">
        <v>542</v>
      </c>
      <c r="B226" s="60" t="s">
        <v>543</v>
      </c>
      <c r="C226" s="4" t="s">
        <v>75</v>
      </c>
      <c r="D226" s="4" t="s">
        <v>53</v>
      </c>
      <c r="E226" s="63">
        <v>289.97</v>
      </c>
      <c r="G226" s="5">
        <f t="shared" si="5"/>
        <v>289.97</v>
      </c>
    </row>
    <row r="227">
      <c r="A227" s="60" t="s">
        <v>544</v>
      </c>
      <c r="B227" s="60" t="s">
        <v>545</v>
      </c>
      <c r="C227" s="4" t="s">
        <v>75</v>
      </c>
      <c r="D227" s="4" t="s">
        <v>53</v>
      </c>
      <c r="E227" s="63">
        <v>436.95</v>
      </c>
      <c r="G227" s="5">
        <f t="shared" si="5"/>
        <v>436.95</v>
      </c>
    </row>
    <row r="228">
      <c r="A228" s="60" t="s">
        <v>546</v>
      </c>
      <c r="B228" s="60" t="s">
        <v>547</v>
      </c>
      <c r="C228" s="4" t="s">
        <v>75</v>
      </c>
      <c r="D228" s="4" t="s">
        <v>53</v>
      </c>
      <c r="E228" s="63">
        <v>251.96</v>
      </c>
      <c r="G228" s="5">
        <f t="shared" si="5"/>
        <v>251.96</v>
      </c>
    </row>
    <row r="229">
      <c r="A229" s="60" t="s">
        <v>548</v>
      </c>
      <c r="B229" s="60" t="s">
        <v>549</v>
      </c>
      <c r="C229" s="4" t="s">
        <v>75</v>
      </c>
      <c r="D229" s="4" t="s">
        <v>53</v>
      </c>
      <c r="E229" s="63">
        <v>217.97</v>
      </c>
      <c r="G229" s="5">
        <f t="shared" si="5"/>
        <v>217.97</v>
      </c>
    </row>
    <row r="230">
      <c r="A230" s="60" t="s">
        <v>550</v>
      </c>
      <c r="B230" s="60" t="s">
        <v>551</v>
      </c>
      <c r="C230" s="4" t="s">
        <v>75</v>
      </c>
      <c r="D230" s="4" t="s">
        <v>53</v>
      </c>
      <c r="E230" s="63">
        <v>309.95</v>
      </c>
      <c r="G230" s="5">
        <f t="shared" si="5"/>
        <v>309.95</v>
      </c>
    </row>
    <row r="231">
      <c r="A231" s="60" t="s">
        <v>552</v>
      </c>
      <c r="B231" s="60" t="s">
        <v>553</v>
      </c>
      <c r="C231" s="4" t="s">
        <v>75</v>
      </c>
      <c r="D231" s="4" t="s">
        <v>53</v>
      </c>
      <c r="E231" s="61">
        <v>2452.19</v>
      </c>
      <c r="G231" s="62">
        <f t="shared" si="5"/>
        <v>2452.19</v>
      </c>
    </row>
    <row r="232">
      <c r="A232" s="60" t="s">
        <v>554</v>
      </c>
      <c r="B232" s="60" t="s">
        <v>555</v>
      </c>
      <c r="C232" s="4" t="s">
        <v>75</v>
      </c>
      <c r="D232" s="4" t="s">
        <v>53</v>
      </c>
      <c r="E232" s="61">
        <v>4830.0</v>
      </c>
      <c r="G232" s="62">
        <f t="shared" si="5"/>
        <v>4830</v>
      </c>
    </row>
    <row r="233">
      <c r="A233" s="60" t="s">
        <v>556</v>
      </c>
      <c r="B233" s="60" t="s">
        <v>557</v>
      </c>
      <c r="C233" s="4" t="s">
        <v>75</v>
      </c>
      <c r="D233" s="4" t="s">
        <v>53</v>
      </c>
      <c r="E233" s="63">
        <v>191.98</v>
      </c>
      <c r="G233" s="5">
        <f t="shared" si="5"/>
        <v>191.98</v>
      </c>
    </row>
    <row r="234">
      <c r="A234" s="60" t="s">
        <v>558</v>
      </c>
      <c r="B234" s="60" t="s">
        <v>559</v>
      </c>
      <c r="C234" s="4" t="s">
        <v>75</v>
      </c>
      <c r="D234" s="4" t="s">
        <v>53</v>
      </c>
      <c r="E234" s="63">
        <v>391.95</v>
      </c>
      <c r="G234" s="5">
        <f t="shared" si="5"/>
        <v>391.95</v>
      </c>
    </row>
    <row r="235">
      <c r="A235" s="60" t="s">
        <v>560</v>
      </c>
      <c r="B235" s="60" t="s">
        <v>561</v>
      </c>
      <c r="C235" s="4" t="s">
        <v>75</v>
      </c>
      <c r="D235" s="4" t="s">
        <v>53</v>
      </c>
      <c r="E235" s="63">
        <v>578.96</v>
      </c>
      <c r="G235" s="5">
        <f t="shared" si="5"/>
        <v>578.96</v>
      </c>
    </row>
    <row r="236">
      <c r="A236" s="60" t="s">
        <v>562</v>
      </c>
      <c r="B236" s="60" t="s">
        <v>563</v>
      </c>
      <c r="C236" s="4" t="s">
        <v>75</v>
      </c>
      <c r="D236" s="4" t="s">
        <v>53</v>
      </c>
      <c r="E236" s="63">
        <v>84.99</v>
      </c>
      <c r="G236" s="5">
        <f t="shared" si="5"/>
        <v>84.99</v>
      </c>
    </row>
    <row r="237">
      <c r="A237" s="60" t="s">
        <v>564</v>
      </c>
      <c r="B237" s="60" t="s">
        <v>565</v>
      </c>
      <c r="C237" s="4" t="s">
        <v>75</v>
      </c>
      <c r="D237" s="4" t="s">
        <v>53</v>
      </c>
      <c r="E237" s="63">
        <v>108.98</v>
      </c>
      <c r="G237" s="5">
        <f t="shared" si="5"/>
        <v>108.98</v>
      </c>
    </row>
    <row r="238">
      <c r="A238" s="60" t="s">
        <v>566</v>
      </c>
      <c r="B238" s="60" t="s">
        <v>567</v>
      </c>
      <c r="C238" s="4" t="s">
        <v>75</v>
      </c>
      <c r="D238" s="4" t="s">
        <v>53</v>
      </c>
      <c r="E238" s="63">
        <v>258.97</v>
      </c>
      <c r="G238" s="5">
        <f t="shared" si="5"/>
        <v>258.97</v>
      </c>
    </row>
    <row r="239">
      <c r="A239" s="60" t="s">
        <v>568</v>
      </c>
      <c r="B239" s="60" t="s">
        <v>569</v>
      </c>
      <c r="C239" s="4" t="s">
        <v>75</v>
      </c>
      <c r="D239" s="4" t="s">
        <v>53</v>
      </c>
      <c r="E239" s="61">
        <v>2277.0</v>
      </c>
      <c r="G239" s="62">
        <f t="shared" si="5"/>
        <v>2277</v>
      </c>
    </row>
    <row r="240">
      <c r="A240" s="60" t="s">
        <v>570</v>
      </c>
      <c r="B240" s="60" t="s">
        <v>571</v>
      </c>
      <c r="C240" s="4" t="s">
        <v>75</v>
      </c>
      <c r="D240" s="4" t="s">
        <v>53</v>
      </c>
      <c r="E240" s="63">
        <v>309.95</v>
      </c>
      <c r="G240" s="5">
        <f t="shared" si="5"/>
        <v>309.95</v>
      </c>
    </row>
    <row r="241">
      <c r="A241" s="60" t="s">
        <v>572</v>
      </c>
      <c r="B241" s="60" t="s">
        <v>573</v>
      </c>
      <c r="C241" s="4" t="s">
        <v>75</v>
      </c>
      <c r="D241" s="4" t="s">
        <v>53</v>
      </c>
      <c r="E241" s="63">
        <v>92.0</v>
      </c>
      <c r="G241" s="5">
        <f t="shared" si="5"/>
        <v>92</v>
      </c>
    </row>
    <row r="242">
      <c r="A242" s="60" t="s">
        <v>574</v>
      </c>
      <c r="B242" s="60" t="s">
        <v>575</v>
      </c>
      <c r="C242" s="4" t="s">
        <v>75</v>
      </c>
      <c r="D242" s="4" t="s">
        <v>53</v>
      </c>
      <c r="E242" s="63">
        <v>108.98</v>
      </c>
      <c r="G242" s="5">
        <f t="shared" si="5"/>
        <v>108.98</v>
      </c>
    </row>
    <row r="243">
      <c r="A243" s="60" t="s">
        <v>576</v>
      </c>
      <c r="B243" s="60" t="s">
        <v>577</v>
      </c>
      <c r="C243" s="4" t="s">
        <v>75</v>
      </c>
      <c r="D243" s="4" t="s">
        <v>53</v>
      </c>
      <c r="E243" s="63">
        <v>241.97</v>
      </c>
      <c r="G243" s="5">
        <f t="shared" si="5"/>
        <v>241.97</v>
      </c>
    </row>
    <row r="244">
      <c r="A244" s="60" t="s">
        <v>578</v>
      </c>
      <c r="B244" s="60" t="s">
        <v>579</v>
      </c>
      <c r="C244" s="4" t="s">
        <v>75</v>
      </c>
      <c r="D244" s="4" t="s">
        <v>53</v>
      </c>
      <c r="E244" s="63">
        <v>183.97</v>
      </c>
      <c r="G244" s="5">
        <f t="shared" si="5"/>
        <v>183.97</v>
      </c>
    </row>
    <row r="245">
      <c r="A245" s="60" t="s">
        <v>580</v>
      </c>
      <c r="B245" s="60" t="s">
        <v>581</v>
      </c>
      <c r="C245" s="4" t="s">
        <v>75</v>
      </c>
      <c r="D245" s="4" t="s">
        <v>53</v>
      </c>
      <c r="E245" s="63">
        <v>159.97</v>
      </c>
      <c r="G245" s="5">
        <f t="shared" si="5"/>
        <v>159.97</v>
      </c>
    </row>
    <row r="246">
      <c r="A246" s="60" t="s">
        <v>582</v>
      </c>
      <c r="B246" s="60" t="s">
        <v>583</v>
      </c>
      <c r="C246" s="4" t="s">
        <v>75</v>
      </c>
      <c r="D246" s="4" t="s">
        <v>53</v>
      </c>
      <c r="E246" s="63">
        <v>108.98</v>
      </c>
      <c r="G246" s="5">
        <f t="shared" si="5"/>
        <v>108.98</v>
      </c>
    </row>
    <row r="247">
      <c r="A247" s="60" t="s">
        <v>584</v>
      </c>
      <c r="B247" s="60" t="s">
        <v>585</v>
      </c>
      <c r="C247" s="4" t="s">
        <v>75</v>
      </c>
      <c r="D247" s="4" t="s">
        <v>53</v>
      </c>
      <c r="E247" s="63">
        <v>562.03</v>
      </c>
      <c r="G247" s="5">
        <f t="shared" si="5"/>
        <v>562.03</v>
      </c>
    </row>
    <row r="248">
      <c r="A248" s="60" t="s">
        <v>586</v>
      </c>
      <c r="B248" s="60" t="s">
        <v>587</v>
      </c>
      <c r="C248" s="4" t="s">
        <v>75</v>
      </c>
      <c r="D248" s="4" t="s">
        <v>53</v>
      </c>
      <c r="E248" s="63">
        <v>562.03</v>
      </c>
      <c r="G248" s="5">
        <f t="shared" si="5"/>
        <v>562.03</v>
      </c>
    </row>
    <row r="249">
      <c r="A249" s="60" t="s">
        <v>588</v>
      </c>
      <c r="B249" s="60" t="s">
        <v>589</v>
      </c>
      <c r="C249" s="4" t="s">
        <v>75</v>
      </c>
      <c r="D249" s="4" t="s">
        <v>53</v>
      </c>
      <c r="E249" s="61">
        <v>7179.04</v>
      </c>
      <c r="G249" s="62">
        <f t="shared" si="5"/>
        <v>7179.04</v>
      </c>
    </row>
    <row r="250">
      <c r="A250" s="60" t="s">
        <v>590</v>
      </c>
      <c r="B250" s="60" t="s">
        <v>591</v>
      </c>
      <c r="C250" s="4" t="s">
        <v>75</v>
      </c>
      <c r="D250" s="4" t="s">
        <v>53</v>
      </c>
      <c r="E250" s="63">
        <v>108.98</v>
      </c>
      <c r="G250" s="5">
        <f t="shared" si="5"/>
        <v>108.98</v>
      </c>
    </row>
    <row r="251">
      <c r="A251" s="60" t="s">
        <v>592</v>
      </c>
      <c r="B251" s="60" t="s">
        <v>593</v>
      </c>
      <c r="C251" s="4" t="s">
        <v>75</v>
      </c>
      <c r="D251" s="4" t="s">
        <v>53</v>
      </c>
      <c r="E251" s="63">
        <v>108.98</v>
      </c>
      <c r="G251" s="5">
        <f t="shared" si="5"/>
        <v>108.98</v>
      </c>
    </row>
    <row r="252">
      <c r="A252" s="60" t="s">
        <v>594</v>
      </c>
      <c r="B252" s="60" t="s">
        <v>595</v>
      </c>
      <c r="C252" s="4" t="s">
        <v>75</v>
      </c>
      <c r="D252" s="4" t="s">
        <v>53</v>
      </c>
      <c r="E252" s="63">
        <v>258.97</v>
      </c>
      <c r="G252" s="5">
        <f t="shared" si="5"/>
        <v>258.97</v>
      </c>
    </row>
    <row r="253">
      <c r="A253" s="60" t="s">
        <v>596</v>
      </c>
      <c r="B253" s="60" t="s">
        <v>597</v>
      </c>
      <c r="C253" s="4" t="s">
        <v>75</v>
      </c>
      <c r="D253" s="4" t="s">
        <v>53</v>
      </c>
      <c r="E253" s="63">
        <v>108.98</v>
      </c>
      <c r="G253" s="5">
        <f t="shared" si="5"/>
        <v>108.98</v>
      </c>
    </row>
    <row r="254">
      <c r="A254" s="60" t="s">
        <v>598</v>
      </c>
      <c r="B254" s="60" t="s">
        <v>599</v>
      </c>
      <c r="C254" s="4" t="s">
        <v>75</v>
      </c>
      <c r="D254" s="4" t="s">
        <v>53</v>
      </c>
      <c r="E254" s="63">
        <v>459.94</v>
      </c>
      <c r="G254" s="5">
        <f t="shared" si="5"/>
        <v>459.94</v>
      </c>
    </row>
    <row r="255">
      <c r="A255" s="60" t="s">
        <v>600</v>
      </c>
      <c r="B255" s="60" t="s">
        <v>601</v>
      </c>
      <c r="C255" s="4" t="s">
        <v>75</v>
      </c>
      <c r="D255" s="4" t="s">
        <v>53</v>
      </c>
      <c r="E255" s="63">
        <v>166.98</v>
      </c>
      <c r="G255" s="5">
        <f t="shared" si="5"/>
        <v>166.98</v>
      </c>
    </row>
    <row r="256">
      <c r="A256" s="60" t="s">
        <v>602</v>
      </c>
      <c r="B256" s="60" t="s">
        <v>603</v>
      </c>
      <c r="C256" s="4" t="s">
        <v>75</v>
      </c>
      <c r="D256" s="4" t="s">
        <v>53</v>
      </c>
      <c r="E256" s="61">
        <v>2350.13</v>
      </c>
      <c r="G256" s="62">
        <f t="shared" si="5"/>
        <v>2350.13</v>
      </c>
    </row>
    <row r="257">
      <c r="A257" s="60" t="s">
        <v>604</v>
      </c>
      <c r="B257" s="60" t="s">
        <v>605</v>
      </c>
      <c r="C257" s="4" t="s">
        <v>75</v>
      </c>
      <c r="D257" s="4" t="s">
        <v>53</v>
      </c>
      <c r="E257" s="63">
        <v>108.98</v>
      </c>
      <c r="G257" s="5">
        <f t="shared" si="5"/>
        <v>108.98</v>
      </c>
    </row>
    <row r="258">
      <c r="A258" s="60" t="s">
        <v>606</v>
      </c>
      <c r="B258" s="60" t="s">
        <v>607</v>
      </c>
      <c r="C258" s="4" t="s">
        <v>75</v>
      </c>
      <c r="D258" s="4" t="s">
        <v>53</v>
      </c>
      <c r="E258" s="61">
        <v>1736.01</v>
      </c>
      <c r="G258" s="62">
        <f t="shared" si="5"/>
        <v>1736.01</v>
      </c>
    </row>
    <row r="259">
      <c r="A259" s="60" t="s">
        <v>608</v>
      </c>
      <c r="B259" s="60" t="s">
        <v>609</v>
      </c>
      <c r="C259" s="4" t="s">
        <v>75</v>
      </c>
      <c r="D259" s="4" t="s">
        <v>53</v>
      </c>
      <c r="E259" s="63">
        <v>109.0</v>
      </c>
      <c r="G259" s="5">
        <f t="shared" si="5"/>
        <v>109</v>
      </c>
    </row>
    <row r="260">
      <c r="A260" s="60" t="s">
        <v>610</v>
      </c>
      <c r="B260" s="60" t="s">
        <v>611</v>
      </c>
      <c r="C260" s="4" t="s">
        <v>75</v>
      </c>
      <c r="D260" s="4" t="s">
        <v>53</v>
      </c>
      <c r="E260" s="63">
        <v>598.0</v>
      </c>
      <c r="G260" s="5">
        <f t="shared" si="5"/>
        <v>598</v>
      </c>
    </row>
    <row r="261">
      <c r="A261" s="60" t="s">
        <v>612</v>
      </c>
      <c r="B261" s="60" t="s">
        <v>613</v>
      </c>
      <c r="C261" s="4" t="s">
        <v>75</v>
      </c>
      <c r="D261" s="4" t="s">
        <v>53</v>
      </c>
      <c r="E261" s="61">
        <v>1000.25</v>
      </c>
      <c r="G261" s="62">
        <f t="shared" si="5"/>
        <v>1000.25</v>
      </c>
    </row>
    <row r="262">
      <c r="A262" s="60" t="s">
        <v>614</v>
      </c>
      <c r="B262" s="60" t="s">
        <v>615</v>
      </c>
      <c r="C262" s="4" t="s">
        <v>75</v>
      </c>
      <c r="D262" s="4" t="s">
        <v>53</v>
      </c>
      <c r="E262" s="63">
        <v>183.98</v>
      </c>
      <c r="G262" s="5">
        <f t="shared" si="5"/>
        <v>183.98</v>
      </c>
    </row>
    <row r="263">
      <c r="A263" s="60" t="s">
        <v>616</v>
      </c>
      <c r="B263" s="60" t="s">
        <v>617</v>
      </c>
      <c r="C263" s="4" t="s">
        <v>75</v>
      </c>
      <c r="D263" s="4" t="s">
        <v>53</v>
      </c>
      <c r="E263" s="63">
        <v>108.98</v>
      </c>
      <c r="G263" s="5">
        <f t="shared" si="5"/>
        <v>108.98</v>
      </c>
    </row>
    <row r="264">
      <c r="A264" s="60" t="s">
        <v>618</v>
      </c>
      <c r="B264" s="60" t="s">
        <v>619</v>
      </c>
      <c r="C264" s="4" t="s">
        <v>75</v>
      </c>
      <c r="D264" s="4" t="s">
        <v>53</v>
      </c>
      <c r="E264" s="63">
        <v>200.98</v>
      </c>
      <c r="G264" s="5">
        <f t="shared" si="5"/>
        <v>200.98</v>
      </c>
    </row>
    <row r="265">
      <c r="A265" s="60" t="s">
        <v>620</v>
      </c>
      <c r="B265" s="60" t="s">
        <v>621</v>
      </c>
      <c r="C265" s="4" t="s">
        <v>75</v>
      </c>
      <c r="D265" s="4" t="s">
        <v>53</v>
      </c>
      <c r="E265" s="63">
        <v>354.95</v>
      </c>
      <c r="G265" s="5">
        <f t="shared" si="5"/>
        <v>354.95</v>
      </c>
    </row>
    <row r="266">
      <c r="A266" s="60" t="s">
        <v>622</v>
      </c>
      <c r="B266" s="60" t="s">
        <v>623</v>
      </c>
      <c r="C266" s="4" t="s">
        <v>75</v>
      </c>
      <c r="D266" s="4" t="s">
        <v>53</v>
      </c>
      <c r="E266" s="63">
        <v>217.97</v>
      </c>
      <c r="G266" s="5">
        <f t="shared" si="5"/>
        <v>217.97</v>
      </c>
    </row>
    <row r="267">
      <c r="A267" s="60" t="s">
        <v>624</v>
      </c>
      <c r="B267" s="60" t="s">
        <v>625</v>
      </c>
      <c r="C267" s="4" t="s">
        <v>75</v>
      </c>
      <c r="D267" s="4" t="s">
        <v>53</v>
      </c>
      <c r="E267" s="61">
        <v>1125.06</v>
      </c>
      <c r="G267" s="62">
        <f t="shared" si="5"/>
        <v>1125.06</v>
      </c>
    </row>
    <row r="268">
      <c r="A268" s="60" t="s">
        <v>626</v>
      </c>
      <c r="B268" s="60" t="s">
        <v>627</v>
      </c>
      <c r="C268" s="4" t="s">
        <v>75</v>
      </c>
      <c r="D268" s="4" t="s">
        <v>53</v>
      </c>
      <c r="E268" s="63">
        <v>84.98</v>
      </c>
      <c r="G268" s="5">
        <f t="shared" si="5"/>
        <v>84.98</v>
      </c>
    </row>
    <row r="269">
      <c r="A269" s="60" t="s">
        <v>628</v>
      </c>
      <c r="B269" s="60" t="s">
        <v>629</v>
      </c>
      <c r="C269" s="4" t="s">
        <v>75</v>
      </c>
      <c r="D269" s="4" t="s">
        <v>53</v>
      </c>
      <c r="E269" s="63">
        <v>149.98</v>
      </c>
      <c r="G269" s="5">
        <f t="shared" si="5"/>
        <v>149.98</v>
      </c>
    </row>
    <row r="270">
      <c r="A270" s="60" t="s">
        <v>630</v>
      </c>
      <c r="B270" s="60" t="s">
        <v>631</v>
      </c>
      <c r="C270" s="4" t="s">
        <v>75</v>
      </c>
      <c r="D270" s="4" t="s">
        <v>53</v>
      </c>
      <c r="E270" s="61">
        <v>1511.21</v>
      </c>
      <c r="G270" s="62">
        <f t="shared" si="5"/>
        <v>1511.21</v>
      </c>
    </row>
    <row r="271">
      <c r="A271" s="60" t="s">
        <v>632</v>
      </c>
      <c r="B271" s="60" t="s">
        <v>633</v>
      </c>
      <c r="C271" s="4" t="s">
        <v>75</v>
      </c>
      <c r="D271" s="4" t="s">
        <v>53</v>
      </c>
      <c r="E271" s="61">
        <v>7669.16</v>
      </c>
      <c r="G271" s="62">
        <f t="shared" si="5"/>
        <v>7669.16</v>
      </c>
    </row>
    <row r="272">
      <c r="A272" s="60" t="s">
        <v>634</v>
      </c>
      <c r="B272" s="60" t="s">
        <v>635</v>
      </c>
      <c r="C272" s="4" t="s">
        <v>75</v>
      </c>
      <c r="D272" s="4" t="s">
        <v>53</v>
      </c>
      <c r="E272" s="63">
        <v>108.98</v>
      </c>
      <c r="G272" s="5">
        <f t="shared" si="5"/>
        <v>108.98</v>
      </c>
    </row>
    <row r="273">
      <c r="A273" s="60" t="s">
        <v>636</v>
      </c>
      <c r="B273" s="60" t="s">
        <v>637</v>
      </c>
      <c r="C273" s="4" t="s">
        <v>75</v>
      </c>
      <c r="D273" s="4" t="s">
        <v>53</v>
      </c>
      <c r="E273" s="63">
        <v>275.96</v>
      </c>
      <c r="G273" s="5">
        <f t="shared" si="5"/>
        <v>275.96</v>
      </c>
    </row>
    <row r="274">
      <c r="A274" s="60" t="s">
        <v>638</v>
      </c>
      <c r="B274" s="60" t="s">
        <v>639</v>
      </c>
      <c r="C274" s="4" t="s">
        <v>75</v>
      </c>
      <c r="D274" s="4" t="s">
        <v>53</v>
      </c>
      <c r="E274" s="61">
        <v>4495.83</v>
      </c>
      <c r="G274" s="62">
        <f t="shared" si="5"/>
        <v>4495.83</v>
      </c>
    </row>
    <row r="275">
      <c r="A275" s="60" t="s">
        <v>640</v>
      </c>
      <c r="B275" s="60" t="s">
        <v>641</v>
      </c>
      <c r="C275" s="4" t="s">
        <v>75</v>
      </c>
      <c r="D275" s="4" t="s">
        <v>53</v>
      </c>
      <c r="E275" s="61">
        <v>2480.84</v>
      </c>
      <c r="G275" s="62">
        <f t="shared" si="5"/>
        <v>2480.84</v>
      </c>
    </row>
    <row r="276">
      <c r="A276" s="60" t="s">
        <v>642</v>
      </c>
      <c r="B276" s="60" t="s">
        <v>643</v>
      </c>
      <c r="C276" s="4" t="s">
        <v>75</v>
      </c>
      <c r="D276" s="4" t="s">
        <v>53</v>
      </c>
      <c r="E276" s="61">
        <v>1734.68</v>
      </c>
      <c r="G276" s="62">
        <f t="shared" si="5"/>
        <v>1734.68</v>
      </c>
    </row>
    <row r="277">
      <c r="A277" s="60" t="s">
        <v>644</v>
      </c>
      <c r="B277" s="60" t="s">
        <v>645</v>
      </c>
      <c r="C277" s="4" t="s">
        <v>75</v>
      </c>
      <c r="D277" s="4" t="s">
        <v>53</v>
      </c>
      <c r="E277" s="61">
        <v>3767.2</v>
      </c>
      <c r="G277" s="62">
        <f t="shared" si="5"/>
        <v>3767.2</v>
      </c>
    </row>
    <row r="278">
      <c r="A278" s="60" t="s">
        <v>646</v>
      </c>
      <c r="B278" s="60" t="s">
        <v>647</v>
      </c>
      <c r="C278" s="4" t="s">
        <v>75</v>
      </c>
      <c r="D278" s="4" t="s">
        <v>53</v>
      </c>
      <c r="E278" s="63">
        <v>275.96</v>
      </c>
      <c r="G278" s="5">
        <f t="shared" si="5"/>
        <v>275.96</v>
      </c>
    </row>
    <row r="279">
      <c r="A279" s="60" t="s">
        <v>648</v>
      </c>
      <c r="B279" s="60" t="s">
        <v>649</v>
      </c>
      <c r="C279" s="4" t="s">
        <v>75</v>
      </c>
      <c r="D279" s="4" t="s">
        <v>53</v>
      </c>
      <c r="E279" s="61">
        <v>1917.15</v>
      </c>
      <c r="G279" s="62">
        <f t="shared" si="5"/>
        <v>1917.15</v>
      </c>
    </row>
    <row r="280">
      <c r="A280" s="60" t="s">
        <v>650</v>
      </c>
      <c r="B280" s="60" t="s">
        <v>651</v>
      </c>
      <c r="C280" s="4" t="s">
        <v>75</v>
      </c>
      <c r="D280" s="4" t="s">
        <v>53</v>
      </c>
      <c r="E280" s="63">
        <v>299.97</v>
      </c>
      <c r="G280" s="5">
        <f t="shared" si="5"/>
        <v>299.97</v>
      </c>
    </row>
    <row r="281">
      <c r="A281" s="60" t="s">
        <v>652</v>
      </c>
      <c r="B281" s="60" t="s">
        <v>653</v>
      </c>
      <c r="C281" s="4" t="s">
        <v>75</v>
      </c>
      <c r="D281" s="4" t="s">
        <v>53</v>
      </c>
      <c r="E281" s="63">
        <v>275.96</v>
      </c>
      <c r="G281" s="5">
        <f t="shared" si="5"/>
        <v>275.96</v>
      </c>
    </row>
    <row r="282">
      <c r="A282" s="60" t="s">
        <v>654</v>
      </c>
      <c r="B282" s="60" t="s">
        <v>655</v>
      </c>
      <c r="C282" s="4" t="s">
        <v>75</v>
      </c>
      <c r="D282" s="4" t="s">
        <v>53</v>
      </c>
      <c r="E282" s="63">
        <v>108.98</v>
      </c>
      <c r="G282" s="5">
        <f t="shared" si="5"/>
        <v>108.98</v>
      </c>
    </row>
    <row r="283">
      <c r="A283" s="60" t="s">
        <v>656</v>
      </c>
      <c r="B283" s="60" t="s">
        <v>657</v>
      </c>
      <c r="C283" s="4" t="s">
        <v>75</v>
      </c>
      <c r="D283" s="4" t="s">
        <v>53</v>
      </c>
      <c r="E283" s="63">
        <v>108.98</v>
      </c>
      <c r="G283" s="5">
        <f t="shared" si="5"/>
        <v>108.98</v>
      </c>
    </row>
    <row r="284">
      <c r="A284" s="60" t="s">
        <v>658</v>
      </c>
      <c r="B284" s="60" t="s">
        <v>659</v>
      </c>
      <c r="C284" s="4" t="s">
        <v>75</v>
      </c>
      <c r="D284" s="4" t="s">
        <v>53</v>
      </c>
      <c r="E284" s="63">
        <v>125.97</v>
      </c>
      <c r="G284" s="5">
        <f t="shared" si="5"/>
        <v>125.97</v>
      </c>
    </row>
    <row r="285">
      <c r="A285" s="60" t="s">
        <v>660</v>
      </c>
      <c r="B285" s="60" t="s">
        <v>661</v>
      </c>
      <c r="C285" s="4" t="s">
        <v>75</v>
      </c>
      <c r="D285" s="4" t="s">
        <v>53</v>
      </c>
      <c r="E285" s="61">
        <v>1092.68</v>
      </c>
      <c r="G285" s="62">
        <f t="shared" si="5"/>
        <v>1092.68</v>
      </c>
    </row>
    <row r="286">
      <c r="A286" s="60" t="s">
        <v>662</v>
      </c>
      <c r="B286" s="60" t="s">
        <v>663</v>
      </c>
      <c r="C286" s="4" t="s">
        <v>75</v>
      </c>
      <c r="D286" s="4" t="s">
        <v>53</v>
      </c>
      <c r="E286" s="63">
        <v>67.99</v>
      </c>
      <c r="G286" s="5">
        <f t="shared" si="5"/>
        <v>67.99</v>
      </c>
    </row>
    <row r="287">
      <c r="A287" s="60" t="s">
        <v>664</v>
      </c>
      <c r="B287" s="60" t="s">
        <v>665</v>
      </c>
      <c r="C287" s="4" t="s">
        <v>75</v>
      </c>
      <c r="D287" s="4" t="s">
        <v>53</v>
      </c>
      <c r="E287" s="63">
        <v>67.99</v>
      </c>
      <c r="G287" s="5">
        <f t="shared" si="5"/>
        <v>67.99</v>
      </c>
    </row>
    <row r="288">
      <c r="A288" s="60" t="s">
        <v>666</v>
      </c>
      <c r="B288" s="60" t="s">
        <v>667</v>
      </c>
      <c r="C288" s="4" t="s">
        <v>75</v>
      </c>
      <c r="D288" s="4" t="s">
        <v>53</v>
      </c>
      <c r="E288" s="63">
        <v>128.62</v>
      </c>
      <c r="G288" s="5">
        <f t="shared" si="5"/>
        <v>128.62</v>
      </c>
    </row>
    <row r="289">
      <c r="A289" s="60" t="s">
        <v>668</v>
      </c>
      <c r="B289" s="60" t="s">
        <v>669</v>
      </c>
      <c r="C289" s="4" t="s">
        <v>75</v>
      </c>
      <c r="D289" s="4" t="s">
        <v>53</v>
      </c>
      <c r="E289" s="63">
        <v>828.48</v>
      </c>
      <c r="G289" s="5">
        <f t="shared" si="5"/>
        <v>828.48</v>
      </c>
    </row>
    <row r="290">
      <c r="A290" s="60" t="s">
        <v>670</v>
      </c>
      <c r="B290" s="60" t="s">
        <v>671</v>
      </c>
      <c r="C290" s="4" t="s">
        <v>75</v>
      </c>
      <c r="D290" s="4" t="s">
        <v>53</v>
      </c>
      <c r="E290" s="63">
        <v>758.92</v>
      </c>
      <c r="G290" s="5">
        <f t="shared" si="5"/>
        <v>758.92</v>
      </c>
    </row>
    <row r="291">
      <c r="A291" s="60" t="s">
        <v>672</v>
      </c>
      <c r="B291" s="60" t="s">
        <v>673</v>
      </c>
      <c r="C291" s="4" t="s">
        <v>75</v>
      </c>
      <c r="D291" s="4" t="s">
        <v>53</v>
      </c>
      <c r="E291" s="63">
        <v>330.77</v>
      </c>
      <c r="G291" s="5">
        <f t="shared" si="5"/>
        <v>330.77</v>
      </c>
    </row>
    <row r="292">
      <c r="A292" s="60" t="s">
        <v>674</v>
      </c>
      <c r="B292" s="60" t="s">
        <v>675</v>
      </c>
      <c r="C292" s="4" t="s">
        <v>75</v>
      </c>
      <c r="D292" s="4" t="s">
        <v>53</v>
      </c>
      <c r="E292" s="63">
        <v>149.98</v>
      </c>
      <c r="G292" s="5">
        <f t="shared" si="5"/>
        <v>149.98</v>
      </c>
    </row>
    <row r="293">
      <c r="A293" s="60" t="s">
        <v>676</v>
      </c>
      <c r="B293" s="60" t="s">
        <v>677</v>
      </c>
      <c r="C293" s="4" t="s">
        <v>75</v>
      </c>
      <c r="D293" s="4" t="s">
        <v>53</v>
      </c>
      <c r="E293" s="61">
        <v>1698.55</v>
      </c>
      <c r="G293" s="62">
        <f t="shared" si="5"/>
        <v>1698.55</v>
      </c>
    </row>
    <row r="294">
      <c r="A294" s="60" t="s">
        <v>678</v>
      </c>
      <c r="B294" s="60" t="s">
        <v>679</v>
      </c>
      <c r="C294" s="4" t="s">
        <v>75</v>
      </c>
      <c r="D294" s="4" t="s">
        <v>53</v>
      </c>
      <c r="E294" s="63">
        <v>391.95</v>
      </c>
      <c r="G294" s="5">
        <f t="shared" si="5"/>
        <v>391.95</v>
      </c>
    </row>
    <row r="295">
      <c r="A295" s="60" t="s">
        <v>680</v>
      </c>
      <c r="B295" s="60" t="s">
        <v>681</v>
      </c>
      <c r="C295" s="4" t="s">
        <v>75</v>
      </c>
      <c r="D295" s="4" t="s">
        <v>53</v>
      </c>
      <c r="E295" s="63">
        <v>166.98</v>
      </c>
      <c r="G295" s="5">
        <f t="shared" si="5"/>
        <v>166.98</v>
      </c>
    </row>
    <row r="296">
      <c r="A296" s="60" t="s">
        <v>682</v>
      </c>
      <c r="B296" s="60" t="s">
        <v>683</v>
      </c>
      <c r="C296" s="4" t="s">
        <v>75</v>
      </c>
      <c r="D296" s="4" t="s">
        <v>53</v>
      </c>
      <c r="E296" s="61">
        <v>4693.03</v>
      </c>
      <c r="G296" s="62">
        <f t="shared" si="5"/>
        <v>4693.03</v>
      </c>
    </row>
    <row r="297">
      <c r="A297" s="60" t="s">
        <v>684</v>
      </c>
      <c r="B297" s="60" t="s">
        <v>685</v>
      </c>
      <c r="C297" s="4" t="s">
        <v>75</v>
      </c>
      <c r="D297" s="4" t="s">
        <v>53</v>
      </c>
      <c r="E297" s="63">
        <v>640.93</v>
      </c>
      <c r="G297" s="5">
        <f t="shared" si="5"/>
        <v>640.93</v>
      </c>
    </row>
    <row r="298">
      <c r="A298" s="60" t="s">
        <v>686</v>
      </c>
      <c r="B298" s="60" t="s">
        <v>687</v>
      </c>
      <c r="C298" s="4" t="s">
        <v>75</v>
      </c>
      <c r="D298" s="4" t="s">
        <v>53</v>
      </c>
      <c r="E298" s="63">
        <v>711.91</v>
      </c>
      <c r="G298" s="5">
        <f t="shared" si="5"/>
        <v>711.91</v>
      </c>
    </row>
    <row r="299">
      <c r="A299" s="60" t="s">
        <v>688</v>
      </c>
      <c r="B299" s="60" t="s">
        <v>689</v>
      </c>
      <c r="C299" s="4" t="s">
        <v>75</v>
      </c>
      <c r="D299" s="4" t="s">
        <v>53</v>
      </c>
      <c r="E299" s="63">
        <v>425.95</v>
      </c>
      <c r="G299" s="5">
        <f t="shared" si="5"/>
        <v>425.95</v>
      </c>
    </row>
    <row r="300">
      <c r="A300" s="60" t="s">
        <v>690</v>
      </c>
      <c r="B300" s="60" t="s">
        <v>691</v>
      </c>
      <c r="C300" s="4" t="s">
        <v>75</v>
      </c>
      <c r="D300" s="4" t="s">
        <v>53</v>
      </c>
      <c r="E300" s="63">
        <v>108.98</v>
      </c>
      <c r="G300" s="5">
        <f t="shared" si="5"/>
        <v>108.98</v>
      </c>
    </row>
    <row r="301">
      <c r="A301" s="60" t="s">
        <v>692</v>
      </c>
      <c r="B301" s="60" t="s">
        <v>693</v>
      </c>
      <c r="C301" s="4" t="s">
        <v>75</v>
      </c>
      <c r="D301" s="4" t="s">
        <v>53</v>
      </c>
      <c r="E301" s="63">
        <v>91.98</v>
      </c>
      <c r="G301" s="5">
        <f t="shared" si="5"/>
        <v>91.98</v>
      </c>
    </row>
    <row r="302">
      <c r="A302" s="60" t="s">
        <v>694</v>
      </c>
      <c r="B302" s="60" t="s">
        <v>695</v>
      </c>
      <c r="C302" s="4" t="s">
        <v>75</v>
      </c>
      <c r="D302" s="4" t="s">
        <v>53</v>
      </c>
      <c r="E302" s="61">
        <v>3173.16</v>
      </c>
      <c r="G302" s="62">
        <f t="shared" si="5"/>
        <v>3173.16</v>
      </c>
    </row>
    <row r="303">
      <c r="A303" s="60" t="s">
        <v>696</v>
      </c>
      <c r="B303" s="60" t="s">
        <v>697</v>
      </c>
      <c r="C303" s="4" t="s">
        <v>84</v>
      </c>
      <c r="D303" s="4" t="s">
        <v>58</v>
      </c>
      <c r="E303" s="61">
        <v>1620.0</v>
      </c>
      <c r="G303" s="62">
        <f t="shared" si="5"/>
        <v>1620</v>
      </c>
    </row>
    <row r="304">
      <c r="A304" s="60" t="s">
        <v>698</v>
      </c>
      <c r="B304" s="60" t="s">
        <v>699</v>
      </c>
      <c r="C304" s="4" t="s">
        <v>84</v>
      </c>
      <c r="D304" s="4" t="s">
        <v>58</v>
      </c>
      <c r="E304" s="63">
        <v>222.0</v>
      </c>
      <c r="G304" s="5">
        <f t="shared" si="5"/>
        <v>222</v>
      </c>
    </row>
    <row r="305">
      <c r="A305" s="60" t="s">
        <v>700</v>
      </c>
      <c r="B305" s="60" t="s">
        <v>701</v>
      </c>
      <c r="C305" s="4" t="s">
        <v>84</v>
      </c>
      <c r="D305" s="4" t="s">
        <v>58</v>
      </c>
      <c r="E305" s="63">
        <v>754.21</v>
      </c>
      <c r="G305" s="5">
        <f t="shared" si="5"/>
        <v>754.21</v>
      </c>
    </row>
    <row r="306">
      <c r="A306" s="60" t="s">
        <v>702</v>
      </c>
      <c r="B306" s="60" t="s">
        <v>703</v>
      </c>
      <c r="C306" s="4" t="s">
        <v>84</v>
      </c>
      <c r="D306" s="4" t="s">
        <v>58</v>
      </c>
      <c r="E306" s="61">
        <v>1999.75</v>
      </c>
      <c r="G306" s="62">
        <f t="shared" si="5"/>
        <v>1999.75</v>
      </c>
    </row>
    <row r="307">
      <c r="A307" s="60" t="s">
        <v>704</v>
      </c>
      <c r="B307" s="60" t="s">
        <v>705</v>
      </c>
      <c r="C307" s="4" t="s">
        <v>84</v>
      </c>
      <c r="D307" s="4" t="s">
        <v>58</v>
      </c>
      <c r="E307" s="63">
        <v>630.0</v>
      </c>
      <c r="G307" s="5">
        <f t="shared" si="5"/>
        <v>630</v>
      </c>
    </row>
    <row r="308">
      <c r="A308" s="60" t="s">
        <v>706</v>
      </c>
      <c r="B308" s="60" t="s">
        <v>707</v>
      </c>
      <c r="C308" s="4" t="s">
        <v>84</v>
      </c>
      <c r="D308" s="4" t="s">
        <v>58</v>
      </c>
      <c r="E308" s="61">
        <v>2520.6</v>
      </c>
      <c r="G308" s="62">
        <f t="shared" si="5"/>
        <v>2520.6</v>
      </c>
    </row>
    <row r="309">
      <c r="A309" s="60" t="s">
        <v>708</v>
      </c>
      <c r="B309" s="60" t="s">
        <v>709</v>
      </c>
      <c r="C309" s="4" t="s">
        <v>84</v>
      </c>
      <c r="D309" s="4" t="s">
        <v>58</v>
      </c>
      <c r="E309" s="63">
        <v>822.0</v>
      </c>
      <c r="G309" s="5">
        <f t="shared" si="5"/>
        <v>822</v>
      </c>
    </row>
    <row r="310">
      <c r="A310" s="60" t="s">
        <v>710</v>
      </c>
      <c r="B310" s="60" t="s">
        <v>711</v>
      </c>
      <c r="C310" s="4" t="s">
        <v>84</v>
      </c>
      <c r="D310" s="4" t="s">
        <v>58</v>
      </c>
      <c r="E310" s="61">
        <v>1733.93</v>
      </c>
      <c r="G310" s="62">
        <f t="shared" si="5"/>
        <v>1733.93</v>
      </c>
    </row>
    <row r="311">
      <c r="A311" s="60" t="s">
        <v>712</v>
      </c>
      <c r="B311" s="60" t="s">
        <v>713</v>
      </c>
      <c r="C311" s="4" t="s">
        <v>84</v>
      </c>
      <c r="D311" s="4" t="s">
        <v>58</v>
      </c>
      <c r="E311" s="61">
        <v>4714.0</v>
      </c>
      <c r="G311" s="62">
        <f t="shared" si="5"/>
        <v>4714</v>
      </c>
    </row>
    <row r="312">
      <c r="A312" s="60" t="s">
        <v>714</v>
      </c>
      <c r="B312" s="60" t="s">
        <v>715</v>
      </c>
      <c r="C312" s="4" t="s">
        <v>85</v>
      </c>
      <c r="D312" s="4" t="s">
        <v>51</v>
      </c>
      <c r="E312" s="63">
        <v>446.01</v>
      </c>
      <c r="G312" s="5">
        <f t="shared" si="5"/>
        <v>446.01</v>
      </c>
    </row>
    <row r="313">
      <c r="A313" s="60" t="s">
        <v>716</v>
      </c>
      <c r="B313" s="60" t="s">
        <v>717</v>
      </c>
      <c r="C313" s="4" t="s">
        <v>85</v>
      </c>
      <c r="D313" s="4" t="s">
        <v>51</v>
      </c>
      <c r="E313" s="63">
        <v>460.03</v>
      </c>
      <c r="G313" s="5">
        <f t="shared" si="5"/>
        <v>460.03</v>
      </c>
    </row>
    <row r="314">
      <c r="A314" s="60" t="s">
        <v>718</v>
      </c>
      <c r="B314" s="60" t="s">
        <v>719</v>
      </c>
      <c r="C314" s="4" t="s">
        <v>85</v>
      </c>
      <c r="D314" s="4" t="s">
        <v>51</v>
      </c>
      <c r="E314" s="63">
        <v>-0.01</v>
      </c>
      <c r="G314" s="5">
        <f t="shared" si="5"/>
        <v>-0.01</v>
      </c>
    </row>
    <row r="315">
      <c r="A315" s="60" t="s">
        <v>720</v>
      </c>
      <c r="B315" s="60" t="s">
        <v>721</v>
      </c>
      <c r="C315" s="4" t="s">
        <v>85</v>
      </c>
      <c r="D315" s="4" t="s">
        <v>51</v>
      </c>
      <c r="E315" s="63">
        <v>1258.01</v>
      </c>
      <c r="G315" s="5">
        <f t="shared" si="5"/>
        <v>1258.01</v>
      </c>
    </row>
    <row r="316">
      <c r="A316" s="60" t="s">
        <v>722</v>
      </c>
      <c r="B316" s="60" t="s">
        <v>723</v>
      </c>
      <c r="C316" s="4" t="s">
        <v>85</v>
      </c>
      <c r="D316" s="4" t="s">
        <v>51</v>
      </c>
      <c r="E316" s="63">
        <v>664.38</v>
      </c>
      <c r="G316" s="5">
        <f t="shared" si="5"/>
        <v>664.38</v>
      </c>
    </row>
    <row r="317">
      <c r="A317" s="60" t="s">
        <v>724</v>
      </c>
      <c r="B317" s="60" t="s">
        <v>725</v>
      </c>
      <c r="C317" s="4" t="s">
        <v>85</v>
      </c>
      <c r="D317" s="4" t="s">
        <v>51</v>
      </c>
      <c r="E317" s="63">
        <v>183.98</v>
      </c>
      <c r="G317" s="5">
        <f t="shared" si="5"/>
        <v>183.98</v>
      </c>
    </row>
    <row r="318">
      <c r="A318" s="60" t="s">
        <v>726</v>
      </c>
      <c r="B318" s="60" t="s">
        <v>727</v>
      </c>
      <c r="C318" s="4" t="s">
        <v>85</v>
      </c>
      <c r="D318" s="4" t="s">
        <v>51</v>
      </c>
      <c r="E318" s="63">
        <v>210.98</v>
      </c>
      <c r="G318" s="5">
        <f t="shared" si="5"/>
        <v>210.98</v>
      </c>
    </row>
    <row r="319">
      <c r="A319" s="60" t="s">
        <v>728</v>
      </c>
      <c r="B319" s="60" t="s">
        <v>729</v>
      </c>
      <c r="C319" s="4" t="s">
        <v>85</v>
      </c>
      <c r="D319" s="4" t="s">
        <v>51</v>
      </c>
      <c r="E319" s="63">
        <v>183.02</v>
      </c>
      <c r="G319" s="5">
        <f t="shared" si="5"/>
        <v>183.02</v>
      </c>
    </row>
    <row r="320">
      <c r="A320" s="60" t="s">
        <v>730</v>
      </c>
      <c r="B320" s="60" t="s">
        <v>731</v>
      </c>
      <c r="C320" s="4" t="s">
        <v>85</v>
      </c>
      <c r="D320" s="4" t="s">
        <v>51</v>
      </c>
      <c r="E320" s="63">
        <v>101.98</v>
      </c>
      <c r="G320" s="5">
        <f t="shared" si="5"/>
        <v>101.98</v>
      </c>
    </row>
    <row r="321">
      <c r="A321" s="60" t="s">
        <v>732</v>
      </c>
      <c r="B321" s="60" t="s">
        <v>733</v>
      </c>
      <c r="C321" s="4" t="s">
        <v>85</v>
      </c>
      <c r="D321" s="4" t="s">
        <v>51</v>
      </c>
      <c r="E321" s="63">
        <v>177.01</v>
      </c>
      <c r="G321" s="5">
        <f t="shared" si="5"/>
        <v>177.01</v>
      </c>
    </row>
    <row r="322">
      <c r="A322" s="60" t="s">
        <v>734</v>
      </c>
      <c r="B322" s="60" t="s">
        <v>735</v>
      </c>
      <c r="C322" s="4" t="s">
        <v>85</v>
      </c>
      <c r="D322" s="4" t="s">
        <v>51</v>
      </c>
      <c r="E322" s="63">
        <v>264.95</v>
      </c>
      <c r="G322" s="5">
        <f t="shared" si="5"/>
        <v>264.95</v>
      </c>
    </row>
    <row r="323">
      <c r="A323" s="60" t="s">
        <v>736</v>
      </c>
      <c r="B323" s="60" t="s">
        <v>737</v>
      </c>
      <c r="C323" s="4" t="s">
        <v>85</v>
      </c>
      <c r="D323" s="4" t="s">
        <v>51</v>
      </c>
      <c r="E323" s="63">
        <v>735.35</v>
      </c>
      <c r="G323" s="5">
        <f t="shared" si="5"/>
        <v>735.35</v>
      </c>
    </row>
    <row r="324">
      <c r="A324" s="60" t="s">
        <v>738</v>
      </c>
      <c r="B324" s="60" t="s">
        <v>739</v>
      </c>
      <c r="C324" s="4" t="s">
        <v>85</v>
      </c>
      <c r="D324" s="4" t="s">
        <v>51</v>
      </c>
      <c r="E324" s="63">
        <v>91.98</v>
      </c>
      <c r="G324" s="5">
        <f t="shared" si="5"/>
        <v>91.98</v>
      </c>
    </row>
    <row r="325">
      <c r="A325" s="60" t="s">
        <v>740</v>
      </c>
      <c r="B325" s="60" t="s">
        <v>741</v>
      </c>
      <c r="C325" s="4" t="s">
        <v>85</v>
      </c>
      <c r="D325" s="4" t="s">
        <v>51</v>
      </c>
      <c r="E325" s="63">
        <v>817.02</v>
      </c>
      <c r="G325" s="5">
        <f t="shared" si="5"/>
        <v>817.02</v>
      </c>
    </row>
    <row r="326">
      <c r="A326" s="60" t="s">
        <v>742</v>
      </c>
      <c r="B326" s="60" t="s">
        <v>743</v>
      </c>
      <c r="C326" s="4" t="s">
        <v>85</v>
      </c>
      <c r="D326" s="4" t="s">
        <v>51</v>
      </c>
      <c r="E326" s="63">
        <v>480.0</v>
      </c>
      <c r="G326" s="5">
        <f t="shared" si="5"/>
        <v>480</v>
      </c>
    </row>
    <row r="327">
      <c r="A327" s="60" t="s">
        <v>744</v>
      </c>
      <c r="B327" s="60" t="s">
        <v>745</v>
      </c>
      <c r="C327" s="4" t="s">
        <v>85</v>
      </c>
      <c r="D327" s="4" t="s">
        <v>51</v>
      </c>
      <c r="E327" s="63">
        <v>600.03</v>
      </c>
      <c r="G327" s="5">
        <f t="shared" si="5"/>
        <v>600.03</v>
      </c>
    </row>
    <row r="328">
      <c r="A328" s="60" t="s">
        <v>746</v>
      </c>
      <c r="B328" s="60" t="s">
        <v>747</v>
      </c>
      <c r="C328" s="4" t="s">
        <v>85</v>
      </c>
      <c r="D328" s="4" t="s">
        <v>51</v>
      </c>
      <c r="E328" s="63">
        <v>1022.05</v>
      </c>
      <c r="G328" s="5">
        <f t="shared" si="5"/>
        <v>1022.05</v>
      </c>
    </row>
    <row r="329">
      <c r="A329" s="60" t="s">
        <v>748</v>
      </c>
      <c r="B329" s="60" t="s">
        <v>749</v>
      </c>
      <c r="C329" s="4" t="s">
        <v>85</v>
      </c>
      <c r="D329" s="4" t="s">
        <v>51</v>
      </c>
      <c r="E329" s="63">
        <v>277.0</v>
      </c>
      <c r="G329" s="5">
        <f t="shared" si="5"/>
        <v>277</v>
      </c>
    </row>
    <row r="330">
      <c r="A330" s="60" t="s">
        <v>750</v>
      </c>
      <c r="B330" s="60" t="s">
        <v>751</v>
      </c>
      <c r="C330" s="4" t="s">
        <v>85</v>
      </c>
      <c r="D330" s="4" t="s">
        <v>51</v>
      </c>
      <c r="E330" s="63">
        <v>159.97</v>
      </c>
      <c r="G330" s="5">
        <f t="shared" si="5"/>
        <v>159.97</v>
      </c>
    </row>
    <row r="331">
      <c r="A331" s="60" t="s">
        <v>752</v>
      </c>
      <c r="B331" s="60" t="s">
        <v>753</v>
      </c>
      <c r="C331" s="4" t="s">
        <v>85</v>
      </c>
      <c r="D331" s="4" t="s">
        <v>51</v>
      </c>
      <c r="E331" s="63">
        <v>2730.22</v>
      </c>
      <c r="G331" s="5">
        <f t="shared" si="5"/>
        <v>2730.22</v>
      </c>
    </row>
    <row r="332">
      <c r="A332" s="60" t="s">
        <v>754</v>
      </c>
      <c r="B332" s="60" t="s">
        <v>755</v>
      </c>
      <c r="C332" s="4" t="s">
        <v>85</v>
      </c>
      <c r="D332" s="4" t="s">
        <v>51</v>
      </c>
      <c r="E332" s="63">
        <v>1072.05</v>
      </c>
      <c r="G332" s="5">
        <f t="shared" si="5"/>
        <v>1072.05</v>
      </c>
    </row>
    <row r="333">
      <c r="A333" s="60" t="s">
        <v>756</v>
      </c>
      <c r="B333" s="60" t="s">
        <v>757</v>
      </c>
      <c r="C333" s="4" t="s">
        <v>85</v>
      </c>
      <c r="D333" s="4" t="s">
        <v>51</v>
      </c>
      <c r="E333" s="63">
        <v>4577.26</v>
      </c>
      <c r="G333" s="5">
        <f t="shared" si="5"/>
        <v>4577.26</v>
      </c>
    </row>
    <row r="334">
      <c r="A334" s="60" t="s">
        <v>758</v>
      </c>
      <c r="B334" s="60" t="s">
        <v>759</v>
      </c>
      <c r="C334" s="4" t="s">
        <v>85</v>
      </c>
      <c r="D334" s="4" t="s">
        <v>51</v>
      </c>
      <c r="E334" s="63">
        <v>310.0</v>
      </c>
      <c r="G334" s="5">
        <f t="shared" si="5"/>
        <v>310</v>
      </c>
    </row>
    <row r="335">
      <c r="A335" s="60" t="s">
        <v>760</v>
      </c>
      <c r="B335" s="60" t="s">
        <v>761</v>
      </c>
      <c r="C335" s="4" t="s">
        <v>85</v>
      </c>
      <c r="D335" s="4" t="s">
        <v>51</v>
      </c>
      <c r="E335" s="63">
        <v>666.01</v>
      </c>
      <c r="G335" s="5">
        <f t="shared" si="5"/>
        <v>666.01</v>
      </c>
    </row>
    <row r="336">
      <c r="A336" s="60" t="s">
        <v>762</v>
      </c>
      <c r="B336" s="60" t="s">
        <v>763</v>
      </c>
      <c r="C336" s="4" t="s">
        <v>85</v>
      </c>
      <c r="D336" s="4" t="s">
        <v>51</v>
      </c>
      <c r="E336" s="63">
        <v>100.0</v>
      </c>
      <c r="G336" s="5">
        <f t="shared" si="5"/>
        <v>100</v>
      </c>
    </row>
    <row r="337">
      <c r="A337" s="60" t="s">
        <v>764</v>
      </c>
      <c r="B337" s="60" t="s">
        <v>765</v>
      </c>
      <c r="C337" s="4" t="s">
        <v>85</v>
      </c>
      <c r="D337" s="4" t="s">
        <v>51</v>
      </c>
      <c r="E337" s="63">
        <v>218.0</v>
      </c>
      <c r="G337" s="5">
        <f t="shared" si="5"/>
        <v>218</v>
      </c>
    </row>
    <row r="338">
      <c r="A338" s="60" t="s">
        <v>766</v>
      </c>
      <c r="B338" s="60" t="s">
        <v>767</v>
      </c>
      <c r="C338" s="4" t="s">
        <v>79</v>
      </c>
      <c r="D338" s="4" t="s">
        <v>49</v>
      </c>
      <c r="E338" s="61">
        <v>74282.0</v>
      </c>
      <c r="G338" s="62">
        <f t="shared" si="5"/>
        <v>74282</v>
      </c>
    </row>
    <row r="339">
      <c r="A339" s="60" t="s">
        <v>768</v>
      </c>
      <c r="B339" s="60" t="s">
        <v>769</v>
      </c>
      <c r="C339" s="4" t="s">
        <v>79</v>
      </c>
      <c r="D339" s="4" t="s">
        <v>49</v>
      </c>
      <c r="E339" s="61">
        <v>46409.3</v>
      </c>
      <c r="G339" s="62">
        <f t="shared" si="5"/>
        <v>46409.3</v>
      </c>
    </row>
    <row r="340">
      <c r="A340" s="60" t="s">
        <v>770</v>
      </c>
      <c r="B340" s="60" t="s">
        <v>771</v>
      </c>
      <c r="C340" s="4" t="s">
        <v>79</v>
      </c>
      <c r="D340" s="4" t="s">
        <v>49</v>
      </c>
      <c r="E340" s="61">
        <v>54510.0</v>
      </c>
      <c r="G340" s="62">
        <f t="shared" si="5"/>
        <v>54510</v>
      </c>
    </row>
    <row r="341">
      <c r="A341" s="60" t="s">
        <v>772</v>
      </c>
      <c r="B341" s="60" t="s">
        <v>773</v>
      </c>
      <c r="C341" s="4" t="s">
        <v>79</v>
      </c>
      <c r="D341" s="4" t="s">
        <v>49</v>
      </c>
      <c r="E341" s="61">
        <v>79536.07</v>
      </c>
      <c r="G341" s="62">
        <f t="shared" si="5"/>
        <v>79536.07</v>
      </c>
    </row>
    <row r="342">
      <c r="A342" s="60" t="s">
        <v>774</v>
      </c>
      <c r="B342" s="60" t="s">
        <v>775</v>
      </c>
      <c r="C342" s="4" t="s">
        <v>79</v>
      </c>
      <c r="D342" s="4" t="s">
        <v>49</v>
      </c>
      <c r="E342" s="63">
        <v>198988.25</v>
      </c>
      <c r="G342" s="5">
        <f t="shared" si="5"/>
        <v>198988.25</v>
      </c>
    </row>
    <row r="343">
      <c r="A343" s="60" t="s">
        <v>776</v>
      </c>
      <c r="B343" s="60" t="s">
        <v>777</v>
      </c>
      <c r="C343" s="4" t="s">
        <v>79</v>
      </c>
      <c r="D343" s="4" t="s">
        <v>49</v>
      </c>
      <c r="E343" s="61">
        <v>80500.0</v>
      </c>
      <c r="G343" s="62">
        <f t="shared" si="5"/>
        <v>80500</v>
      </c>
    </row>
    <row r="344">
      <c r="A344" s="60" t="s">
        <v>778</v>
      </c>
      <c r="B344" s="60" t="s">
        <v>779</v>
      </c>
      <c r="C344" s="4" t="s">
        <v>79</v>
      </c>
      <c r="D344" s="4" t="s">
        <v>49</v>
      </c>
      <c r="E344" s="63">
        <v>117989.11</v>
      </c>
      <c r="G344" s="5">
        <f t="shared" si="5"/>
        <v>117989.11</v>
      </c>
    </row>
    <row r="345">
      <c r="A345" s="60" t="s">
        <v>780</v>
      </c>
      <c r="B345" s="60" t="s">
        <v>781</v>
      </c>
      <c r="C345" s="4" t="s">
        <v>79</v>
      </c>
      <c r="D345" s="4" t="s">
        <v>49</v>
      </c>
      <c r="E345" s="63">
        <v>195.5</v>
      </c>
      <c r="G345" s="5">
        <f t="shared" si="5"/>
        <v>195.5</v>
      </c>
    </row>
    <row r="346">
      <c r="A346" s="60" t="s">
        <v>782</v>
      </c>
      <c r="B346" s="60" t="s">
        <v>783</v>
      </c>
      <c r="C346" s="4" t="s">
        <v>79</v>
      </c>
      <c r="D346" s="4" t="s">
        <v>49</v>
      </c>
      <c r="E346" s="63">
        <v>97.75</v>
      </c>
      <c r="G346" s="5">
        <f t="shared" si="5"/>
        <v>97.75</v>
      </c>
    </row>
    <row r="347">
      <c r="A347" s="60" t="s">
        <v>784</v>
      </c>
      <c r="B347" s="60" t="s">
        <v>785</v>
      </c>
      <c r="C347" s="4" t="s">
        <v>79</v>
      </c>
      <c r="D347" s="4" t="s">
        <v>49</v>
      </c>
      <c r="E347" s="61">
        <v>10583.21</v>
      </c>
      <c r="G347" s="62">
        <f t="shared" si="5"/>
        <v>10583.21</v>
      </c>
    </row>
    <row r="348">
      <c r="A348" s="60" t="s">
        <v>786</v>
      </c>
      <c r="B348" s="60" t="s">
        <v>787</v>
      </c>
      <c r="C348" s="4" t="s">
        <v>79</v>
      </c>
      <c r="D348" s="4" t="s">
        <v>49</v>
      </c>
      <c r="E348" s="63">
        <v>920.0</v>
      </c>
      <c r="G348" s="5">
        <f t="shared" si="5"/>
        <v>920</v>
      </c>
    </row>
    <row r="349">
      <c r="A349" s="60" t="s">
        <v>788</v>
      </c>
      <c r="B349" s="60" t="s">
        <v>789</v>
      </c>
      <c r="C349" s="4" t="s">
        <v>79</v>
      </c>
      <c r="D349" s="4" t="s">
        <v>49</v>
      </c>
      <c r="E349" s="61">
        <v>84496.25</v>
      </c>
      <c r="G349" s="62">
        <f t="shared" si="5"/>
        <v>84496.25</v>
      </c>
    </row>
    <row r="350">
      <c r="A350" s="60" t="s">
        <v>790</v>
      </c>
      <c r="B350" s="60" t="s">
        <v>791</v>
      </c>
      <c r="C350" s="4" t="s">
        <v>79</v>
      </c>
      <c r="D350" s="4" t="s">
        <v>49</v>
      </c>
      <c r="E350" s="61">
        <v>42050.0</v>
      </c>
      <c r="G350" s="62">
        <f t="shared" si="5"/>
        <v>42050</v>
      </c>
    </row>
    <row r="351">
      <c r="A351" s="60" t="s">
        <v>792</v>
      </c>
      <c r="B351" s="60" t="s">
        <v>793</v>
      </c>
      <c r="C351" s="4" t="s">
        <v>79</v>
      </c>
      <c r="D351" s="4" t="s">
        <v>49</v>
      </c>
      <c r="E351" s="61">
        <v>48300.0</v>
      </c>
      <c r="G351" s="62">
        <f t="shared" si="5"/>
        <v>48300</v>
      </c>
    </row>
    <row r="352">
      <c r="A352" s="60" t="s">
        <v>794</v>
      </c>
      <c r="B352" s="60" t="s">
        <v>795</v>
      </c>
      <c r="C352" s="4" t="s">
        <v>79</v>
      </c>
      <c r="D352" s="4" t="s">
        <v>49</v>
      </c>
      <c r="E352" s="63">
        <v>137555.43</v>
      </c>
      <c r="G352" s="5">
        <f t="shared" si="5"/>
        <v>137555.43</v>
      </c>
    </row>
    <row r="353">
      <c r="A353" s="60" t="s">
        <v>796</v>
      </c>
      <c r="B353" s="60" t="s">
        <v>797</v>
      </c>
      <c r="C353" s="4" t="s">
        <v>77</v>
      </c>
      <c r="D353" s="4" t="s">
        <v>47</v>
      </c>
      <c r="E353" s="61">
        <v>60828.33</v>
      </c>
      <c r="G353" s="62">
        <f t="shared" si="5"/>
        <v>60828.33</v>
      </c>
    </row>
    <row r="354">
      <c r="A354" s="60" t="s">
        <v>798</v>
      </c>
      <c r="B354" s="60" t="s">
        <v>799</v>
      </c>
      <c r="C354" s="4" t="s">
        <v>77</v>
      </c>
      <c r="D354" s="4" t="s">
        <v>47</v>
      </c>
      <c r="E354" s="61">
        <v>28513.94</v>
      </c>
      <c r="G354" s="62">
        <f t="shared" si="5"/>
        <v>28513.94</v>
      </c>
    </row>
    <row r="355">
      <c r="A355" s="60" t="s">
        <v>800</v>
      </c>
      <c r="B355" s="60" t="s">
        <v>801</v>
      </c>
      <c r="C355" s="4" t="s">
        <v>77</v>
      </c>
      <c r="D355" s="4" t="s">
        <v>47</v>
      </c>
      <c r="E355" s="61">
        <v>16307.81</v>
      </c>
      <c r="G355" s="62">
        <f t="shared" si="5"/>
        <v>16307.81</v>
      </c>
    </row>
    <row r="356">
      <c r="A356" s="60" t="s">
        <v>802</v>
      </c>
      <c r="B356" s="60" t="s">
        <v>803</v>
      </c>
      <c r="C356" s="4" t="s">
        <v>77</v>
      </c>
      <c r="D356" s="4" t="s">
        <v>47</v>
      </c>
      <c r="E356" s="61">
        <v>27973.0</v>
      </c>
      <c r="G356" s="62">
        <f t="shared" si="5"/>
        <v>27973</v>
      </c>
    </row>
    <row r="357">
      <c r="A357" s="60" t="s">
        <v>804</v>
      </c>
      <c r="B357" s="60" t="s">
        <v>805</v>
      </c>
      <c r="C357" s="4" t="s">
        <v>77</v>
      </c>
      <c r="D357" s="4" t="s">
        <v>47</v>
      </c>
      <c r="E357" s="61">
        <v>11781.32</v>
      </c>
      <c r="G357" s="62">
        <f t="shared" si="5"/>
        <v>11781.32</v>
      </c>
    </row>
    <row r="358">
      <c r="A358" s="60" t="s">
        <v>806</v>
      </c>
      <c r="B358" s="60" t="s">
        <v>807</v>
      </c>
      <c r="C358" s="4" t="s">
        <v>77</v>
      </c>
      <c r="D358" s="4" t="s">
        <v>47</v>
      </c>
      <c r="E358" s="61">
        <v>3947.0</v>
      </c>
      <c r="G358" s="62">
        <f t="shared" si="5"/>
        <v>3947</v>
      </c>
    </row>
    <row r="359">
      <c r="A359" s="60" t="s">
        <v>808</v>
      </c>
      <c r="B359" s="60" t="s">
        <v>809</v>
      </c>
      <c r="C359" s="4" t="s">
        <v>77</v>
      </c>
      <c r="D359" s="4" t="s">
        <v>47</v>
      </c>
      <c r="E359" s="61">
        <v>43915.98</v>
      </c>
      <c r="G359" s="62">
        <f t="shared" si="5"/>
        <v>43915.98</v>
      </c>
    </row>
    <row r="360">
      <c r="A360" s="60" t="s">
        <v>810</v>
      </c>
      <c r="B360" s="60" t="s">
        <v>811</v>
      </c>
      <c r="C360" s="4" t="s">
        <v>77</v>
      </c>
      <c r="D360" s="4" t="s">
        <v>47</v>
      </c>
      <c r="E360" s="61">
        <v>6499.87</v>
      </c>
      <c r="G360" s="62">
        <f t="shared" si="5"/>
        <v>6499.87</v>
      </c>
    </row>
    <row r="361">
      <c r="A361" s="60" t="s">
        <v>812</v>
      </c>
      <c r="B361" s="60" t="s">
        <v>813</v>
      </c>
      <c r="C361" s="4" t="s">
        <v>77</v>
      </c>
      <c r="D361" s="4" t="s">
        <v>47</v>
      </c>
      <c r="E361" s="61">
        <v>7136.01</v>
      </c>
      <c r="G361" s="62">
        <f t="shared" si="5"/>
        <v>7136.01</v>
      </c>
    </row>
    <row r="362">
      <c r="A362" s="60" t="s">
        <v>814</v>
      </c>
      <c r="B362" s="60" t="s">
        <v>815</v>
      </c>
      <c r="C362" s="4" t="s">
        <v>77</v>
      </c>
      <c r="D362" s="4" t="s">
        <v>47</v>
      </c>
      <c r="E362" s="61">
        <v>6393.0</v>
      </c>
      <c r="G362" s="62">
        <f t="shared" si="5"/>
        <v>6393</v>
      </c>
    </row>
    <row r="363">
      <c r="A363" s="60" t="s">
        <v>816</v>
      </c>
      <c r="B363" s="60" t="s">
        <v>817</v>
      </c>
      <c r="C363" s="4" t="s">
        <v>77</v>
      </c>
      <c r="D363" s="4" t="s">
        <v>47</v>
      </c>
      <c r="E363" s="61">
        <v>2315.0</v>
      </c>
      <c r="G363" s="62">
        <f t="shared" si="5"/>
        <v>2315</v>
      </c>
    </row>
    <row r="364">
      <c r="A364" s="60" t="s">
        <v>818</v>
      </c>
      <c r="B364" s="60" t="s">
        <v>819</v>
      </c>
      <c r="C364" s="4" t="s">
        <v>77</v>
      </c>
      <c r="D364" s="4" t="s">
        <v>47</v>
      </c>
      <c r="E364" s="63">
        <v>155698.94</v>
      </c>
      <c r="G364" s="5">
        <f t="shared" si="5"/>
        <v>155698.94</v>
      </c>
    </row>
    <row r="365">
      <c r="A365" s="60" t="s">
        <v>820</v>
      </c>
      <c r="B365" s="60" t="s">
        <v>821</v>
      </c>
      <c r="C365" s="4" t="s">
        <v>77</v>
      </c>
      <c r="D365" s="4" t="s">
        <v>47</v>
      </c>
      <c r="E365" s="61">
        <v>6501.0</v>
      </c>
      <c r="G365" s="62">
        <f t="shared" si="5"/>
        <v>6501</v>
      </c>
    </row>
    <row r="366">
      <c r="A366" s="60" t="s">
        <v>822</v>
      </c>
      <c r="B366" s="60" t="s">
        <v>823</v>
      </c>
      <c r="C366" s="4" t="s">
        <v>77</v>
      </c>
      <c r="D366" s="4" t="s">
        <v>47</v>
      </c>
      <c r="E366" s="63">
        <v>540.0</v>
      </c>
      <c r="G366" s="5">
        <f t="shared" si="5"/>
        <v>540</v>
      </c>
    </row>
    <row r="367">
      <c r="A367" s="60" t="s">
        <v>824</v>
      </c>
      <c r="B367" s="60" t="s">
        <v>825</v>
      </c>
      <c r="C367" s="4" t="s">
        <v>77</v>
      </c>
      <c r="D367" s="4" t="s">
        <v>47</v>
      </c>
      <c r="E367" s="63">
        <v>117.04</v>
      </c>
      <c r="G367" s="5">
        <f t="shared" si="5"/>
        <v>117.04</v>
      </c>
    </row>
    <row r="368">
      <c r="A368" s="60" t="s">
        <v>826</v>
      </c>
      <c r="B368" s="60" t="s">
        <v>827</v>
      </c>
      <c r="C368" s="4" t="s">
        <v>77</v>
      </c>
      <c r="D368" s="4" t="s">
        <v>47</v>
      </c>
      <c r="E368" s="61">
        <v>15000.0</v>
      </c>
      <c r="G368" s="62">
        <f t="shared" si="5"/>
        <v>15000</v>
      </c>
    </row>
    <row r="369">
      <c r="A369" s="60" t="s">
        <v>828</v>
      </c>
      <c r="B369" s="60" t="s">
        <v>829</v>
      </c>
      <c r="C369" s="4" t="s">
        <v>77</v>
      </c>
      <c r="D369" s="4" t="s">
        <v>47</v>
      </c>
      <c r="E369" s="61">
        <v>4253.87</v>
      </c>
      <c r="G369" s="62">
        <f t="shared" si="5"/>
        <v>4253.87</v>
      </c>
    </row>
    <row r="370">
      <c r="A370" s="60" t="s">
        <v>830</v>
      </c>
      <c r="B370" s="60" t="s">
        <v>831</v>
      </c>
      <c r="C370" s="4" t="s">
        <v>77</v>
      </c>
      <c r="D370" s="4" t="s">
        <v>47</v>
      </c>
      <c r="E370" s="61">
        <v>4949.0</v>
      </c>
      <c r="G370" s="62">
        <f t="shared" si="5"/>
        <v>4949</v>
      </c>
    </row>
    <row r="371">
      <c r="A371" s="60" t="s">
        <v>832</v>
      </c>
      <c r="B371" s="60" t="s">
        <v>833</v>
      </c>
      <c r="C371" s="4" t="s">
        <v>77</v>
      </c>
      <c r="D371" s="4" t="s">
        <v>47</v>
      </c>
      <c r="E371" s="61">
        <v>4121.9</v>
      </c>
      <c r="G371" s="62">
        <f t="shared" si="5"/>
        <v>4121.9</v>
      </c>
    </row>
    <row r="372">
      <c r="A372" s="60" t="s">
        <v>834</v>
      </c>
      <c r="B372" s="60" t="s">
        <v>835</v>
      </c>
      <c r="C372" s="4" t="s">
        <v>77</v>
      </c>
      <c r="D372" s="4" t="s">
        <v>47</v>
      </c>
      <c r="E372" s="61">
        <v>1600.0</v>
      </c>
      <c r="G372" s="62">
        <f t="shared" si="5"/>
        <v>1600</v>
      </c>
    </row>
    <row r="373">
      <c r="A373" s="60" t="s">
        <v>836</v>
      </c>
      <c r="B373" s="60" t="s">
        <v>837</v>
      </c>
      <c r="C373" s="4" t="s">
        <v>77</v>
      </c>
      <c r="D373" s="4" t="s">
        <v>47</v>
      </c>
      <c r="E373" s="61">
        <v>6651.0</v>
      </c>
      <c r="G373" s="62">
        <f t="shared" si="5"/>
        <v>6651</v>
      </c>
    </row>
    <row r="374">
      <c r="A374" s="60" t="s">
        <v>838</v>
      </c>
      <c r="B374" s="60" t="s">
        <v>839</v>
      </c>
      <c r="C374" s="4" t="s">
        <v>77</v>
      </c>
      <c r="D374" s="4" t="s">
        <v>47</v>
      </c>
      <c r="E374" s="61">
        <v>7079.27</v>
      </c>
      <c r="G374" s="62">
        <f t="shared" si="5"/>
        <v>7079.27</v>
      </c>
    </row>
    <row r="375">
      <c r="A375" s="60" t="s">
        <v>840</v>
      </c>
      <c r="B375" s="60" t="s">
        <v>841</v>
      </c>
      <c r="C375" s="4" t="s">
        <v>77</v>
      </c>
      <c r="D375" s="4" t="s">
        <v>47</v>
      </c>
      <c r="E375" s="61">
        <v>4054.99</v>
      </c>
      <c r="G375" s="62">
        <f t="shared" si="5"/>
        <v>4054.99</v>
      </c>
    </row>
    <row r="376">
      <c r="A376" s="60" t="s">
        <v>842</v>
      </c>
      <c r="B376" s="60" t="s">
        <v>843</v>
      </c>
      <c r="C376" s="4" t="s">
        <v>77</v>
      </c>
      <c r="D376" s="4" t="s">
        <v>47</v>
      </c>
      <c r="E376" s="61">
        <v>1092.0</v>
      </c>
      <c r="G376" s="62">
        <f t="shared" si="5"/>
        <v>1092</v>
      </c>
    </row>
    <row r="377">
      <c r="A377" s="60" t="s">
        <v>844</v>
      </c>
      <c r="B377" s="60" t="s">
        <v>845</v>
      </c>
      <c r="C377" s="4" t="s">
        <v>77</v>
      </c>
      <c r="D377" s="4" t="s">
        <v>47</v>
      </c>
      <c r="E377" s="61">
        <v>56666.13</v>
      </c>
      <c r="G377" s="62">
        <f t="shared" si="5"/>
        <v>56666.13</v>
      </c>
    </row>
    <row r="378">
      <c r="A378" s="60" t="s">
        <v>846</v>
      </c>
      <c r="B378" s="60" t="s">
        <v>847</v>
      </c>
      <c r="C378" s="4" t="s">
        <v>77</v>
      </c>
      <c r="D378" s="4" t="s">
        <v>47</v>
      </c>
      <c r="E378" s="61">
        <v>2701.0</v>
      </c>
      <c r="G378" s="62">
        <f t="shared" si="5"/>
        <v>2701</v>
      </c>
    </row>
    <row r="379">
      <c r="A379" s="60" t="s">
        <v>848</v>
      </c>
      <c r="B379" s="60" t="s">
        <v>849</v>
      </c>
      <c r="C379" s="4" t="s">
        <v>75</v>
      </c>
      <c r="D379" s="4" t="s">
        <v>50</v>
      </c>
      <c r="E379" s="63">
        <v>664.03</v>
      </c>
      <c r="G379" s="5">
        <f t="shared" si="5"/>
        <v>664.03</v>
      </c>
    </row>
    <row r="380">
      <c r="A380" s="60" t="s">
        <v>850</v>
      </c>
      <c r="B380" s="60" t="s">
        <v>851</v>
      </c>
      <c r="C380" s="4" t="s">
        <v>75</v>
      </c>
      <c r="D380" s="4" t="s">
        <v>50</v>
      </c>
      <c r="E380" s="63">
        <v>378.0</v>
      </c>
      <c r="G380" s="5">
        <f t="shared" si="5"/>
        <v>378</v>
      </c>
    </row>
    <row r="381">
      <c r="A381" s="60" t="s">
        <v>852</v>
      </c>
      <c r="B381" s="60" t="s">
        <v>853</v>
      </c>
      <c r="C381" s="4" t="s">
        <v>75</v>
      </c>
      <c r="D381" s="4" t="s">
        <v>50</v>
      </c>
      <c r="E381" s="63">
        <v>400.03</v>
      </c>
      <c r="G381" s="5">
        <f t="shared" si="5"/>
        <v>400.03</v>
      </c>
    </row>
    <row r="382">
      <c r="A382" s="60" t="s">
        <v>854</v>
      </c>
      <c r="B382" s="60" t="s">
        <v>855</v>
      </c>
      <c r="C382" s="4" t="s">
        <v>75</v>
      </c>
      <c r="D382" s="4" t="s">
        <v>50</v>
      </c>
      <c r="E382" s="63">
        <v>500.0</v>
      </c>
      <c r="G382" s="5">
        <f t="shared" si="5"/>
        <v>500</v>
      </c>
    </row>
    <row r="383">
      <c r="A383" s="60" t="s">
        <v>856</v>
      </c>
      <c r="B383" s="60" t="s">
        <v>857</v>
      </c>
      <c r="C383" s="4" t="s">
        <v>75</v>
      </c>
      <c r="D383" s="4" t="s">
        <v>50</v>
      </c>
      <c r="E383" s="63">
        <v>300.02</v>
      </c>
      <c r="G383" s="5">
        <f t="shared" si="5"/>
        <v>300.02</v>
      </c>
    </row>
    <row r="384">
      <c r="A384" s="60" t="s">
        <v>858</v>
      </c>
      <c r="B384" s="60" t="s">
        <v>859</v>
      </c>
      <c r="C384" s="4" t="s">
        <v>75</v>
      </c>
      <c r="D384" s="4" t="s">
        <v>50</v>
      </c>
      <c r="E384" s="63">
        <v>276.0</v>
      </c>
      <c r="G384" s="5">
        <f t="shared" si="5"/>
        <v>276</v>
      </c>
    </row>
    <row r="385">
      <c r="A385" s="60" t="s">
        <v>860</v>
      </c>
      <c r="B385" s="60" t="s">
        <v>861</v>
      </c>
      <c r="C385" s="4" t="s">
        <v>75</v>
      </c>
      <c r="D385" s="4" t="s">
        <v>50</v>
      </c>
      <c r="E385" s="63">
        <v>197.84</v>
      </c>
      <c r="G385" s="5">
        <f t="shared" si="5"/>
        <v>197.84</v>
      </c>
    </row>
    <row r="386">
      <c r="A386" s="60" t="s">
        <v>862</v>
      </c>
      <c r="B386" s="60" t="s">
        <v>863</v>
      </c>
      <c r="C386" s="4" t="s">
        <v>75</v>
      </c>
      <c r="D386" s="4" t="s">
        <v>50</v>
      </c>
      <c r="E386" s="63">
        <v>310.02</v>
      </c>
      <c r="G386" s="5">
        <f t="shared" si="5"/>
        <v>310.02</v>
      </c>
    </row>
    <row r="387">
      <c r="A387" s="60" t="s">
        <v>864</v>
      </c>
      <c r="B387" s="60" t="s">
        <v>865</v>
      </c>
      <c r="C387" s="4" t="s">
        <v>75</v>
      </c>
      <c r="D387" s="4" t="s">
        <v>50</v>
      </c>
      <c r="E387" s="63">
        <v>199.91</v>
      </c>
      <c r="G387" s="5">
        <f t="shared" si="5"/>
        <v>199.91</v>
      </c>
    </row>
    <row r="388">
      <c r="A388" s="60" t="s">
        <v>866</v>
      </c>
      <c r="B388" s="60" t="s">
        <v>867</v>
      </c>
      <c r="C388" s="4" t="s">
        <v>75</v>
      </c>
      <c r="D388" s="4" t="s">
        <v>50</v>
      </c>
      <c r="E388" s="63">
        <v>199.91</v>
      </c>
      <c r="G388" s="5">
        <f t="shared" si="5"/>
        <v>199.91</v>
      </c>
    </row>
    <row r="389">
      <c r="A389" s="60" t="s">
        <v>868</v>
      </c>
      <c r="B389" s="60" t="s">
        <v>869</v>
      </c>
      <c r="C389" s="4" t="s">
        <v>75</v>
      </c>
      <c r="D389" s="4" t="s">
        <v>50</v>
      </c>
      <c r="E389" s="63">
        <v>482.3</v>
      </c>
      <c r="G389" s="5">
        <f t="shared" si="5"/>
        <v>482.3</v>
      </c>
    </row>
    <row r="390">
      <c r="A390" s="60" t="s">
        <v>870</v>
      </c>
      <c r="B390" s="60" t="s">
        <v>871</v>
      </c>
      <c r="C390" s="4" t="s">
        <v>75</v>
      </c>
      <c r="D390" s="4" t="s">
        <v>50</v>
      </c>
      <c r="E390" s="63">
        <v>482.3</v>
      </c>
      <c r="G390" s="5">
        <f t="shared" si="5"/>
        <v>482.3</v>
      </c>
    </row>
    <row r="391">
      <c r="A391" s="60" t="s">
        <v>872</v>
      </c>
      <c r="B391" s="60" t="s">
        <v>873</v>
      </c>
      <c r="C391" s="4" t="s">
        <v>75</v>
      </c>
      <c r="D391" s="4" t="s">
        <v>50</v>
      </c>
      <c r="E391" s="63">
        <v>562.02</v>
      </c>
      <c r="G391" s="5">
        <f t="shared" si="5"/>
        <v>562.02</v>
      </c>
    </row>
    <row r="392">
      <c r="A392" s="60" t="s">
        <v>874</v>
      </c>
      <c r="B392" s="60" t="s">
        <v>875</v>
      </c>
      <c r="C392" s="4" t="s">
        <v>75</v>
      </c>
      <c r="D392" s="4" t="s">
        <v>50</v>
      </c>
      <c r="E392" s="63">
        <v>242.98</v>
      </c>
      <c r="G392" s="5">
        <f t="shared" si="5"/>
        <v>242.98</v>
      </c>
    </row>
    <row r="393">
      <c r="A393" s="60" t="s">
        <v>876</v>
      </c>
      <c r="B393" s="60" t="s">
        <v>877</v>
      </c>
      <c r="C393" s="4" t="s">
        <v>75</v>
      </c>
      <c r="D393" s="4" t="s">
        <v>50</v>
      </c>
      <c r="E393" s="63">
        <v>100.0</v>
      </c>
      <c r="G393" s="5">
        <f t="shared" si="5"/>
        <v>100</v>
      </c>
    </row>
    <row r="394">
      <c r="A394" s="60" t="s">
        <v>878</v>
      </c>
      <c r="B394" s="60" t="s">
        <v>879</v>
      </c>
      <c r="C394" s="4" t="s">
        <v>75</v>
      </c>
      <c r="D394" s="4" t="s">
        <v>50</v>
      </c>
      <c r="E394" s="63">
        <v>482.3</v>
      </c>
      <c r="G394" s="5">
        <f t="shared" si="5"/>
        <v>482.3</v>
      </c>
    </row>
    <row r="395">
      <c r="A395" s="60" t="s">
        <v>880</v>
      </c>
      <c r="B395" s="60" t="s">
        <v>881</v>
      </c>
      <c r="C395" s="4" t="s">
        <v>75</v>
      </c>
      <c r="D395" s="4" t="s">
        <v>50</v>
      </c>
      <c r="E395" s="63">
        <v>546.04</v>
      </c>
      <c r="G395" s="5">
        <f t="shared" si="5"/>
        <v>546.04</v>
      </c>
    </row>
    <row r="396">
      <c r="A396" s="60" t="s">
        <v>882</v>
      </c>
      <c r="B396" s="60" t="s">
        <v>883</v>
      </c>
      <c r="C396" s="4" t="s">
        <v>75</v>
      </c>
      <c r="D396" s="4" t="s">
        <v>50</v>
      </c>
      <c r="E396" s="63">
        <v>460.03</v>
      </c>
      <c r="G396" s="5">
        <f t="shared" si="5"/>
        <v>460.03</v>
      </c>
    </row>
    <row r="397">
      <c r="A397" s="60" t="s">
        <v>884</v>
      </c>
      <c r="B397" s="60" t="s">
        <v>885</v>
      </c>
      <c r="C397" s="4" t="s">
        <v>75</v>
      </c>
      <c r="D397" s="4" t="s">
        <v>50</v>
      </c>
      <c r="E397" s="63">
        <v>192.86</v>
      </c>
      <c r="G397" s="5">
        <f t="shared" si="5"/>
        <v>192.86</v>
      </c>
    </row>
    <row r="398">
      <c r="A398" s="60" t="s">
        <v>886</v>
      </c>
      <c r="B398" s="60" t="s">
        <v>887</v>
      </c>
      <c r="C398" s="4" t="s">
        <v>75</v>
      </c>
      <c r="D398" s="4" t="s">
        <v>50</v>
      </c>
      <c r="E398" s="63">
        <v>300.0</v>
      </c>
      <c r="G398" s="5">
        <f t="shared" si="5"/>
        <v>300</v>
      </c>
    </row>
    <row r="399">
      <c r="A399" s="60" t="s">
        <v>888</v>
      </c>
      <c r="B399" s="60" t="s">
        <v>889</v>
      </c>
      <c r="C399" s="4" t="s">
        <v>75</v>
      </c>
      <c r="D399" s="4" t="s">
        <v>50</v>
      </c>
      <c r="E399" s="63">
        <v>1566.1</v>
      </c>
      <c r="G399" s="5">
        <f t="shared" si="5"/>
        <v>1566.1</v>
      </c>
    </row>
    <row r="400">
      <c r="A400" s="60" t="s">
        <v>890</v>
      </c>
      <c r="B400" s="60" t="s">
        <v>891</v>
      </c>
      <c r="C400" s="4" t="s">
        <v>75</v>
      </c>
      <c r="D400" s="4" t="s">
        <v>50</v>
      </c>
      <c r="E400" s="63">
        <v>1736.06</v>
      </c>
      <c r="G400" s="5">
        <f t="shared" si="5"/>
        <v>1736.06</v>
      </c>
    </row>
    <row r="401">
      <c r="A401" s="60" t="s">
        <v>892</v>
      </c>
      <c r="B401" s="60" t="s">
        <v>893</v>
      </c>
      <c r="C401" s="4" t="s">
        <v>75</v>
      </c>
      <c r="D401" s="4" t="s">
        <v>50</v>
      </c>
      <c r="E401" s="63">
        <v>708.4</v>
      </c>
      <c r="G401" s="5">
        <f t="shared" si="5"/>
        <v>708.4</v>
      </c>
    </row>
    <row r="402">
      <c r="A402" s="60" t="s">
        <v>894</v>
      </c>
      <c r="B402" s="60" t="s">
        <v>895</v>
      </c>
      <c r="C402" s="4" t="s">
        <v>75</v>
      </c>
      <c r="D402" s="4" t="s">
        <v>50</v>
      </c>
      <c r="E402" s="63">
        <v>763.6</v>
      </c>
      <c r="G402" s="5">
        <f t="shared" si="5"/>
        <v>763.6</v>
      </c>
    </row>
    <row r="403">
      <c r="A403" s="60" t="s">
        <v>896</v>
      </c>
      <c r="B403" s="60" t="s">
        <v>897</v>
      </c>
      <c r="C403" s="4" t="s">
        <v>75</v>
      </c>
      <c r="D403" s="4" t="s">
        <v>50</v>
      </c>
      <c r="E403" s="63">
        <v>636.93</v>
      </c>
      <c r="G403" s="5">
        <f t="shared" si="5"/>
        <v>636.93</v>
      </c>
    </row>
    <row r="404">
      <c r="A404" s="60" t="s">
        <v>898</v>
      </c>
      <c r="B404" s="60" t="s">
        <v>899</v>
      </c>
      <c r="C404" s="4" t="s">
        <v>75</v>
      </c>
      <c r="D404" s="4" t="s">
        <v>50</v>
      </c>
      <c r="E404" s="63">
        <v>1134.05</v>
      </c>
      <c r="G404" s="5">
        <f t="shared" si="5"/>
        <v>1134.05</v>
      </c>
    </row>
    <row r="405">
      <c r="A405" s="60" t="s">
        <v>900</v>
      </c>
      <c r="B405" s="60" t="s">
        <v>901</v>
      </c>
      <c r="C405" s="4" t="s">
        <v>75</v>
      </c>
      <c r="D405" s="4" t="s">
        <v>50</v>
      </c>
      <c r="E405" s="63">
        <v>235.01</v>
      </c>
      <c r="G405" s="5">
        <f t="shared" si="5"/>
        <v>235.01</v>
      </c>
    </row>
    <row r="406">
      <c r="A406" s="60" t="s">
        <v>902</v>
      </c>
      <c r="B406" s="60" t="s">
        <v>903</v>
      </c>
      <c r="C406" s="4" t="s">
        <v>75</v>
      </c>
      <c r="D406" s="4" t="s">
        <v>50</v>
      </c>
      <c r="E406" s="63">
        <v>68.98</v>
      </c>
      <c r="G406" s="5">
        <f t="shared" si="5"/>
        <v>68.98</v>
      </c>
    </row>
    <row r="407">
      <c r="A407" s="60" t="s">
        <v>904</v>
      </c>
      <c r="B407" s="60" t="s">
        <v>905</v>
      </c>
      <c r="C407" s="4" t="s">
        <v>75</v>
      </c>
      <c r="D407" s="4" t="s">
        <v>50</v>
      </c>
      <c r="E407" s="63">
        <v>1226.05</v>
      </c>
      <c r="G407" s="5">
        <f t="shared" si="5"/>
        <v>1226.05</v>
      </c>
    </row>
    <row r="408">
      <c r="A408" s="60" t="s">
        <v>906</v>
      </c>
      <c r="B408" s="60" t="s">
        <v>907</v>
      </c>
      <c r="C408" s="4" t="s">
        <v>75</v>
      </c>
      <c r="D408" s="4" t="s">
        <v>50</v>
      </c>
      <c r="E408" s="63">
        <v>901.56</v>
      </c>
      <c r="G408" s="5">
        <f t="shared" si="5"/>
        <v>901.56</v>
      </c>
    </row>
    <row r="409">
      <c r="A409" s="60" t="s">
        <v>908</v>
      </c>
      <c r="B409" s="60" t="s">
        <v>909</v>
      </c>
      <c r="C409" s="4" t="s">
        <v>75</v>
      </c>
      <c r="D409" s="4" t="s">
        <v>50</v>
      </c>
      <c r="E409" s="63">
        <v>531.03</v>
      </c>
      <c r="G409" s="5">
        <f t="shared" si="5"/>
        <v>531.03</v>
      </c>
    </row>
    <row r="410">
      <c r="A410" s="60" t="s">
        <v>910</v>
      </c>
      <c r="B410" s="60" t="s">
        <v>911</v>
      </c>
      <c r="C410" s="4" t="s">
        <v>75</v>
      </c>
      <c r="D410" s="4" t="s">
        <v>50</v>
      </c>
      <c r="E410" s="63">
        <v>394.0</v>
      </c>
      <c r="G410" s="5">
        <f t="shared" si="5"/>
        <v>394</v>
      </c>
    </row>
    <row r="411">
      <c r="A411" s="60" t="s">
        <v>912</v>
      </c>
      <c r="B411" s="60" t="s">
        <v>913</v>
      </c>
      <c r="C411" s="4" t="s">
        <v>75</v>
      </c>
      <c r="D411" s="4" t="s">
        <v>50</v>
      </c>
      <c r="E411" s="63">
        <v>436.01</v>
      </c>
      <c r="G411" s="5">
        <f t="shared" si="5"/>
        <v>436.01</v>
      </c>
    </row>
    <row r="412">
      <c r="A412" s="60" t="s">
        <v>914</v>
      </c>
      <c r="B412" s="60" t="s">
        <v>915</v>
      </c>
      <c r="C412" s="4" t="s">
        <v>75</v>
      </c>
      <c r="D412" s="4" t="s">
        <v>50</v>
      </c>
      <c r="E412" s="63">
        <v>600.45</v>
      </c>
      <c r="G412" s="5">
        <f t="shared" si="5"/>
        <v>600.45</v>
      </c>
    </row>
    <row r="413">
      <c r="A413" s="60" t="s">
        <v>916</v>
      </c>
      <c r="B413" s="60" t="s">
        <v>917</v>
      </c>
      <c r="C413" s="4" t="s">
        <v>75</v>
      </c>
      <c r="D413" s="4" t="s">
        <v>50</v>
      </c>
      <c r="E413" s="63">
        <v>184.0</v>
      </c>
      <c r="G413" s="5">
        <f t="shared" si="5"/>
        <v>184</v>
      </c>
    </row>
    <row r="414">
      <c r="A414" s="60" t="s">
        <v>918</v>
      </c>
      <c r="B414" s="60" t="s">
        <v>919</v>
      </c>
      <c r="C414" s="4" t="s">
        <v>75</v>
      </c>
      <c r="D414" s="4" t="s">
        <v>57</v>
      </c>
      <c r="E414" s="63">
        <v>50.99</v>
      </c>
      <c r="G414" s="5">
        <f t="shared" si="5"/>
        <v>50.99</v>
      </c>
    </row>
    <row r="415">
      <c r="A415" s="60" t="s">
        <v>920</v>
      </c>
      <c r="B415" s="60" t="s">
        <v>921</v>
      </c>
      <c r="C415" s="4" t="s">
        <v>75</v>
      </c>
      <c r="D415" s="4" t="s">
        <v>57</v>
      </c>
      <c r="E415" s="63">
        <v>125.97</v>
      </c>
      <c r="G415" s="5">
        <f t="shared" si="5"/>
        <v>125.97</v>
      </c>
    </row>
    <row r="416">
      <c r="A416" s="60" t="s">
        <v>922</v>
      </c>
      <c r="B416" s="60" t="s">
        <v>923</v>
      </c>
      <c r="C416" s="4" t="s">
        <v>75</v>
      </c>
      <c r="D416" s="4" t="s">
        <v>57</v>
      </c>
      <c r="E416" s="63">
        <v>217.97</v>
      </c>
      <c r="G416" s="5">
        <f t="shared" si="5"/>
        <v>217.97</v>
      </c>
    </row>
    <row r="417">
      <c r="A417" s="60" t="s">
        <v>924</v>
      </c>
      <c r="B417" s="60" t="s">
        <v>925</v>
      </c>
      <c r="C417" s="4" t="s">
        <v>75</v>
      </c>
      <c r="D417" s="4" t="s">
        <v>57</v>
      </c>
      <c r="E417" s="63">
        <v>108.98</v>
      </c>
      <c r="G417" s="5">
        <f t="shared" si="5"/>
        <v>108.98</v>
      </c>
    </row>
    <row r="418">
      <c r="A418" s="60" t="s">
        <v>926</v>
      </c>
      <c r="B418" s="60" t="s">
        <v>927</v>
      </c>
      <c r="C418" s="4" t="s">
        <v>75</v>
      </c>
      <c r="D418" s="4" t="s">
        <v>57</v>
      </c>
      <c r="E418" s="63">
        <v>108.98</v>
      </c>
      <c r="G418" s="5">
        <f t="shared" si="5"/>
        <v>108.98</v>
      </c>
    </row>
    <row r="419">
      <c r="A419" s="60" t="s">
        <v>928</v>
      </c>
      <c r="B419" s="60" t="s">
        <v>929</v>
      </c>
      <c r="C419" s="4" t="s">
        <v>75</v>
      </c>
      <c r="D419" s="4" t="s">
        <v>57</v>
      </c>
      <c r="E419" s="63">
        <v>108.98</v>
      </c>
      <c r="G419" s="5">
        <f t="shared" si="5"/>
        <v>108.98</v>
      </c>
    </row>
    <row r="420">
      <c r="A420" s="60" t="s">
        <v>930</v>
      </c>
      <c r="B420" s="60" t="s">
        <v>931</v>
      </c>
      <c r="C420" s="4" t="s">
        <v>75</v>
      </c>
      <c r="D420" s="4" t="s">
        <v>57</v>
      </c>
      <c r="E420" s="63">
        <v>108.98</v>
      </c>
      <c r="G420" s="5">
        <f t="shared" si="5"/>
        <v>108.98</v>
      </c>
    </row>
    <row r="421">
      <c r="A421" s="60" t="s">
        <v>932</v>
      </c>
      <c r="B421" s="60" t="s">
        <v>933</v>
      </c>
      <c r="C421" s="4" t="s">
        <v>75</v>
      </c>
      <c r="D421" s="4" t="s">
        <v>57</v>
      </c>
      <c r="E421" s="63">
        <v>108.98</v>
      </c>
      <c r="G421" s="5">
        <f t="shared" si="5"/>
        <v>108.98</v>
      </c>
    </row>
    <row r="422">
      <c r="A422" s="60" t="s">
        <v>934</v>
      </c>
      <c r="B422" s="60" t="s">
        <v>935</v>
      </c>
      <c r="C422" s="4" t="s">
        <v>75</v>
      </c>
      <c r="D422" s="4" t="s">
        <v>57</v>
      </c>
      <c r="E422" s="63">
        <v>522.0</v>
      </c>
      <c r="G422" s="5">
        <f t="shared" si="5"/>
        <v>522</v>
      </c>
    </row>
    <row r="423">
      <c r="A423" s="60" t="s">
        <v>936</v>
      </c>
      <c r="B423" s="60" t="s">
        <v>937</v>
      </c>
      <c r="C423" s="4" t="s">
        <v>75</v>
      </c>
      <c r="D423" s="4" t="s">
        <v>57</v>
      </c>
      <c r="E423" s="63">
        <v>108.98</v>
      </c>
      <c r="G423" s="5">
        <f t="shared" si="5"/>
        <v>108.98</v>
      </c>
    </row>
    <row r="424">
      <c r="A424" s="60" t="s">
        <v>938</v>
      </c>
      <c r="B424" s="60" t="s">
        <v>939</v>
      </c>
      <c r="C424" s="4" t="s">
        <v>75</v>
      </c>
      <c r="D424" s="4" t="s">
        <v>57</v>
      </c>
      <c r="E424" s="63">
        <v>429.93</v>
      </c>
      <c r="G424" s="5">
        <f t="shared" si="5"/>
        <v>429.93</v>
      </c>
    </row>
    <row r="425">
      <c r="A425" s="60" t="s">
        <v>940</v>
      </c>
      <c r="B425" s="60" t="s">
        <v>941</v>
      </c>
      <c r="C425" s="4" t="s">
        <v>75</v>
      </c>
      <c r="D425" s="4" t="s">
        <v>57</v>
      </c>
      <c r="E425" s="61">
        <v>1529.91</v>
      </c>
      <c r="G425" s="62">
        <f t="shared" si="5"/>
        <v>1529.91</v>
      </c>
    </row>
    <row r="426">
      <c r="A426" s="60" t="s">
        <v>942</v>
      </c>
      <c r="B426" s="60" t="s">
        <v>943</v>
      </c>
      <c r="C426" s="4" t="s">
        <v>75</v>
      </c>
      <c r="D426" s="4" t="s">
        <v>57</v>
      </c>
      <c r="E426" s="63">
        <v>86.96</v>
      </c>
      <c r="G426" s="5">
        <f t="shared" si="5"/>
        <v>86.96</v>
      </c>
    </row>
    <row r="427">
      <c r="A427" s="60" t="s">
        <v>944</v>
      </c>
      <c r="B427" s="60" t="s">
        <v>945</v>
      </c>
      <c r="C427" s="4" t="s">
        <v>75</v>
      </c>
      <c r="D427" s="4" t="s">
        <v>57</v>
      </c>
      <c r="E427" s="63">
        <v>176.97</v>
      </c>
      <c r="G427" s="5">
        <f t="shared" si="5"/>
        <v>176.97</v>
      </c>
    </row>
    <row r="428">
      <c r="A428" s="60" t="s">
        <v>946</v>
      </c>
      <c r="B428" s="60" t="s">
        <v>947</v>
      </c>
      <c r="C428" s="4" t="s">
        <v>75</v>
      </c>
      <c r="D428" s="4" t="s">
        <v>57</v>
      </c>
      <c r="E428" s="63">
        <v>159.97</v>
      </c>
      <c r="G428" s="5">
        <f t="shared" si="5"/>
        <v>159.97</v>
      </c>
    </row>
    <row r="429">
      <c r="A429" s="60" t="s">
        <v>948</v>
      </c>
      <c r="B429" s="60" t="s">
        <v>949</v>
      </c>
      <c r="C429" s="4" t="s">
        <v>75</v>
      </c>
      <c r="D429" s="4" t="s">
        <v>57</v>
      </c>
      <c r="E429" s="63">
        <v>159.97</v>
      </c>
      <c r="G429" s="5">
        <f t="shared" si="5"/>
        <v>159.97</v>
      </c>
    </row>
    <row r="430">
      <c r="A430" s="60" t="s">
        <v>950</v>
      </c>
      <c r="B430" s="60" t="s">
        <v>951</v>
      </c>
      <c r="C430" s="4" t="s">
        <v>75</v>
      </c>
      <c r="D430" s="4" t="s">
        <v>57</v>
      </c>
      <c r="E430" s="63">
        <v>142.98</v>
      </c>
      <c r="G430" s="5">
        <f t="shared" si="5"/>
        <v>142.98</v>
      </c>
    </row>
    <row r="431">
      <c r="A431" s="60" t="s">
        <v>952</v>
      </c>
      <c r="B431" s="60" t="s">
        <v>953</v>
      </c>
      <c r="C431" s="4" t="s">
        <v>80</v>
      </c>
      <c r="D431" s="4" t="s">
        <v>46</v>
      </c>
      <c r="E431" s="63">
        <v>591.02</v>
      </c>
      <c r="G431" s="5">
        <f t="shared" si="5"/>
        <v>591.02</v>
      </c>
    </row>
    <row r="432">
      <c r="A432" s="60" t="s">
        <v>954</v>
      </c>
      <c r="B432" s="60" t="s">
        <v>955</v>
      </c>
      <c r="C432" s="4" t="s">
        <v>80</v>
      </c>
      <c r="D432" s="4" t="s">
        <v>46</v>
      </c>
      <c r="E432" s="61">
        <v>3426.07</v>
      </c>
      <c r="G432" s="62">
        <f t="shared" si="5"/>
        <v>3426.07</v>
      </c>
    </row>
    <row r="433">
      <c r="A433" s="60" t="s">
        <v>956</v>
      </c>
      <c r="B433" s="60" t="s">
        <v>957</v>
      </c>
      <c r="C433" s="4" t="s">
        <v>80</v>
      </c>
      <c r="D433" s="4" t="s">
        <v>46</v>
      </c>
      <c r="E433" s="61">
        <v>1380.08</v>
      </c>
      <c r="G433" s="62">
        <f t="shared" si="5"/>
        <v>1380.08</v>
      </c>
    </row>
    <row r="434">
      <c r="A434" s="60" t="s">
        <v>958</v>
      </c>
      <c r="B434" s="60" t="s">
        <v>959</v>
      </c>
      <c r="C434" s="4" t="s">
        <v>80</v>
      </c>
      <c r="D434" s="4" t="s">
        <v>46</v>
      </c>
      <c r="E434" s="63">
        <v>960.08</v>
      </c>
      <c r="G434" s="5">
        <f t="shared" si="5"/>
        <v>960.08</v>
      </c>
    </row>
    <row r="435">
      <c r="A435" s="60" t="s">
        <v>960</v>
      </c>
      <c r="B435" s="60" t="s">
        <v>961</v>
      </c>
      <c r="C435" s="4" t="s">
        <v>80</v>
      </c>
      <c r="D435" s="4" t="s">
        <v>46</v>
      </c>
      <c r="E435" s="61">
        <v>12224.88</v>
      </c>
      <c r="G435" s="62">
        <f t="shared" si="5"/>
        <v>12224.88</v>
      </c>
    </row>
    <row r="436">
      <c r="A436" s="60" t="s">
        <v>962</v>
      </c>
      <c r="B436" s="60" t="s">
        <v>963</v>
      </c>
      <c r="C436" s="4" t="s">
        <v>80</v>
      </c>
      <c r="D436" s="4" t="s">
        <v>46</v>
      </c>
      <c r="E436" s="61">
        <v>4436.0</v>
      </c>
      <c r="G436" s="62">
        <f t="shared" si="5"/>
        <v>4436</v>
      </c>
    </row>
    <row r="437">
      <c r="A437" s="60" t="s">
        <v>964</v>
      </c>
      <c r="B437" s="60" t="s">
        <v>965</v>
      </c>
      <c r="C437" s="4" t="s">
        <v>80</v>
      </c>
      <c r="D437" s="4" t="s">
        <v>46</v>
      </c>
      <c r="E437" s="63">
        <v>99.98</v>
      </c>
      <c r="G437" s="5">
        <f t="shared" si="5"/>
        <v>99.98</v>
      </c>
    </row>
    <row r="438">
      <c r="A438" s="60" t="s">
        <v>966</v>
      </c>
      <c r="B438" s="60" t="s">
        <v>967</v>
      </c>
      <c r="C438" s="4" t="s">
        <v>80</v>
      </c>
      <c r="D438" s="4" t="s">
        <v>46</v>
      </c>
      <c r="E438" s="61">
        <v>2134.81</v>
      </c>
      <c r="G438" s="62">
        <f t="shared" si="5"/>
        <v>2134.81</v>
      </c>
    </row>
    <row r="439">
      <c r="A439" s="60" t="s">
        <v>968</v>
      </c>
      <c r="B439" s="60" t="s">
        <v>969</v>
      </c>
      <c r="C439" s="4" t="s">
        <v>80</v>
      </c>
      <c r="D439" s="4" t="s">
        <v>46</v>
      </c>
      <c r="E439" s="63">
        <v>734.0</v>
      </c>
      <c r="G439" s="5">
        <f t="shared" si="5"/>
        <v>734</v>
      </c>
    </row>
    <row r="440">
      <c r="A440" s="60" t="s">
        <v>970</v>
      </c>
      <c r="B440" s="60" t="s">
        <v>971</v>
      </c>
      <c r="C440" s="4" t="s">
        <v>80</v>
      </c>
      <c r="D440" s="4" t="s">
        <v>46</v>
      </c>
      <c r="E440" s="63">
        <v>780.04</v>
      </c>
      <c r="G440" s="5">
        <f t="shared" si="5"/>
        <v>780.04</v>
      </c>
    </row>
    <row r="441">
      <c r="A441" s="60" t="s">
        <v>972</v>
      </c>
      <c r="B441" s="60" t="s">
        <v>973</v>
      </c>
      <c r="C441" s="4" t="s">
        <v>80</v>
      </c>
      <c r="D441" s="4" t="s">
        <v>46</v>
      </c>
      <c r="E441" s="61">
        <v>2070.0</v>
      </c>
      <c r="G441" s="62">
        <f t="shared" si="5"/>
        <v>2070</v>
      </c>
    </row>
    <row r="442">
      <c r="A442" s="60" t="s">
        <v>974</v>
      </c>
      <c r="B442" s="60" t="s">
        <v>975</v>
      </c>
      <c r="C442" s="4" t="s">
        <v>80</v>
      </c>
      <c r="D442" s="4" t="s">
        <v>46</v>
      </c>
      <c r="E442" s="63">
        <v>389.98</v>
      </c>
      <c r="G442" s="5">
        <f t="shared" si="5"/>
        <v>389.98</v>
      </c>
    </row>
    <row r="443">
      <c r="A443" s="60" t="s">
        <v>976</v>
      </c>
      <c r="B443" s="60" t="s">
        <v>977</v>
      </c>
      <c r="C443" s="4" t="s">
        <v>80</v>
      </c>
      <c r="D443" s="4" t="s">
        <v>46</v>
      </c>
      <c r="E443" s="63">
        <v>610.0</v>
      </c>
      <c r="G443" s="5">
        <f t="shared" si="5"/>
        <v>610</v>
      </c>
    </row>
    <row r="444">
      <c r="A444" s="60" t="s">
        <v>978</v>
      </c>
      <c r="B444" s="60" t="s">
        <v>979</v>
      </c>
      <c r="C444" s="4" t="s">
        <v>80</v>
      </c>
      <c r="D444" s="4" t="s">
        <v>46</v>
      </c>
      <c r="E444" s="61">
        <v>4284.11</v>
      </c>
      <c r="G444" s="62">
        <f t="shared" si="5"/>
        <v>4284.11</v>
      </c>
    </row>
    <row r="445">
      <c r="A445" s="60" t="s">
        <v>980</v>
      </c>
      <c r="B445" s="60" t="s">
        <v>981</v>
      </c>
      <c r="C445" s="4" t="s">
        <v>73</v>
      </c>
      <c r="D445" s="4" t="s">
        <v>55</v>
      </c>
      <c r="E445" s="61">
        <v>3856.82</v>
      </c>
      <c r="G445" s="62">
        <f t="shared" si="5"/>
        <v>3856.82</v>
      </c>
    </row>
    <row r="446">
      <c r="A446" s="60" t="s">
        <v>982</v>
      </c>
      <c r="B446" s="60" t="s">
        <v>983</v>
      </c>
      <c r="C446" s="4" t="s">
        <v>73</v>
      </c>
      <c r="D446" s="4" t="s">
        <v>55</v>
      </c>
      <c r="E446" s="61">
        <v>1199.97</v>
      </c>
      <c r="G446" s="62">
        <f t="shared" si="5"/>
        <v>1199.97</v>
      </c>
    </row>
    <row r="447">
      <c r="A447" s="60" t="s">
        <v>984</v>
      </c>
      <c r="B447" s="60" t="s">
        <v>985</v>
      </c>
      <c r="C447" s="4" t="s">
        <v>73</v>
      </c>
      <c r="D447" s="4" t="s">
        <v>55</v>
      </c>
      <c r="E447" s="61">
        <v>1842.82</v>
      </c>
      <c r="G447" s="62">
        <f t="shared" si="5"/>
        <v>1842.82</v>
      </c>
    </row>
    <row r="448">
      <c r="A448" s="60" t="s">
        <v>986</v>
      </c>
      <c r="B448" s="60" t="s">
        <v>987</v>
      </c>
      <c r="C448" s="4" t="s">
        <v>73</v>
      </c>
      <c r="D448" s="4" t="s">
        <v>55</v>
      </c>
      <c r="E448" s="61">
        <v>3527.67</v>
      </c>
      <c r="G448" s="62">
        <f t="shared" si="5"/>
        <v>3527.67</v>
      </c>
    </row>
    <row r="449">
      <c r="A449" s="60" t="s">
        <v>988</v>
      </c>
      <c r="B449" s="60" t="s">
        <v>989</v>
      </c>
      <c r="C449" s="4" t="s">
        <v>73</v>
      </c>
      <c r="D449" s="4" t="s">
        <v>55</v>
      </c>
      <c r="E449" s="61">
        <v>3523.32</v>
      </c>
      <c r="G449" s="62">
        <f t="shared" si="5"/>
        <v>3523.32</v>
      </c>
    </row>
    <row r="450">
      <c r="A450" s="60" t="s">
        <v>990</v>
      </c>
      <c r="B450" s="60" t="s">
        <v>991</v>
      </c>
      <c r="C450" s="4" t="s">
        <v>73</v>
      </c>
      <c r="D450" s="4" t="s">
        <v>55</v>
      </c>
      <c r="E450" s="63">
        <v>579.94</v>
      </c>
      <c r="G450" s="5">
        <f t="shared" si="5"/>
        <v>579.94</v>
      </c>
    </row>
    <row r="451">
      <c r="A451" s="60" t="s">
        <v>992</v>
      </c>
      <c r="B451" s="60" t="s">
        <v>993</v>
      </c>
      <c r="C451" s="4" t="s">
        <v>73</v>
      </c>
      <c r="D451" s="4" t="s">
        <v>55</v>
      </c>
      <c r="E451" s="63">
        <v>160.0</v>
      </c>
      <c r="G451" s="5">
        <f t="shared" si="5"/>
        <v>160</v>
      </c>
    </row>
    <row r="452">
      <c r="A452" s="60" t="s">
        <v>994</v>
      </c>
      <c r="B452" s="60" t="s">
        <v>995</v>
      </c>
      <c r="C452" s="4" t="s">
        <v>73</v>
      </c>
      <c r="D452" s="4" t="s">
        <v>55</v>
      </c>
      <c r="E452" s="61">
        <v>1929.73</v>
      </c>
      <c r="G452" s="62">
        <f t="shared" si="5"/>
        <v>1929.73</v>
      </c>
    </row>
    <row r="453">
      <c r="A453" s="60" t="s">
        <v>996</v>
      </c>
      <c r="B453" s="60" t="s">
        <v>997</v>
      </c>
      <c r="C453" s="4" t="s">
        <v>73</v>
      </c>
      <c r="D453" s="4" t="s">
        <v>55</v>
      </c>
      <c r="E453" s="61">
        <v>3969.4</v>
      </c>
      <c r="G453" s="62">
        <f t="shared" si="5"/>
        <v>3969.4</v>
      </c>
    </row>
    <row r="454">
      <c r="A454" s="60" t="s">
        <v>998</v>
      </c>
      <c r="B454" s="60" t="s">
        <v>999</v>
      </c>
      <c r="C454" s="4" t="s">
        <v>84</v>
      </c>
      <c r="D454" s="4" t="s">
        <v>56</v>
      </c>
      <c r="E454" s="61">
        <v>6363.98</v>
      </c>
      <c r="G454" s="62">
        <f t="shared" si="5"/>
        <v>6363.98</v>
      </c>
    </row>
    <row r="455">
      <c r="A455" s="60" t="s">
        <v>1000</v>
      </c>
      <c r="B455" s="60" t="s">
        <v>1001</v>
      </c>
      <c r="C455" s="4" t="s">
        <v>84</v>
      </c>
      <c r="D455" s="4" t="s">
        <v>56</v>
      </c>
      <c r="E455" s="61">
        <v>1620.0</v>
      </c>
      <c r="G455" s="62">
        <f t="shared" si="5"/>
        <v>1620</v>
      </c>
    </row>
    <row r="456">
      <c r="A456" s="60" t="s">
        <v>1002</v>
      </c>
      <c r="B456" s="60" t="s">
        <v>1003</v>
      </c>
      <c r="C456" s="4" t="s">
        <v>84</v>
      </c>
      <c r="D456" s="4" t="s">
        <v>56</v>
      </c>
      <c r="E456" s="61">
        <v>1050.02</v>
      </c>
      <c r="G456" s="62">
        <f t="shared" si="5"/>
        <v>1050.02</v>
      </c>
    </row>
    <row r="457">
      <c r="A457" s="60" t="s">
        <v>1004</v>
      </c>
      <c r="B457" s="60" t="s">
        <v>1005</v>
      </c>
      <c r="C457" s="4" t="s">
        <v>84</v>
      </c>
      <c r="D457" s="4" t="s">
        <v>56</v>
      </c>
      <c r="E457" s="61">
        <v>1415.97</v>
      </c>
      <c r="G457" s="62">
        <f t="shared" si="5"/>
        <v>1415.97</v>
      </c>
    </row>
    <row r="458">
      <c r="A458" s="60" t="s">
        <v>1006</v>
      </c>
      <c r="B458" s="60" t="s">
        <v>1007</v>
      </c>
      <c r="C458" s="4" t="s">
        <v>84</v>
      </c>
      <c r="D458" s="4" t="s">
        <v>56</v>
      </c>
      <c r="E458" s="61">
        <v>4596.37</v>
      </c>
      <c r="G458" s="62">
        <f t="shared" si="5"/>
        <v>4596.37</v>
      </c>
    </row>
    <row r="459">
      <c r="A459" s="60" t="s">
        <v>1008</v>
      </c>
      <c r="B459" s="60" t="s">
        <v>1009</v>
      </c>
      <c r="C459" s="4" t="s">
        <v>84</v>
      </c>
      <c r="D459" s="4" t="s">
        <v>56</v>
      </c>
      <c r="E459" s="61">
        <v>1356.09</v>
      </c>
      <c r="G459" s="62">
        <f t="shared" si="5"/>
        <v>1356.09</v>
      </c>
    </row>
    <row r="460">
      <c r="A460" s="60" t="s">
        <v>1010</v>
      </c>
      <c r="B460" s="60" t="s">
        <v>1011</v>
      </c>
      <c r="C460" s="4" t="s">
        <v>84</v>
      </c>
      <c r="D460" s="4" t="s">
        <v>56</v>
      </c>
      <c r="E460" s="61">
        <v>1241.94</v>
      </c>
      <c r="G460" s="62">
        <f t="shared" si="5"/>
        <v>1241.94</v>
      </c>
    </row>
    <row r="461">
      <c r="A461" s="60" t="s">
        <v>1012</v>
      </c>
      <c r="B461" s="60" t="s">
        <v>1013</v>
      </c>
      <c r="C461" s="4" t="s">
        <v>84</v>
      </c>
      <c r="D461" s="4" t="s">
        <v>56</v>
      </c>
      <c r="E461" s="61">
        <v>2484.05</v>
      </c>
      <c r="G461" s="62">
        <f t="shared" si="5"/>
        <v>2484.05</v>
      </c>
    </row>
    <row r="462">
      <c r="A462" s="60" t="s">
        <v>1014</v>
      </c>
      <c r="B462" s="60" t="s">
        <v>1015</v>
      </c>
      <c r="C462" s="4" t="s">
        <v>84</v>
      </c>
      <c r="D462" s="4" t="s">
        <v>56</v>
      </c>
      <c r="E462" s="61">
        <v>2280.08</v>
      </c>
      <c r="G462" s="62">
        <f t="shared" si="5"/>
        <v>2280.08</v>
      </c>
    </row>
    <row r="463">
      <c r="A463" s="60" t="s">
        <v>1016</v>
      </c>
      <c r="B463" s="60" t="s">
        <v>1017</v>
      </c>
      <c r="C463" s="4" t="s">
        <v>84</v>
      </c>
      <c r="D463" s="4" t="s">
        <v>56</v>
      </c>
      <c r="E463" s="61">
        <v>8503.9</v>
      </c>
      <c r="G463" s="62">
        <f t="shared" si="5"/>
        <v>8503.9</v>
      </c>
    </row>
    <row r="464">
      <c r="C464" s="5"/>
      <c r="D464" s="5"/>
      <c r="G464" s="5" t="str">
        <f t="shared" si="5"/>
        <v/>
      </c>
    </row>
    <row r="465">
      <c r="C465" s="5"/>
      <c r="D465" s="5"/>
      <c r="G465" s="5" t="str">
        <f t="shared" si="5"/>
        <v/>
      </c>
    </row>
    <row r="466">
      <c r="C466" s="5"/>
      <c r="D466" s="5"/>
      <c r="G466" s="5" t="str">
        <f t="shared" si="5"/>
        <v/>
      </c>
    </row>
    <row r="467">
      <c r="C467" s="5"/>
      <c r="D467" s="5"/>
      <c r="G467" s="5" t="str">
        <f t="shared" si="5"/>
        <v/>
      </c>
    </row>
    <row r="468">
      <c r="C468" s="5"/>
      <c r="D468" s="5"/>
      <c r="G468" s="5" t="str">
        <f t="shared" si="5"/>
        <v/>
      </c>
    </row>
    <row r="469">
      <c r="C469" s="5"/>
      <c r="D469" s="5"/>
      <c r="G469" s="5" t="str">
        <f t="shared" si="5"/>
        <v/>
      </c>
    </row>
    <row r="470">
      <c r="C470" s="5"/>
      <c r="D470" s="5"/>
      <c r="G470" s="5" t="str">
        <f t="shared" si="5"/>
        <v/>
      </c>
    </row>
    <row r="471">
      <c r="C471" s="5"/>
      <c r="D471" s="5"/>
      <c r="G471" s="5" t="str">
        <f t="shared" si="5"/>
        <v/>
      </c>
    </row>
    <row r="472">
      <c r="C472" s="5"/>
      <c r="D472" s="5"/>
      <c r="G472" s="5" t="str">
        <f t="shared" si="5"/>
        <v/>
      </c>
    </row>
    <row r="473">
      <c r="C473" s="5"/>
      <c r="D473" s="5"/>
      <c r="G473" s="5" t="str">
        <f t="shared" si="5"/>
        <v/>
      </c>
    </row>
    <row r="474">
      <c r="C474" s="5"/>
      <c r="D474" s="5"/>
      <c r="G474" s="5" t="str">
        <f t="shared" si="5"/>
        <v/>
      </c>
    </row>
    <row r="475">
      <c r="C475" s="5"/>
      <c r="D475" s="5"/>
      <c r="G475" s="5" t="str">
        <f t="shared" si="5"/>
        <v/>
      </c>
    </row>
    <row r="476">
      <c r="C476" s="5"/>
      <c r="D476" s="5"/>
      <c r="G476" s="5" t="str">
        <f t="shared" si="5"/>
        <v/>
      </c>
    </row>
    <row r="477">
      <c r="C477" s="5"/>
      <c r="D477" s="5"/>
      <c r="G477" s="5" t="str">
        <f t="shared" si="5"/>
        <v/>
      </c>
    </row>
    <row r="478">
      <c r="C478" s="5"/>
      <c r="D478" s="5"/>
      <c r="G478" s="5" t="str">
        <f t="shared" si="5"/>
        <v/>
      </c>
    </row>
    <row r="479">
      <c r="C479" s="5"/>
      <c r="D479" s="5"/>
      <c r="G479" s="5" t="str">
        <f t="shared" si="5"/>
        <v/>
      </c>
    </row>
    <row r="480">
      <c r="C480" s="5"/>
      <c r="D480" s="5"/>
      <c r="G480" s="5" t="str">
        <f t="shared" si="5"/>
        <v/>
      </c>
    </row>
    <row r="481">
      <c r="C481" s="5"/>
      <c r="D481" s="5"/>
      <c r="G481" s="5" t="str">
        <f t="shared" si="5"/>
        <v/>
      </c>
    </row>
    <row r="482">
      <c r="C482" s="5"/>
      <c r="D482" s="5"/>
      <c r="G482" s="5" t="str">
        <f t="shared" si="5"/>
        <v/>
      </c>
    </row>
    <row r="483">
      <c r="C483" s="5"/>
      <c r="D483" s="5"/>
      <c r="G483" s="5" t="str">
        <f t="shared" si="5"/>
        <v/>
      </c>
    </row>
    <row r="484">
      <c r="C484" s="5"/>
      <c r="D484" s="5"/>
      <c r="G484" s="5" t="str">
        <f t="shared" si="5"/>
        <v/>
      </c>
    </row>
    <row r="485">
      <c r="C485" s="5"/>
      <c r="D485" s="5"/>
      <c r="G485" s="5" t="str">
        <f t="shared" si="5"/>
        <v/>
      </c>
    </row>
    <row r="486">
      <c r="C486" s="5"/>
      <c r="D486" s="5"/>
      <c r="G486" s="5" t="str">
        <f t="shared" si="5"/>
        <v/>
      </c>
    </row>
    <row r="487">
      <c r="C487" s="5"/>
      <c r="D487" s="5"/>
      <c r="G487" s="5" t="str">
        <f t="shared" si="5"/>
        <v/>
      </c>
    </row>
    <row r="488">
      <c r="C488" s="5"/>
      <c r="D488" s="5"/>
      <c r="G488" s="5" t="str">
        <f t="shared" si="5"/>
        <v/>
      </c>
    </row>
    <row r="489">
      <c r="C489" s="5"/>
      <c r="D489" s="5"/>
      <c r="G489" s="5" t="str">
        <f t="shared" si="5"/>
        <v/>
      </c>
    </row>
    <row r="490">
      <c r="C490" s="5"/>
      <c r="D490" s="5"/>
      <c r="G490" s="5" t="str">
        <f t="shared" si="5"/>
        <v/>
      </c>
    </row>
    <row r="491">
      <c r="C491" s="5"/>
      <c r="D491" s="5"/>
      <c r="G491" s="5" t="str">
        <f t="shared" si="5"/>
        <v/>
      </c>
    </row>
    <row r="492">
      <c r="C492" s="5"/>
      <c r="D492" s="5"/>
      <c r="G492" s="5" t="str">
        <f t="shared" si="5"/>
        <v/>
      </c>
    </row>
    <row r="493">
      <c r="C493" s="5"/>
      <c r="D493" s="5"/>
      <c r="G493" s="5" t="str">
        <f t="shared" si="5"/>
        <v/>
      </c>
    </row>
    <row r="494">
      <c r="C494" s="5"/>
      <c r="D494" s="5"/>
      <c r="G494" s="5" t="str">
        <f t="shared" si="5"/>
        <v/>
      </c>
    </row>
    <row r="495">
      <c r="C495" s="5"/>
      <c r="D495" s="5"/>
      <c r="G495" s="5" t="str">
        <f t="shared" si="5"/>
        <v/>
      </c>
    </row>
    <row r="496">
      <c r="C496" s="5"/>
      <c r="D496" s="5"/>
      <c r="G496" s="5" t="str">
        <f t="shared" si="5"/>
        <v/>
      </c>
    </row>
    <row r="497">
      <c r="C497" s="5"/>
      <c r="D497" s="5"/>
      <c r="G497" s="5" t="str">
        <f t="shared" si="5"/>
        <v/>
      </c>
    </row>
    <row r="498">
      <c r="C498" s="5"/>
      <c r="D498" s="5"/>
      <c r="G498" s="5" t="str">
        <f t="shared" si="5"/>
        <v/>
      </c>
    </row>
    <row r="499">
      <c r="C499" s="5"/>
      <c r="D499" s="5"/>
      <c r="G499" s="5" t="str">
        <f t="shared" si="5"/>
        <v/>
      </c>
    </row>
    <row r="500">
      <c r="C500" s="5"/>
      <c r="D500" s="5"/>
      <c r="G500" s="5" t="str">
        <f t="shared" si="5"/>
        <v/>
      </c>
    </row>
    <row r="501">
      <c r="C501" s="5"/>
      <c r="D501" s="5"/>
      <c r="G501" s="5" t="str">
        <f t="shared" si="5"/>
        <v/>
      </c>
    </row>
    <row r="502">
      <c r="C502" s="5"/>
      <c r="D502" s="5"/>
      <c r="G502" s="5" t="str">
        <f t="shared" si="5"/>
        <v/>
      </c>
    </row>
    <row r="503">
      <c r="A503" s="25" t="s">
        <v>1018</v>
      </c>
      <c r="B503" s="64"/>
      <c r="C503" s="64"/>
      <c r="D503" s="64"/>
      <c r="E503" s="65">
        <f t="shared" ref="E503:G503" si="6">SUM(E23:E502)</f>
        <v>2179683.5</v>
      </c>
      <c r="F503" s="64">
        <f t="shared" si="6"/>
        <v>0</v>
      </c>
      <c r="G503" s="65">
        <f t="shared" si="6"/>
        <v>2179683.5</v>
      </c>
      <c r="H503" s="64"/>
    </row>
  </sheetData>
  <mergeCells count="1">
    <mergeCell ref="A1:H1"/>
  </mergeCells>
  <dataValidations>
    <dataValidation type="list" allowBlank="1" sqref="C23:C502">
      <formula1>Settings!$E$15:$E$38</formula1>
    </dataValidation>
    <dataValidation type="list" allowBlank="1" sqref="D23:D502">
      <formula1>Settings!$C$15:$C$30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1019</v>
      </c>
    </row>
    <row r="3">
      <c r="A3" s="33" t="s">
        <v>95</v>
      </c>
      <c r="B3" s="33" t="s">
        <v>23</v>
      </c>
      <c r="C3" s="33" t="s">
        <v>24</v>
      </c>
      <c r="D3" s="33" t="s">
        <v>25</v>
      </c>
      <c r="E3" s="33" t="s">
        <v>26</v>
      </c>
      <c r="F3" s="33" t="s">
        <v>27</v>
      </c>
      <c r="G3" s="33" t="s">
        <v>96</v>
      </c>
    </row>
    <row r="4">
      <c r="A4" s="34" t="s">
        <v>72</v>
      </c>
      <c r="B4" s="66">
        <v>730511.72</v>
      </c>
      <c r="C4" s="66">
        <v>534244.8</v>
      </c>
      <c r="D4" s="66">
        <v>3574.6</v>
      </c>
      <c r="E4" s="35">
        <v>50288.93</v>
      </c>
      <c r="F4" s="36">
        <f t="shared" ref="F4:F7" si="1">B4+C4-D4-E4</f>
        <v>1210892.99</v>
      </c>
      <c r="G4" s="37"/>
    </row>
    <row r="5">
      <c r="A5" s="34" t="s">
        <v>74</v>
      </c>
      <c r="B5" s="66">
        <v>613561.62</v>
      </c>
      <c r="C5" s="35">
        <v>415787.99</v>
      </c>
      <c r="D5" s="35">
        <v>0.0</v>
      </c>
      <c r="E5" s="35">
        <v>0.0</v>
      </c>
      <c r="F5" s="36">
        <f t="shared" si="1"/>
        <v>1029349.61</v>
      </c>
      <c r="G5" s="37"/>
    </row>
    <row r="6">
      <c r="A6" s="34" t="s">
        <v>76</v>
      </c>
      <c r="B6" s="66">
        <v>770824.04</v>
      </c>
      <c r="C6" s="66">
        <v>474609.66</v>
      </c>
      <c r="D6" s="66">
        <v>345.0</v>
      </c>
      <c r="E6" s="35">
        <v>0.0</v>
      </c>
      <c r="F6" s="36">
        <f t="shared" si="1"/>
        <v>1245088.7</v>
      </c>
      <c r="G6" s="37"/>
    </row>
    <row r="7">
      <c r="A7" s="34" t="s">
        <v>97</v>
      </c>
      <c r="B7" s="66">
        <v>333879.5</v>
      </c>
      <c r="C7" s="66">
        <v>806860.0</v>
      </c>
      <c r="D7" s="35">
        <v>126.5</v>
      </c>
      <c r="E7" s="35">
        <v>787076.93</v>
      </c>
      <c r="F7" s="36">
        <f t="shared" si="1"/>
        <v>353536.07</v>
      </c>
      <c r="G7" s="37"/>
    </row>
    <row r="8">
      <c r="A8" s="37"/>
      <c r="B8" s="36"/>
      <c r="C8" s="36"/>
      <c r="D8" s="36"/>
      <c r="E8" s="36"/>
      <c r="F8" s="36"/>
      <c r="G8" s="37"/>
    </row>
    <row r="9">
      <c r="A9" s="38" t="s">
        <v>98</v>
      </c>
      <c r="B9" s="39">
        <f t="shared" ref="B9:F9" si="2">SUM(B4:B7)</f>
        <v>2448776.88</v>
      </c>
      <c r="C9" s="39">
        <f t="shared" si="2"/>
        <v>2231502.45</v>
      </c>
      <c r="D9" s="39">
        <f t="shared" si="2"/>
        <v>4046.1</v>
      </c>
      <c r="E9" s="39">
        <f t="shared" si="2"/>
        <v>837365.86</v>
      </c>
      <c r="F9" s="39">
        <f t="shared" si="2"/>
        <v>3838867.37</v>
      </c>
      <c r="G9" s="40"/>
    </row>
    <row r="10">
      <c r="B10" s="6"/>
      <c r="C10" s="6"/>
      <c r="D10" s="6"/>
      <c r="E10" s="6"/>
      <c r="F10" s="6"/>
    </row>
    <row r="11">
      <c r="A11" s="28" t="s">
        <v>99</v>
      </c>
    </row>
    <row r="12">
      <c r="A12" s="41" t="s">
        <v>95</v>
      </c>
      <c r="B12" s="42" t="s">
        <v>100</v>
      </c>
      <c r="C12" s="42" t="s">
        <v>101</v>
      </c>
      <c r="D12" s="42" t="s">
        <v>102</v>
      </c>
      <c r="E12" s="42" t="s">
        <v>103</v>
      </c>
      <c r="F12" s="42" t="s">
        <v>104</v>
      </c>
      <c r="G12" s="41" t="s">
        <v>96</v>
      </c>
    </row>
    <row r="13">
      <c r="A13" s="34" t="s">
        <v>78</v>
      </c>
      <c r="B13" s="66">
        <v>423.48</v>
      </c>
      <c r="C13" s="35">
        <v>13303.18</v>
      </c>
      <c r="D13" s="36"/>
      <c r="E13" s="66">
        <v>10674.33</v>
      </c>
      <c r="F13" s="36">
        <f>B13+C13-D13-E13</f>
        <v>3052.33</v>
      </c>
      <c r="G13" s="37"/>
    </row>
    <row r="14">
      <c r="A14" s="37"/>
      <c r="B14" s="36"/>
      <c r="C14" s="36"/>
      <c r="D14" s="36"/>
      <c r="E14" s="36"/>
      <c r="F14" s="36"/>
      <c r="G14" s="37"/>
    </row>
    <row r="15">
      <c r="A15" s="38" t="s">
        <v>105</v>
      </c>
      <c r="B15" s="39">
        <f t="shared" ref="B15:F15" si="3">SUM(B13)</f>
        <v>423.48</v>
      </c>
      <c r="C15" s="39">
        <f t="shared" si="3"/>
        <v>13303.18</v>
      </c>
      <c r="D15" s="39">
        <f t="shared" si="3"/>
        <v>0</v>
      </c>
      <c r="E15" s="39">
        <f t="shared" si="3"/>
        <v>10674.33</v>
      </c>
      <c r="F15" s="39">
        <f t="shared" si="3"/>
        <v>3052.33</v>
      </c>
      <c r="G15" s="40"/>
    </row>
    <row r="16">
      <c r="B16" s="6"/>
      <c r="C16" s="6"/>
      <c r="D16" s="6"/>
      <c r="E16" s="6"/>
      <c r="F16" s="6"/>
    </row>
    <row r="17">
      <c r="A17" s="43" t="s">
        <v>106</v>
      </c>
      <c r="B17" s="44">
        <f t="shared" ref="B17:F17" si="4">B9+B15*3.75</f>
        <v>2450364.93</v>
      </c>
      <c r="C17" s="44">
        <f t="shared" si="4"/>
        <v>2281389.375</v>
      </c>
      <c r="D17" s="44">
        <f t="shared" si="4"/>
        <v>4046.1</v>
      </c>
      <c r="E17" s="44">
        <f t="shared" si="4"/>
        <v>877394.5975</v>
      </c>
      <c r="F17" s="44">
        <f t="shared" si="4"/>
        <v>3850313.608</v>
      </c>
      <c r="G17" s="45"/>
    </row>
    <row r="19">
      <c r="A19" s="46" t="s">
        <v>107</v>
      </c>
      <c r="B19" s="47"/>
      <c r="C19" s="48"/>
    </row>
    <row r="20">
      <c r="A20" s="34" t="s">
        <v>108</v>
      </c>
      <c r="B20" s="37"/>
      <c r="C20" s="49">
        <f>F17</f>
        <v>3850313.608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1020</v>
      </c>
    </row>
    <row r="3">
      <c r="A3" s="33" t="s">
        <v>95</v>
      </c>
      <c r="B3" s="33" t="s">
        <v>23</v>
      </c>
      <c r="C3" s="33" t="s">
        <v>24</v>
      </c>
      <c r="D3" s="33" t="s">
        <v>25</v>
      </c>
      <c r="E3" s="33" t="s">
        <v>26</v>
      </c>
      <c r="F3" s="33" t="s">
        <v>27</v>
      </c>
      <c r="G3" s="33" t="s">
        <v>96</v>
      </c>
    </row>
    <row r="4">
      <c r="A4" s="34" t="s">
        <v>72</v>
      </c>
      <c r="B4" s="35">
        <v>1210892.99</v>
      </c>
      <c r="C4" s="66">
        <v>703586.3</v>
      </c>
      <c r="D4" s="66">
        <v>3838.82</v>
      </c>
      <c r="E4" s="35">
        <v>1699946.8</v>
      </c>
      <c r="F4" s="36">
        <f t="shared" ref="F4:F7" si="1">B4+C4-D4-E4</f>
        <v>210693.67</v>
      </c>
      <c r="G4" s="37"/>
    </row>
    <row r="5">
      <c r="A5" s="34" t="s">
        <v>74</v>
      </c>
      <c r="B5" s="35">
        <v>1029349.61</v>
      </c>
      <c r="C5" s="66">
        <v>538084.41</v>
      </c>
      <c r="D5" s="66">
        <v>8.05</v>
      </c>
      <c r="E5" s="66">
        <v>1002925.0</v>
      </c>
      <c r="F5" s="36">
        <f t="shared" si="1"/>
        <v>564500.97</v>
      </c>
      <c r="G5" s="37"/>
    </row>
    <row r="6">
      <c r="A6" s="34" t="s">
        <v>76</v>
      </c>
      <c r="B6" s="35">
        <v>1245088.7</v>
      </c>
      <c r="C6" s="66">
        <v>717855.66</v>
      </c>
      <c r="D6" s="66">
        <v>373.75</v>
      </c>
      <c r="E6" s="67">
        <v>400000.0</v>
      </c>
      <c r="F6" s="67">
        <f t="shared" si="1"/>
        <v>1562570.61</v>
      </c>
      <c r="G6" s="37"/>
    </row>
    <row r="7">
      <c r="A7" s="34" t="s">
        <v>97</v>
      </c>
      <c r="B7" s="35">
        <v>353536.06999999995</v>
      </c>
      <c r="C7" s="66">
        <v>2429125.0</v>
      </c>
      <c r="D7" s="66">
        <v>109.25</v>
      </c>
      <c r="E7" s="66">
        <v>2622497.34</v>
      </c>
      <c r="F7" s="36">
        <f t="shared" si="1"/>
        <v>160054.48</v>
      </c>
      <c r="G7" s="37"/>
    </row>
    <row r="8">
      <c r="A8" s="37"/>
      <c r="B8" s="36"/>
      <c r="C8" s="36"/>
      <c r="D8" s="36"/>
      <c r="E8" s="36"/>
      <c r="F8" s="36"/>
      <c r="G8" s="37"/>
    </row>
    <row r="9">
      <c r="A9" s="38" t="s">
        <v>98</v>
      </c>
      <c r="B9" s="39">
        <f t="shared" ref="B9:F9" si="2">SUM(B4:B7)</f>
        <v>3838867.37</v>
      </c>
      <c r="C9" s="39">
        <f t="shared" si="2"/>
        <v>4388651.37</v>
      </c>
      <c r="D9" s="39">
        <f t="shared" si="2"/>
        <v>4329.87</v>
      </c>
      <c r="E9" s="39">
        <f t="shared" si="2"/>
        <v>5725369.14</v>
      </c>
      <c r="F9" s="39">
        <f t="shared" si="2"/>
        <v>2497819.73</v>
      </c>
      <c r="G9" s="40"/>
    </row>
    <row r="10">
      <c r="B10" s="6"/>
      <c r="C10" s="6"/>
      <c r="D10" s="6"/>
      <c r="E10" s="6"/>
      <c r="F10" s="6"/>
    </row>
    <row r="11">
      <c r="A11" s="28" t="s">
        <v>99</v>
      </c>
    </row>
    <row r="12">
      <c r="A12" s="41" t="s">
        <v>95</v>
      </c>
      <c r="B12" s="42" t="s">
        <v>100</v>
      </c>
      <c r="C12" s="42" t="s">
        <v>101</v>
      </c>
      <c r="D12" s="42" t="s">
        <v>102</v>
      </c>
      <c r="E12" s="42" t="s">
        <v>103</v>
      </c>
      <c r="F12" s="42" t="s">
        <v>104</v>
      </c>
      <c r="G12" s="41" t="s">
        <v>96</v>
      </c>
    </row>
    <row r="13">
      <c r="A13" s="34" t="s">
        <v>78</v>
      </c>
      <c r="B13" s="35">
        <v>3052.33</v>
      </c>
      <c r="C13" s="66">
        <v>530794.71</v>
      </c>
      <c r="D13" s="66">
        <v>107.31</v>
      </c>
      <c r="E13" s="66">
        <v>533606.16</v>
      </c>
      <c r="F13" s="36">
        <f>B13+C13-D13-E13</f>
        <v>133.57</v>
      </c>
      <c r="G13" s="37"/>
    </row>
    <row r="14">
      <c r="A14" s="37"/>
      <c r="B14" s="36"/>
      <c r="C14" s="36"/>
      <c r="D14" s="36"/>
      <c r="E14" s="36"/>
      <c r="F14" s="36"/>
      <c r="G14" s="37"/>
    </row>
    <row r="15">
      <c r="A15" s="38" t="s">
        <v>105</v>
      </c>
      <c r="B15" s="39">
        <f t="shared" ref="B15:F15" si="3">SUM(B13)</f>
        <v>3052.33</v>
      </c>
      <c r="C15" s="39">
        <f t="shared" si="3"/>
        <v>530794.71</v>
      </c>
      <c r="D15" s="39">
        <f t="shared" si="3"/>
        <v>107.31</v>
      </c>
      <c r="E15" s="39">
        <f t="shared" si="3"/>
        <v>533606.16</v>
      </c>
      <c r="F15" s="39">
        <f t="shared" si="3"/>
        <v>133.57</v>
      </c>
      <c r="G15" s="40"/>
    </row>
    <row r="16">
      <c r="B16" s="6"/>
      <c r="C16" s="6"/>
      <c r="D16" s="6"/>
      <c r="E16" s="6"/>
      <c r="F16" s="6"/>
    </row>
    <row r="17">
      <c r="A17" s="43" t="s">
        <v>106</v>
      </c>
      <c r="B17" s="44">
        <f t="shared" ref="B17:F17" si="4">B9+B15*3.75</f>
        <v>3850313.608</v>
      </c>
      <c r="C17" s="44">
        <f t="shared" si="4"/>
        <v>6379131.533</v>
      </c>
      <c r="D17" s="44">
        <f t="shared" si="4"/>
        <v>4732.2825</v>
      </c>
      <c r="E17" s="44">
        <f t="shared" si="4"/>
        <v>7726392.24</v>
      </c>
      <c r="F17" s="44">
        <f t="shared" si="4"/>
        <v>2498320.618</v>
      </c>
      <c r="G17" s="45"/>
    </row>
    <row r="19">
      <c r="A19" s="46" t="s">
        <v>107</v>
      </c>
      <c r="B19" s="47"/>
      <c r="C19" s="48"/>
    </row>
    <row r="20">
      <c r="A20" s="34" t="s">
        <v>108</v>
      </c>
      <c r="B20" s="37"/>
      <c r="C20" s="49">
        <f>F17</f>
        <v>2498320.618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4" width="18.88"/>
    <col customWidth="1" min="5" max="7" width="15.13"/>
  </cols>
  <sheetData>
    <row r="1">
      <c r="A1" s="22" t="s">
        <v>1021</v>
      </c>
    </row>
    <row r="3">
      <c r="A3" s="50" t="s">
        <v>110</v>
      </c>
      <c r="B3" s="51">
        <v>504511.39</v>
      </c>
      <c r="D3" s="50" t="s">
        <v>111</v>
      </c>
      <c r="E3" s="52">
        <f>163800.84+SUM(E7:E101)</f>
        <v>540959.39</v>
      </c>
    </row>
    <row r="5">
      <c r="A5" s="7" t="s">
        <v>112</v>
      </c>
    </row>
    <row r="6">
      <c r="A6" s="41" t="s">
        <v>113</v>
      </c>
      <c r="B6" s="41" t="s">
        <v>114</v>
      </c>
      <c r="C6" s="41" t="s">
        <v>115</v>
      </c>
      <c r="D6" s="41" t="s">
        <v>116</v>
      </c>
      <c r="E6" s="41" t="s">
        <v>117</v>
      </c>
      <c r="F6" s="41" t="s">
        <v>118</v>
      </c>
      <c r="G6" s="41" t="s">
        <v>119</v>
      </c>
    </row>
    <row r="7">
      <c r="A7" s="63" t="s">
        <v>1022</v>
      </c>
      <c r="B7" s="60" t="s">
        <v>1023</v>
      </c>
      <c r="C7" s="60" t="s">
        <v>1024</v>
      </c>
      <c r="D7" s="61"/>
      <c r="E7" s="68">
        <v>1500.0</v>
      </c>
      <c r="F7" s="36"/>
      <c r="G7" s="36">
        <f>IF(E7="","",B3+E7-F7)</f>
        <v>506011.39</v>
      </c>
    </row>
    <row r="8">
      <c r="A8" s="60" t="s">
        <v>1025</v>
      </c>
      <c r="B8" s="60" t="s">
        <v>1026</v>
      </c>
      <c r="C8" s="60" t="s">
        <v>1027</v>
      </c>
      <c r="D8" s="63"/>
      <c r="E8" s="68">
        <v>350.0</v>
      </c>
      <c r="F8" s="36"/>
      <c r="G8" s="36">
        <f t="shared" ref="G8:G100" si="1">IF(E8="","",G7+E8-F8)</f>
        <v>506361.39</v>
      </c>
    </row>
    <row r="9">
      <c r="A9" s="60" t="s">
        <v>1025</v>
      </c>
      <c r="B9" s="60" t="s">
        <v>1026</v>
      </c>
      <c r="C9" s="60" t="s">
        <v>1028</v>
      </c>
      <c r="D9" s="63"/>
      <c r="E9" s="68">
        <v>143.48</v>
      </c>
      <c r="F9" s="36"/>
      <c r="G9" s="36">
        <f t="shared" si="1"/>
        <v>506504.87</v>
      </c>
    </row>
    <row r="10">
      <c r="A10" s="60" t="s">
        <v>1025</v>
      </c>
      <c r="B10" s="60" t="s">
        <v>1026</v>
      </c>
      <c r="C10" s="60" t="s">
        <v>1028</v>
      </c>
      <c r="D10" s="63"/>
      <c r="E10" s="68">
        <v>600.0</v>
      </c>
      <c r="F10" s="36"/>
      <c r="G10" s="36">
        <f t="shared" si="1"/>
        <v>507104.87</v>
      </c>
    </row>
    <row r="11">
      <c r="A11" s="60" t="s">
        <v>1029</v>
      </c>
      <c r="B11" s="60" t="s">
        <v>1030</v>
      </c>
      <c r="C11" s="60" t="s">
        <v>1031</v>
      </c>
      <c r="D11" s="61"/>
      <c r="E11" s="68">
        <v>34000.0</v>
      </c>
      <c r="F11" s="36"/>
      <c r="G11" s="36">
        <f t="shared" si="1"/>
        <v>541104.87</v>
      </c>
    </row>
    <row r="12">
      <c r="A12" s="60" t="s">
        <v>1032</v>
      </c>
      <c r="B12" s="60" t="s">
        <v>1033</v>
      </c>
      <c r="C12" s="60" t="s">
        <v>1034</v>
      </c>
      <c r="D12" s="63"/>
      <c r="E12" s="68">
        <v>500.0</v>
      </c>
      <c r="F12" s="36"/>
      <c r="G12" s="36">
        <f t="shared" si="1"/>
        <v>541604.87</v>
      </c>
    </row>
    <row r="13">
      <c r="A13" s="69">
        <v>45298.0</v>
      </c>
      <c r="B13" s="60" t="s">
        <v>1035</v>
      </c>
      <c r="C13" s="60" t="s">
        <v>1036</v>
      </c>
      <c r="D13" s="61"/>
      <c r="E13" s="68">
        <v>4000.0</v>
      </c>
      <c r="F13" s="36"/>
      <c r="G13" s="36">
        <f t="shared" si="1"/>
        <v>545604.87</v>
      </c>
    </row>
    <row r="14">
      <c r="A14" s="69">
        <v>45450.0</v>
      </c>
      <c r="B14" s="60" t="s">
        <v>1037</v>
      </c>
      <c r="C14" s="60" t="s">
        <v>1038</v>
      </c>
      <c r="D14" s="61"/>
      <c r="E14" s="68">
        <v>2790.0</v>
      </c>
      <c r="F14" s="36"/>
      <c r="G14" s="36">
        <f t="shared" si="1"/>
        <v>548394.87</v>
      </c>
    </row>
    <row r="15">
      <c r="A15" s="60" t="s">
        <v>1039</v>
      </c>
      <c r="B15" s="60" t="s">
        <v>1040</v>
      </c>
      <c r="C15" s="60" t="s">
        <v>1041</v>
      </c>
      <c r="D15" s="61"/>
      <c r="E15" s="68">
        <v>74656.7</v>
      </c>
      <c r="F15" s="36"/>
      <c r="G15" s="36">
        <f t="shared" si="1"/>
        <v>623051.57</v>
      </c>
    </row>
    <row r="16">
      <c r="A16" s="60" t="s">
        <v>1039</v>
      </c>
      <c r="B16" s="60" t="s">
        <v>1042</v>
      </c>
      <c r="C16" s="60" t="s">
        <v>1043</v>
      </c>
      <c r="D16" s="61"/>
      <c r="E16" s="68">
        <v>25655.23</v>
      </c>
      <c r="F16" s="36"/>
      <c r="G16" s="36">
        <f t="shared" si="1"/>
        <v>648706.8</v>
      </c>
    </row>
    <row r="17">
      <c r="A17" s="60" t="s">
        <v>1044</v>
      </c>
      <c r="B17" s="60" t="s">
        <v>1045</v>
      </c>
      <c r="C17" s="60" t="s">
        <v>1046</v>
      </c>
      <c r="D17" s="61"/>
      <c r="E17" s="68">
        <v>5000.0</v>
      </c>
      <c r="F17" s="36"/>
      <c r="G17" s="36">
        <f t="shared" si="1"/>
        <v>653706.8</v>
      </c>
    </row>
    <row r="18">
      <c r="A18" s="60" t="s">
        <v>1047</v>
      </c>
      <c r="B18" s="60" t="s">
        <v>1048</v>
      </c>
      <c r="C18" s="60" t="s">
        <v>1049</v>
      </c>
      <c r="D18" s="61"/>
      <c r="E18" s="68">
        <v>4650.0</v>
      </c>
      <c r="F18" s="36"/>
      <c r="G18" s="36">
        <f t="shared" si="1"/>
        <v>658356.8</v>
      </c>
    </row>
    <row r="19">
      <c r="A19" s="60" t="s">
        <v>1050</v>
      </c>
      <c r="B19" s="60" t="s">
        <v>1051</v>
      </c>
      <c r="C19" s="60" t="s">
        <v>1052</v>
      </c>
      <c r="D19" s="63"/>
      <c r="E19" s="68">
        <v>500.0</v>
      </c>
      <c r="F19" s="36"/>
      <c r="G19" s="36">
        <f t="shared" si="1"/>
        <v>658856.8</v>
      </c>
    </row>
    <row r="20">
      <c r="A20" s="63" t="s">
        <v>1053</v>
      </c>
      <c r="B20" s="70"/>
      <c r="C20" s="60" t="s">
        <v>1054</v>
      </c>
      <c r="D20" s="63"/>
      <c r="E20" s="68">
        <v>16857.45</v>
      </c>
      <c r="F20" s="36"/>
      <c r="G20" s="36">
        <f t="shared" si="1"/>
        <v>675714.25</v>
      </c>
    </row>
    <row r="21">
      <c r="A21" s="69">
        <v>45546.0</v>
      </c>
      <c r="B21" s="60" t="s">
        <v>1055</v>
      </c>
      <c r="C21" s="60" t="s">
        <v>1056</v>
      </c>
      <c r="D21" s="61"/>
      <c r="E21" s="68">
        <v>4450.0</v>
      </c>
      <c r="F21" s="36"/>
      <c r="G21" s="36">
        <f t="shared" si="1"/>
        <v>680164.25</v>
      </c>
    </row>
    <row r="22">
      <c r="A22" s="71">
        <v>45637.0</v>
      </c>
      <c r="B22" s="60" t="s">
        <v>1057</v>
      </c>
      <c r="C22" s="60" t="s">
        <v>1058</v>
      </c>
      <c r="D22" s="63"/>
      <c r="E22" s="68">
        <v>80.0</v>
      </c>
      <c r="F22" s="36"/>
      <c r="G22" s="36">
        <f t="shared" si="1"/>
        <v>680244.25</v>
      </c>
    </row>
    <row r="23">
      <c r="A23" s="71">
        <v>45577.0</v>
      </c>
      <c r="B23" s="60" t="s">
        <v>1059</v>
      </c>
      <c r="C23" s="60" t="s">
        <v>1043</v>
      </c>
      <c r="D23" s="61"/>
      <c r="E23" s="68">
        <v>49001.48</v>
      </c>
      <c r="F23" s="36"/>
      <c r="G23" s="36">
        <f t="shared" si="1"/>
        <v>729245.73</v>
      </c>
    </row>
    <row r="24">
      <c r="A24" s="60" t="s">
        <v>1060</v>
      </c>
      <c r="B24" s="60" t="s">
        <v>1061</v>
      </c>
      <c r="C24" s="60" t="s">
        <v>1062</v>
      </c>
      <c r="D24" s="63"/>
      <c r="E24" s="68">
        <v>300.0</v>
      </c>
      <c r="F24" s="36"/>
      <c r="G24" s="36">
        <f t="shared" si="1"/>
        <v>729545.73</v>
      </c>
    </row>
    <row r="25">
      <c r="A25" s="60" t="s">
        <v>1063</v>
      </c>
      <c r="B25" s="60" t="s">
        <v>1064</v>
      </c>
      <c r="C25" s="60" t="s">
        <v>1065</v>
      </c>
      <c r="D25" s="63"/>
      <c r="E25" s="68">
        <v>150.0</v>
      </c>
      <c r="F25" s="36"/>
      <c r="G25" s="36">
        <f t="shared" si="1"/>
        <v>729695.73</v>
      </c>
    </row>
    <row r="26">
      <c r="A26" s="60" t="s">
        <v>1066</v>
      </c>
      <c r="B26" s="60" t="s">
        <v>1067</v>
      </c>
      <c r="C26" s="60" t="s">
        <v>1068</v>
      </c>
      <c r="D26" s="61"/>
      <c r="E26" s="68">
        <v>51310.45</v>
      </c>
      <c r="F26" s="36"/>
      <c r="G26" s="36">
        <f t="shared" si="1"/>
        <v>781006.18</v>
      </c>
    </row>
    <row r="27">
      <c r="A27" s="69">
        <v>45749.0</v>
      </c>
      <c r="B27" s="60" t="s">
        <v>1069</v>
      </c>
      <c r="C27" s="60" t="s">
        <v>1070</v>
      </c>
      <c r="D27" s="63"/>
      <c r="E27" s="68">
        <v>200.0</v>
      </c>
      <c r="F27" s="36"/>
      <c r="G27" s="36">
        <f t="shared" si="1"/>
        <v>781206.18</v>
      </c>
    </row>
    <row r="28">
      <c r="A28" s="60" t="s">
        <v>1071</v>
      </c>
      <c r="B28" s="60" t="s">
        <v>1072</v>
      </c>
      <c r="C28" s="60" t="s">
        <v>1073</v>
      </c>
      <c r="D28" s="63"/>
      <c r="E28" s="68">
        <v>334.8</v>
      </c>
      <c r="F28" s="36"/>
      <c r="G28" s="36">
        <f t="shared" si="1"/>
        <v>781540.98</v>
      </c>
    </row>
    <row r="29">
      <c r="A29" s="60" t="s">
        <v>1071</v>
      </c>
      <c r="B29" s="60" t="s">
        <v>1072</v>
      </c>
      <c r="C29" s="60" t="s">
        <v>1074</v>
      </c>
      <c r="D29" s="63"/>
      <c r="E29" s="68">
        <v>300.0</v>
      </c>
      <c r="F29" s="36"/>
      <c r="G29" s="36">
        <f t="shared" si="1"/>
        <v>781840.98</v>
      </c>
    </row>
    <row r="30">
      <c r="A30" s="60" t="s">
        <v>1071</v>
      </c>
      <c r="B30" s="60" t="s">
        <v>1072</v>
      </c>
      <c r="C30" s="60" t="s">
        <v>1073</v>
      </c>
      <c r="D30" s="63"/>
      <c r="E30" s="68">
        <v>350.0</v>
      </c>
      <c r="F30" s="36"/>
      <c r="G30" s="36">
        <f t="shared" si="1"/>
        <v>782190.98</v>
      </c>
    </row>
    <row r="31">
      <c r="A31" s="69">
        <v>45752.0</v>
      </c>
      <c r="B31" s="60" t="s">
        <v>1075</v>
      </c>
      <c r="C31" s="60" t="s">
        <v>1076</v>
      </c>
      <c r="D31" s="63"/>
      <c r="E31" s="68">
        <v>200.0</v>
      </c>
      <c r="F31" s="36"/>
      <c r="G31" s="36">
        <f t="shared" si="1"/>
        <v>782390.98</v>
      </c>
    </row>
    <row r="32">
      <c r="A32" s="60" t="s">
        <v>1077</v>
      </c>
      <c r="B32" s="60" t="s">
        <v>1078</v>
      </c>
      <c r="C32" s="60" t="s">
        <v>1079</v>
      </c>
      <c r="D32" s="63"/>
      <c r="E32" s="68">
        <v>170.0</v>
      </c>
      <c r="F32" s="36"/>
      <c r="G32" s="36">
        <f t="shared" si="1"/>
        <v>782560.98</v>
      </c>
    </row>
    <row r="33">
      <c r="A33" s="63" t="s">
        <v>1080</v>
      </c>
      <c r="B33" s="70"/>
      <c r="C33" s="60" t="s">
        <v>1081</v>
      </c>
      <c r="D33" s="63"/>
      <c r="E33" s="68">
        <v>219.0</v>
      </c>
      <c r="F33" s="36"/>
      <c r="G33" s="36">
        <f t="shared" si="1"/>
        <v>782779.98</v>
      </c>
    </row>
    <row r="34">
      <c r="A34" s="69">
        <v>45997.0</v>
      </c>
      <c r="B34" s="60" t="s">
        <v>1082</v>
      </c>
      <c r="C34" s="60" t="s">
        <v>1083</v>
      </c>
      <c r="D34" s="63"/>
      <c r="E34" s="68">
        <v>260.96</v>
      </c>
      <c r="F34" s="36"/>
      <c r="G34" s="36">
        <f t="shared" si="1"/>
        <v>783040.94</v>
      </c>
    </row>
    <row r="35">
      <c r="A35" s="60" t="s">
        <v>1084</v>
      </c>
      <c r="B35" s="60" t="s">
        <v>1085</v>
      </c>
      <c r="C35" s="60" t="s">
        <v>1086</v>
      </c>
      <c r="D35" s="61"/>
      <c r="E35" s="68">
        <v>9000.0</v>
      </c>
      <c r="F35" s="36"/>
      <c r="G35" s="36">
        <f t="shared" si="1"/>
        <v>792040.94</v>
      </c>
    </row>
    <row r="36">
      <c r="A36" s="63" t="s">
        <v>1087</v>
      </c>
      <c r="B36" s="60" t="s">
        <v>1088</v>
      </c>
      <c r="C36" s="60" t="s">
        <v>1089</v>
      </c>
      <c r="D36" s="63"/>
      <c r="E36" s="68">
        <v>100.0</v>
      </c>
      <c r="F36" s="36"/>
      <c r="G36" s="36">
        <f t="shared" si="1"/>
        <v>792140.94</v>
      </c>
    </row>
    <row r="37">
      <c r="A37" s="60" t="s">
        <v>1090</v>
      </c>
      <c r="B37" s="60" t="s">
        <v>1091</v>
      </c>
      <c r="C37" s="60" t="s">
        <v>1092</v>
      </c>
      <c r="D37" s="63"/>
      <c r="E37" s="68">
        <v>200.0</v>
      </c>
      <c r="F37" s="36"/>
      <c r="G37" s="36">
        <f t="shared" si="1"/>
        <v>792340.94</v>
      </c>
    </row>
    <row r="38">
      <c r="A38" s="60" t="s">
        <v>1093</v>
      </c>
      <c r="B38" s="60" t="s">
        <v>1094</v>
      </c>
      <c r="C38" s="60" t="s">
        <v>1095</v>
      </c>
      <c r="D38" s="61"/>
      <c r="E38" s="68">
        <v>1500.0</v>
      </c>
      <c r="F38" s="36"/>
      <c r="G38" s="36">
        <f t="shared" si="1"/>
        <v>793840.94</v>
      </c>
    </row>
    <row r="39">
      <c r="A39" s="60" t="s">
        <v>1093</v>
      </c>
      <c r="B39" s="60" t="s">
        <v>1094</v>
      </c>
      <c r="C39" s="60" t="s">
        <v>1096</v>
      </c>
      <c r="D39" s="63"/>
      <c r="E39" s="68">
        <v>450.0</v>
      </c>
      <c r="F39" s="36"/>
      <c r="G39" s="36">
        <f t="shared" si="1"/>
        <v>794290.94</v>
      </c>
    </row>
    <row r="40">
      <c r="A40" s="60" t="s">
        <v>1097</v>
      </c>
      <c r="B40" s="60" t="s">
        <v>1098</v>
      </c>
      <c r="C40" s="60" t="s">
        <v>1099</v>
      </c>
      <c r="D40" s="63"/>
      <c r="E40" s="68">
        <v>100.0</v>
      </c>
      <c r="F40" s="36"/>
      <c r="G40" s="36">
        <f t="shared" si="1"/>
        <v>794390.94</v>
      </c>
    </row>
    <row r="41">
      <c r="A41" s="69">
        <v>45939.0</v>
      </c>
      <c r="B41" s="60" t="s">
        <v>1100</v>
      </c>
      <c r="C41" s="60" t="s">
        <v>1101</v>
      </c>
      <c r="D41" s="63"/>
      <c r="E41" s="68">
        <v>15.0</v>
      </c>
      <c r="F41" s="36"/>
      <c r="G41" s="36">
        <f t="shared" si="1"/>
        <v>794405.94</v>
      </c>
    </row>
    <row r="42">
      <c r="A42" s="60" t="s">
        <v>1102</v>
      </c>
      <c r="B42" s="60" t="s">
        <v>1103</v>
      </c>
      <c r="C42" s="60" t="s">
        <v>1104</v>
      </c>
      <c r="D42" s="63"/>
      <c r="E42" s="68">
        <v>100.0</v>
      </c>
      <c r="F42" s="36"/>
      <c r="G42" s="36">
        <f t="shared" si="1"/>
        <v>794505.94</v>
      </c>
    </row>
    <row r="43">
      <c r="A43" s="60" t="s">
        <v>1105</v>
      </c>
      <c r="B43" s="60" t="s">
        <v>1106</v>
      </c>
      <c r="C43" s="60" t="s">
        <v>1107</v>
      </c>
      <c r="D43" s="63"/>
      <c r="E43" s="68">
        <v>700.0</v>
      </c>
      <c r="F43" s="36"/>
      <c r="G43" s="36">
        <f t="shared" si="1"/>
        <v>795205.94</v>
      </c>
    </row>
    <row r="44">
      <c r="A44" s="60" t="s">
        <v>1108</v>
      </c>
      <c r="B44" s="60" t="s">
        <v>1109</v>
      </c>
      <c r="C44" s="60" t="s">
        <v>1092</v>
      </c>
      <c r="D44" s="61"/>
      <c r="E44" s="68">
        <v>1000.0</v>
      </c>
      <c r="F44" s="36"/>
      <c r="G44" s="36">
        <f t="shared" si="1"/>
        <v>796205.94</v>
      </c>
    </row>
    <row r="45">
      <c r="A45" s="60" t="s">
        <v>1110</v>
      </c>
      <c r="B45" s="60" t="s">
        <v>1111</v>
      </c>
      <c r="C45" s="60" t="s">
        <v>1112</v>
      </c>
      <c r="D45" s="61"/>
      <c r="E45" s="68">
        <v>16000.0</v>
      </c>
      <c r="F45" s="36"/>
      <c r="G45" s="36">
        <f t="shared" si="1"/>
        <v>812205.94</v>
      </c>
    </row>
    <row r="46">
      <c r="A46" s="60" t="s">
        <v>1113</v>
      </c>
      <c r="B46" s="60" t="s">
        <v>1114</v>
      </c>
      <c r="C46" s="60" t="s">
        <v>1115</v>
      </c>
      <c r="D46" s="61"/>
      <c r="E46" s="68">
        <v>2000.0</v>
      </c>
      <c r="F46" s="36"/>
      <c r="G46" s="36">
        <f t="shared" si="1"/>
        <v>814205.94</v>
      </c>
    </row>
    <row r="47">
      <c r="A47" s="60" t="s">
        <v>1113</v>
      </c>
      <c r="B47" s="60" t="s">
        <v>1114</v>
      </c>
      <c r="C47" s="60" t="s">
        <v>1092</v>
      </c>
      <c r="D47" s="61"/>
      <c r="E47" s="68">
        <v>4210.0</v>
      </c>
      <c r="F47" s="36"/>
      <c r="G47" s="36">
        <f t="shared" si="1"/>
        <v>818415.94</v>
      </c>
    </row>
    <row r="48">
      <c r="A48" s="60" t="s">
        <v>1116</v>
      </c>
      <c r="B48" s="60" t="s">
        <v>1117</v>
      </c>
      <c r="C48" s="60" t="s">
        <v>1118</v>
      </c>
      <c r="D48" s="61"/>
      <c r="E48" s="68">
        <v>16470.0</v>
      </c>
      <c r="F48" s="36"/>
      <c r="G48" s="36">
        <f t="shared" si="1"/>
        <v>834885.94</v>
      </c>
    </row>
    <row r="49">
      <c r="A49" s="60" t="s">
        <v>1116</v>
      </c>
      <c r="B49" s="60" t="s">
        <v>1117</v>
      </c>
      <c r="C49" s="60" t="s">
        <v>1119</v>
      </c>
      <c r="D49" s="63"/>
      <c r="E49" s="68">
        <v>64.0</v>
      </c>
      <c r="F49" s="36"/>
      <c r="G49" s="36">
        <f t="shared" si="1"/>
        <v>834949.94</v>
      </c>
    </row>
    <row r="50">
      <c r="A50" s="60" t="s">
        <v>1120</v>
      </c>
      <c r="B50" s="60" t="s">
        <v>1121</v>
      </c>
      <c r="C50" s="60" t="s">
        <v>1122</v>
      </c>
      <c r="D50" s="63"/>
      <c r="E50" s="68">
        <v>140.0</v>
      </c>
      <c r="F50" s="36"/>
      <c r="G50" s="36">
        <f t="shared" si="1"/>
        <v>835089.94</v>
      </c>
    </row>
    <row r="51">
      <c r="A51" s="70"/>
      <c r="B51" s="70"/>
      <c r="C51" s="60" t="s">
        <v>1123</v>
      </c>
      <c r="D51" s="63"/>
      <c r="E51" s="68">
        <v>35.0</v>
      </c>
      <c r="F51" s="36"/>
      <c r="G51" s="36">
        <f t="shared" si="1"/>
        <v>835124.94</v>
      </c>
    </row>
    <row r="52">
      <c r="A52" s="69">
        <v>45910.0</v>
      </c>
      <c r="B52" s="60" t="s">
        <v>1124</v>
      </c>
      <c r="C52" s="60" t="s">
        <v>1125</v>
      </c>
      <c r="D52" s="61"/>
      <c r="E52" s="68">
        <v>2000.0</v>
      </c>
      <c r="F52" s="36"/>
      <c r="G52" s="36">
        <f t="shared" si="1"/>
        <v>837124.94</v>
      </c>
    </row>
    <row r="53">
      <c r="A53" s="71">
        <v>45971.0</v>
      </c>
      <c r="B53" s="60" t="s">
        <v>1126</v>
      </c>
      <c r="C53" s="60" t="s">
        <v>1127</v>
      </c>
      <c r="D53" s="61"/>
      <c r="E53" s="68">
        <v>4000.0</v>
      </c>
      <c r="F53" s="36"/>
      <c r="G53" s="36">
        <f t="shared" si="1"/>
        <v>841124.94</v>
      </c>
    </row>
    <row r="54">
      <c r="A54" s="71">
        <v>46001.0</v>
      </c>
      <c r="B54" s="60" t="s">
        <v>1128</v>
      </c>
      <c r="C54" s="60" t="s">
        <v>1127</v>
      </c>
      <c r="D54" s="61"/>
      <c r="E54" s="68">
        <v>6100.0</v>
      </c>
      <c r="F54" s="36"/>
      <c r="G54" s="36">
        <f t="shared" si="1"/>
        <v>847224.94</v>
      </c>
    </row>
    <row r="55">
      <c r="A55" s="60" t="s">
        <v>1129</v>
      </c>
      <c r="B55" s="60" t="s">
        <v>1130</v>
      </c>
      <c r="C55" s="60" t="s">
        <v>1127</v>
      </c>
      <c r="D55" s="63"/>
      <c r="E55" s="68">
        <v>545.0</v>
      </c>
      <c r="F55" s="36"/>
      <c r="G55" s="36">
        <f t="shared" si="1"/>
        <v>847769.94</v>
      </c>
    </row>
    <row r="56">
      <c r="A56" s="60" t="s">
        <v>1131</v>
      </c>
      <c r="B56" s="60" t="s">
        <v>1132</v>
      </c>
      <c r="C56" s="60" t="s">
        <v>1133</v>
      </c>
      <c r="D56" s="61"/>
      <c r="E56" s="68">
        <v>10000.0</v>
      </c>
      <c r="F56" s="36"/>
      <c r="G56" s="36">
        <f t="shared" si="1"/>
        <v>857769.94</v>
      </c>
    </row>
    <row r="57">
      <c r="A57" s="60" t="s">
        <v>1134</v>
      </c>
      <c r="B57" s="60" t="s">
        <v>1135</v>
      </c>
      <c r="C57" s="60" t="s">
        <v>1136</v>
      </c>
      <c r="D57" s="61"/>
      <c r="E57" s="68">
        <v>2000.0</v>
      </c>
      <c r="F57" s="36"/>
      <c r="G57" s="36">
        <f t="shared" si="1"/>
        <v>859769.94</v>
      </c>
    </row>
    <row r="58">
      <c r="A58" s="60" t="s">
        <v>1134</v>
      </c>
      <c r="B58" s="60" t="s">
        <v>1135</v>
      </c>
      <c r="C58" s="60" t="s">
        <v>1136</v>
      </c>
      <c r="D58" s="61"/>
      <c r="E58" s="68">
        <v>1500.0</v>
      </c>
      <c r="F58" s="36"/>
      <c r="G58" s="36">
        <f t="shared" si="1"/>
        <v>861269.94</v>
      </c>
    </row>
    <row r="59">
      <c r="A59" s="60" t="s">
        <v>1134</v>
      </c>
      <c r="B59" s="60" t="s">
        <v>1135</v>
      </c>
      <c r="C59" s="60" t="s">
        <v>1137</v>
      </c>
      <c r="D59" s="61"/>
      <c r="E59" s="68">
        <v>20400.0</v>
      </c>
      <c r="F59" s="36"/>
      <c r="G59" s="36">
        <f t="shared" si="1"/>
        <v>881669.94</v>
      </c>
    </row>
    <row r="60">
      <c r="A60" s="37"/>
      <c r="B60" s="37"/>
      <c r="C60" s="37"/>
      <c r="D60" s="37"/>
      <c r="E60" s="36"/>
      <c r="F60" s="36"/>
      <c r="G60" s="36" t="str">
        <f t="shared" si="1"/>
        <v/>
      </c>
    </row>
    <row r="61">
      <c r="A61" s="37"/>
      <c r="B61" s="37"/>
      <c r="C61" s="37"/>
      <c r="D61" s="37"/>
      <c r="E61" s="36"/>
      <c r="F61" s="36"/>
      <c r="G61" s="36" t="str">
        <f t="shared" si="1"/>
        <v/>
      </c>
    </row>
    <row r="62">
      <c r="A62" s="37"/>
      <c r="B62" s="37"/>
      <c r="C62" s="37"/>
      <c r="D62" s="37"/>
      <c r="E62" s="36"/>
      <c r="F62" s="36"/>
      <c r="G62" s="36" t="str">
        <f t="shared" si="1"/>
        <v/>
      </c>
    </row>
    <row r="63">
      <c r="A63" s="37"/>
      <c r="B63" s="37"/>
      <c r="C63" s="37"/>
      <c r="D63" s="37"/>
      <c r="E63" s="36"/>
      <c r="F63" s="36"/>
      <c r="G63" s="36" t="str">
        <f t="shared" si="1"/>
        <v/>
      </c>
    </row>
    <row r="64">
      <c r="A64" s="37"/>
      <c r="B64" s="37"/>
      <c r="C64" s="37"/>
      <c r="D64" s="37"/>
      <c r="E64" s="36"/>
      <c r="F64" s="36"/>
      <c r="G64" s="36" t="str">
        <f t="shared" si="1"/>
        <v/>
      </c>
    </row>
    <row r="65">
      <c r="A65" s="37"/>
      <c r="B65" s="37"/>
      <c r="C65" s="37"/>
      <c r="D65" s="37"/>
      <c r="E65" s="36"/>
      <c r="F65" s="36"/>
      <c r="G65" s="36" t="str">
        <f t="shared" si="1"/>
        <v/>
      </c>
    </row>
    <row r="66">
      <c r="A66" s="37"/>
      <c r="B66" s="37"/>
      <c r="C66" s="37"/>
      <c r="D66" s="37"/>
      <c r="E66" s="36"/>
      <c r="F66" s="36"/>
      <c r="G66" s="36" t="str">
        <f t="shared" si="1"/>
        <v/>
      </c>
    </row>
    <row r="67">
      <c r="A67" s="37"/>
      <c r="B67" s="37"/>
      <c r="C67" s="37"/>
      <c r="D67" s="37"/>
      <c r="E67" s="36"/>
      <c r="F67" s="36"/>
      <c r="G67" s="36" t="str">
        <f t="shared" si="1"/>
        <v/>
      </c>
    </row>
    <row r="68">
      <c r="A68" s="37"/>
      <c r="B68" s="37"/>
      <c r="C68" s="37"/>
      <c r="D68" s="37"/>
      <c r="E68" s="36"/>
      <c r="F68" s="36"/>
      <c r="G68" s="36" t="str">
        <f t="shared" si="1"/>
        <v/>
      </c>
    </row>
    <row r="69">
      <c r="A69" s="37"/>
      <c r="B69" s="37"/>
      <c r="C69" s="37"/>
      <c r="D69" s="37"/>
      <c r="E69" s="36"/>
      <c r="F69" s="36"/>
      <c r="G69" s="36" t="str">
        <f t="shared" si="1"/>
        <v/>
      </c>
    </row>
    <row r="70">
      <c r="A70" s="37"/>
      <c r="B70" s="37"/>
      <c r="C70" s="37"/>
      <c r="D70" s="37"/>
      <c r="E70" s="36"/>
      <c r="F70" s="36"/>
      <c r="G70" s="36" t="str">
        <f t="shared" si="1"/>
        <v/>
      </c>
    </row>
    <row r="71">
      <c r="A71" s="37"/>
      <c r="B71" s="37"/>
      <c r="C71" s="37"/>
      <c r="D71" s="37"/>
      <c r="E71" s="36"/>
      <c r="F71" s="36"/>
      <c r="G71" s="36" t="str">
        <f t="shared" si="1"/>
        <v/>
      </c>
    </row>
    <row r="72">
      <c r="A72" s="37"/>
      <c r="B72" s="37"/>
      <c r="C72" s="37"/>
      <c r="D72" s="37"/>
      <c r="E72" s="36"/>
      <c r="F72" s="36"/>
      <c r="G72" s="36" t="str">
        <f t="shared" si="1"/>
        <v/>
      </c>
    </row>
    <row r="73">
      <c r="A73" s="37"/>
      <c r="B73" s="37"/>
      <c r="C73" s="37"/>
      <c r="D73" s="37"/>
      <c r="E73" s="36"/>
      <c r="F73" s="36"/>
      <c r="G73" s="36" t="str">
        <f t="shared" si="1"/>
        <v/>
      </c>
    </row>
    <row r="74">
      <c r="A74" s="37"/>
      <c r="B74" s="37"/>
      <c r="C74" s="37"/>
      <c r="D74" s="37"/>
      <c r="E74" s="36"/>
      <c r="F74" s="36"/>
      <c r="G74" s="36" t="str">
        <f t="shared" si="1"/>
        <v/>
      </c>
    </row>
    <row r="75">
      <c r="A75" s="37"/>
      <c r="B75" s="37"/>
      <c r="C75" s="37"/>
      <c r="D75" s="37"/>
      <c r="E75" s="36"/>
      <c r="F75" s="36"/>
      <c r="G75" s="36" t="str">
        <f t="shared" si="1"/>
        <v/>
      </c>
    </row>
    <row r="76">
      <c r="A76" s="37"/>
      <c r="B76" s="37"/>
      <c r="C76" s="37"/>
      <c r="D76" s="37"/>
      <c r="E76" s="36"/>
      <c r="F76" s="36"/>
      <c r="G76" s="36" t="str">
        <f t="shared" si="1"/>
        <v/>
      </c>
    </row>
    <row r="77">
      <c r="A77" s="37"/>
      <c r="B77" s="37"/>
      <c r="C77" s="37"/>
      <c r="D77" s="37"/>
      <c r="E77" s="36"/>
      <c r="F77" s="36"/>
      <c r="G77" s="36" t="str">
        <f t="shared" si="1"/>
        <v/>
      </c>
    </row>
    <row r="78">
      <c r="A78" s="37"/>
      <c r="B78" s="37"/>
      <c r="C78" s="37"/>
      <c r="D78" s="37"/>
      <c r="E78" s="36"/>
      <c r="F78" s="36"/>
      <c r="G78" s="36" t="str">
        <f t="shared" si="1"/>
        <v/>
      </c>
    </row>
    <row r="79">
      <c r="A79" s="37"/>
      <c r="B79" s="37"/>
      <c r="C79" s="37"/>
      <c r="D79" s="37"/>
      <c r="E79" s="36"/>
      <c r="F79" s="36"/>
      <c r="G79" s="36" t="str">
        <f t="shared" si="1"/>
        <v/>
      </c>
    </row>
    <row r="80">
      <c r="A80" s="37"/>
      <c r="B80" s="37"/>
      <c r="C80" s="37"/>
      <c r="D80" s="37"/>
      <c r="E80" s="36"/>
      <c r="F80" s="36"/>
      <c r="G80" s="36" t="str">
        <f t="shared" si="1"/>
        <v/>
      </c>
    </row>
    <row r="81">
      <c r="A81" s="37"/>
      <c r="B81" s="37"/>
      <c r="C81" s="37"/>
      <c r="D81" s="37"/>
      <c r="E81" s="36"/>
      <c r="F81" s="36"/>
      <c r="G81" s="36" t="str">
        <f t="shared" si="1"/>
        <v/>
      </c>
    </row>
    <row r="82">
      <c r="A82" s="37"/>
      <c r="B82" s="37"/>
      <c r="C82" s="37"/>
      <c r="D82" s="37"/>
      <c r="E82" s="36"/>
      <c r="F82" s="36"/>
      <c r="G82" s="36" t="str">
        <f t="shared" si="1"/>
        <v/>
      </c>
    </row>
    <row r="83">
      <c r="A83" s="37"/>
      <c r="B83" s="37"/>
      <c r="C83" s="37"/>
      <c r="D83" s="37"/>
      <c r="E83" s="36"/>
      <c r="F83" s="36"/>
      <c r="G83" s="36" t="str">
        <f t="shared" si="1"/>
        <v/>
      </c>
    </row>
    <row r="84">
      <c r="A84" s="37"/>
      <c r="B84" s="37"/>
      <c r="C84" s="37"/>
      <c r="D84" s="37"/>
      <c r="E84" s="36"/>
      <c r="F84" s="36"/>
      <c r="G84" s="36" t="str">
        <f t="shared" si="1"/>
        <v/>
      </c>
    </row>
    <row r="85">
      <c r="A85" s="37"/>
      <c r="B85" s="37"/>
      <c r="C85" s="37"/>
      <c r="D85" s="37"/>
      <c r="E85" s="36"/>
      <c r="F85" s="36"/>
      <c r="G85" s="36" t="str">
        <f t="shared" si="1"/>
        <v/>
      </c>
    </row>
    <row r="86">
      <c r="A86" s="37"/>
      <c r="B86" s="37"/>
      <c r="C86" s="37"/>
      <c r="D86" s="37"/>
      <c r="E86" s="36"/>
      <c r="F86" s="36"/>
      <c r="G86" s="36" t="str">
        <f t="shared" si="1"/>
        <v/>
      </c>
    </row>
    <row r="87">
      <c r="A87" s="37"/>
      <c r="B87" s="37"/>
      <c r="C87" s="37"/>
      <c r="D87" s="37"/>
      <c r="E87" s="36"/>
      <c r="F87" s="36"/>
      <c r="G87" s="36" t="str">
        <f t="shared" si="1"/>
        <v/>
      </c>
    </row>
    <row r="88">
      <c r="A88" s="37"/>
      <c r="B88" s="37"/>
      <c r="C88" s="37"/>
      <c r="D88" s="37"/>
      <c r="E88" s="36"/>
      <c r="F88" s="36"/>
      <c r="G88" s="36" t="str">
        <f t="shared" si="1"/>
        <v/>
      </c>
    </row>
    <row r="89">
      <c r="A89" s="37"/>
      <c r="B89" s="37"/>
      <c r="C89" s="37"/>
      <c r="D89" s="37"/>
      <c r="E89" s="36"/>
      <c r="F89" s="36"/>
      <c r="G89" s="36" t="str">
        <f t="shared" si="1"/>
        <v/>
      </c>
    </row>
    <row r="90">
      <c r="A90" s="37"/>
      <c r="B90" s="37"/>
      <c r="C90" s="37"/>
      <c r="D90" s="37"/>
      <c r="E90" s="36"/>
      <c r="F90" s="36"/>
      <c r="G90" s="36" t="str">
        <f t="shared" si="1"/>
        <v/>
      </c>
    </row>
    <row r="91">
      <c r="A91" s="37"/>
      <c r="B91" s="37"/>
      <c r="C91" s="37"/>
      <c r="D91" s="37"/>
      <c r="E91" s="36"/>
      <c r="F91" s="36"/>
      <c r="G91" s="36" t="str">
        <f t="shared" si="1"/>
        <v/>
      </c>
    </row>
    <row r="92">
      <c r="A92" s="37"/>
      <c r="B92" s="37"/>
      <c r="C92" s="37"/>
      <c r="D92" s="37"/>
      <c r="E92" s="36"/>
      <c r="F92" s="36"/>
      <c r="G92" s="36" t="str">
        <f t="shared" si="1"/>
        <v/>
      </c>
    </row>
    <row r="93">
      <c r="A93" s="37"/>
      <c r="B93" s="37"/>
      <c r="C93" s="37"/>
      <c r="D93" s="37"/>
      <c r="E93" s="36"/>
      <c r="F93" s="36"/>
      <c r="G93" s="36" t="str">
        <f t="shared" si="1"/>
        <v/>
      </c>
    </row>
    <row r="94">
      <c r="A94" s="37"/>
      <c r="B94" s="37"/>
      <c r="C94" s="37"/>
      <c r="D94" s="37"/>
      <c r="E94" s="36"/>
      <c r="F94" s="36"/>
      <c r="G94" s="36" t="str">
        <f t="shared" si="1"/>
        <v/>
      </c>
    </row>
    <row r="95">
      <c r="A95" s="37"/>
      <c r="B95" s="37"/>
      <c r="C95" s="37"/>
      <c r="D95" s="37"/>
      <c r="E95" s="36"/>
      <c r="F95" s="36"/>
      <c r="G95" s="36" t="str">
        <f t="shared" si="1"/>
        <v/>
      </c>
    </row>
    <row r="96">
      <c r="A96" s="37"/>
      <c r="B96" s="37"/>
      <c r="C96" s="37"/>
      <c r="D96" s="37"/>
      <c r="E96" s="36"/>
      <c r="F96" s="36"/>
      <c r="G96" s="36" t="str">
        <f t="shared" si="1"/>
        <v/>
      </c>
    </row>
    <row r="97">
      <c r="A97" s="37"/>
      <c r="B97" s="37"/>
      <c r="C97" s="37"/>
      <c r="D97" s="37"/>
      <c r="E97" s="36"/>
      <c r="F97" s="36"/>
      <c r="G97" s="36" t="str">
        <f t="shared" si="1"/>
        <v/>
      </c>
    </row>
    <row r="98">
      <c r="A98" s="37"/>
      <c r="B98" s="37"/>
      <c r="C98" s="37"/>
      <c r="D98" s="37"/>
      <c r="E98" s="36"/>
      <c r="F98" s="36"/>
      <c r="G98" s="36" t="str">
        <f t="shared" si="1"/>
        <v/>
      </c>
    </row>
    <row r="99">
      <c r="A99" s="37"/>
      <c r="B99" s="37"/>
      <c r="C99" s="37"/>
      <c r="D99" s="37"/>
      <c r="E99" s="36"/>
      <c r="F99" s="36"/>
      <c r="G99" s="36" t="str">
        <f t="shared" si="1"/>
        <v/>
      </c>
    </row>
    <row r="100">
      <c r="A100" s="37"/>
      <c r="B100" s="37"/>
      <c r="C100" s="37"/>
      <c r="D100" s="37"/>
      <c r="E100" s="36"/>
      <c r="F100" s="36"/>
      <c r="G100" s="36" t="str">
        <f t="shared" si="1"/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 t="str">
        <f t="shared" ref="E102:F102" si="2">SUM(E7:E1000)</f>
        <v>#REF!</v>
      </c>
      <c r="F102" s="55" t="str">
        <f t="shared" si="2"/>
        <v>#REF!</v>
      </c>
      <c r="G102" s="56"/>
    </row>
  </sheetData>
  <mergeCells count="2">
    <mergeCell ref="A1:G1"/>
    <mergeCell ref="A5:G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1138</v>
      </c>
    </row>
    <row r="3">
      <c r="A3" s="57" t="s">
        <v>110</v>
      </c>
      <c r="B3" s="58">
        <v>-59758.419999999955</v>
      </c>
      <c r="D3" s="57" t="s">
        <v>111</v>
      </c>
      <c r="E3" s="59">
        <f>-17267.64+SUM(E7:E1000)-SUM(F7:F1000)</f>
        <v>-186506.88</v>
      </c>
    </row>
    <row r="5">
      <c r="A5" s="7" t="s">
        <v>121</v>
      </c>
    </row>
    <row r="6">
      <c r="A6" s="41" t="s">
        <v>113</v>
      </c>
      <c r="B6" s="41" t="s">
        <v>122</v>
      </c>
      <c r="C6" s="41" t="s">
        <v>115</v>
      </c>
      <c r="D6" s="41" t="s">
        <v>123</v>
      </c>
      <c r="E6" s="41" t="s">
        <v>124</v>
      </c>
      <c r="F6" s="41" t="s">
        <v>125</v>
      </c>
      <c r="G6" s="41" t="s">
        <v>119</v>
      </c>
    </row>
    <row r="7" ht="16.5" customHeight="1">
      <c r="A7" s="72">
        <v>45295.0</v>
      </c>
      <c r="B7" s="73" t="s">
        <v>1139</v>
      </c>
      <c r="C7" s="73" t="s">
        <v>1140</v>
      </c>
      <c r="D7" s="74"/>
      <c r="E7" s="75">
        <v>24078.0</v>
      </c>
      <c r="F7" s="76"/>
      <c r="G7" s="36"/>
    </row>
    <row r="8">
      <c r="A8" s="77">
        <v>45295.0</v>
      </c>
      <c r="B8" s="73" t="s">
        <v>1141</v>
      </c>
      <c r="C8" s="73" t="s">
        <v>1142</v>
      </c>
      <c r="D8" s="78"/>
      <c r="E8" s="75">
        <v>142.97</v>
      </c>
      <c r="F8" s="76"/>
      <c r="G8" s="36"/>
    </row>
    <row r="9">
      <c r="A9" s="77">
        <v>45326.0</v>
      </c>
      <c r="B9" s="73" t="s">
        <v>1143</v>
      </c>
      <c r="C9" s="73" t="s">
        <v>1144</v>
      </c>
      <c r="D9" s="78"/>
      <c r="E9" s="75">
        <v>159.97</v>
      </c>
      <c r="F9" s="76"/>
      <c r="G9" s="36"/>
    </row>
    <row r="10">
      <c r="A10" s="77">
        <v>45326.0</v>
      </c>
      <c r="B10" s="73" t="s">
        <v>1143</v>
      </c>
      <c r="C10" s="73" t="s">
        <v>1144</v>
      </c>
      <c r="D10" s="78"/>
      <c r="E10" s="75">
        <v>503.93</v>
      </c>
      <c r="F10" s="76"/>
      <c r="G10" s="36"/>
    </row>
    <row r="11">
      <c r="A11" s="77">
        <v>45326.0</v>
      </c>
      <c r="B11" s="73" t="s">
        <v>1143</v>
      </c>
      <c r="C11" s="73" t="s">
        <v>1144</v>
      </c>
      <c r="D11" s="78"/>
      <c r="E11" s="75">
        <v>476.93</v>
      </c>
      <c r="F11" s="76"/>
      <c r="G11" s="36"/>
    </row>
    <row r="12">
      <c r="A12" s="73" t="s">
        <v>1145</v>
      </c>
      <c r="B12" s="73" t="s">
        <v>1146</v>
      </c>
      <c r="C12" s="73" t="s">
        <v>1147</v>
      </c>
      <c r="D12" s="78"/>
      <c r="E12" s="75">
        <v>564.94</v>
      </c>
      <c r="F12" s="76"/>
      <c r="G12" s="36"/>
    </row>
    <row r="13">
      <c r="A13" s="77">
        <v>45355.0</v>
      </c>
      <c r="B13" s="73" t="s">
        <v>1148</v>
      </c>
      <c r="C13" s="73" t="s">
        <v>1149</v>
      </c>
      <c r="D13" s="78"/>
      <c r="E13" s="75">
        <v>0.0</v>
      </c>
      <c r="F13" s="75">
        <v>4450.57</v>
      </c>
      <c r="G13" s="36"/>
    </row>
    <row r="14">
      <c r="A14" s="60" t="s">
        <v>1150</v>
      </c>
      <c r="B14" s="60" t="s">
        <v>1151</v>
      </c>
      <c r="C14" s="60" t="s">
        <v>1152</v>
      </c>
      <c r="D14" s="61"/>
      <c r="E14" s="68">
        <v>4348.76</v>
      </c>
      <c r="F14" s="68">
        <v>0.0</v>
      </c>
      <c r="G14" s="36"/>
    </row>
    <row r="15">
      <c r="A15" s="60" t="s">
        <v>1153</v>
      </c>
      <c r="B15" s="60" t="s">
        <v>1154</v>
      </c>
      <c r="C15" s="60" t="s">
        <v>1155</v>
      </c>
      <c r="D15" s="63"/>
      <c r="E15" s="68">
        <v>0.0</v>
      </c>
      <c r="F15" s="68">
        <v>100.0</v>
      </c>
      <c r="G15" s="36"/>
    </row>
    <row r="16">
      <c r="A16" s="60" t="s">
        <v>1039</v>
      </c>
      <c r="B16" s="60" t="s">
        <v>1156</v>
      </c>
      <c r="C16" s="60" t="s">
        <v>1157</v>
      </c>
      <c r="D16" s="63"/>
      <c r="E16" s="68">
        <v>365.68</v>
      </c>
      <c r="F16" s="79"/>
      <c r="G16" s="36"/>
    </row>
    <row r="17">
      <c r="A17" s="60" t="s">
        <v>1158</v>
      </c>
      <c r="B17" s="60" t="s">
        <v>1159</v>
      </c>
      <c r="C17" s="60" t="s">
        <v>1160</v>
      </c>
      <c r="D17" s="63"/>
      <c r="E17" s="68">
        <v>0.0</v>
      </c>
      <c r="F17" s="68">
        <v>2175.71</v>
      </c>
      <c r="G17" s="36"/>
    </row>
    <row r="18">
      <c r="A18" s="60" t="s">
        <v>1161</v>
      </c>
      <c r="B18" s="60" t="s">
        <v>1162</v>
      </c>
      <c r="C18" s="60" t="s">
        <v>1163</v>
      </c>
      <c r="D18" s="63"/>
      <c r="E18" s="68">
        <v>0.0</v>
      </c>
      <c r="F18" s="68">
        <v>1.94</v>
      </c>
      <c r="G18" s="36"/>
    </row>
    <row r="19">
      <c r="A19" s="63" t="s">
        <v>1066</v>
      </c>
      <c r="B19" s="60" t="s">
        <v>1164</v>
      </c>
      <c r="C19" s="60" t="s">
        <v>1165</v>
      </c>
      <c r="D19" s="63"/>
      <c r="E19" s="68">
        <v>0.0</v>
      </c>
      <c r="F19" s="68">
        <v>1.0</v>
      </c>
      <c r="G19" s="36"/>
    </row>
    <row r="20">
      <c r="A20" s="60" t="s">
        <v>1166</v>
      </c>
      <c r="B20" s="60" t="s">
        <v>1167</v>
      </c>
      <c r="C20" s="60" t="s">
        <v>1168</v>
      </c>
      <c r="D20" s="63"/>
      <c r="E20" s="68">
        <v>0.0</v>
      </c>
      <c r="F20" s="68">
        <v>2550.0</v>
      </c>
      <c r="G20" s="36"/>
    </row>
    <row r="21">
      <c r="A21" s="69">
        <v>45690.0</v>
      </c>
      <c r="B21" s="60" t="s">
        <v>1169</v>
      </c>
      <c r="C21" s="60" t="s">
        <v>1160</v>
      </c>
      <c r="D21" s="63"/>
      <c r="E21" s="68">
        <v>0.0</v>
      </c>
      <c r="F21" s="68">
        <v>2500.0</v>
      </c>
      <c r="G21" s="36"/>
    </row>
    <row r="22">
      <c r="A22" s="69">
        <v>45750.0</v>
      </c>
      <c r="B22" s="60" t="s">
        <v>1170</v>
      </c>
      <c r="C22" s="60" t="s">
        <v>1160</v>
      </c>
      <c r="D22" s="63"/>
      <c r="E22" s="68">
        <v>0.0</v>
      </c>
      <c r="F22" s="68">
        <v>2000.0</v>
      </c>
      <c r="G22" s="36"/>
    </row>
    <row r="23">
      <c r="A23" s="63" t="s">
        <v>1171</v>
      </c>
      <c r="B23" s="70"/>
      <c r="C23" s="60" t="s">
        <v>1172</v>
      </c>
      <c r="D23" s="63"/>
      <c r="E23" s="68">
        <v>201.0</v>
      </c>
      <c r="F23" s="68">
        <v>0.0</v>
      </c>
      <c r="G23" s="36"/>
    </row>
    <row r="24">
      <c r="A24" s="69">
        <v>45873.0</v>
      </c>
      <c r="B24" s="60" t="s">
        <v>1173</v>
      </c>
      <c r="C24" s="60" t="s">
        <v>1160</v>
      </c>
      <c r="D24" s="63"/>
      <c r="E24" s="68">
        <v>0.0</v>
      </c>
      <c r="F24" s="68">
        <v>1500.0</v>
      </c>
      <c r="G24" s="36"/>
    </row>
    <row r="25">
      <c r="A25" s="69">
        <v>45965.0</v>
      </c>
      <c r="B25" s="60" t="s">
        <v>1174</v>
      </c>
      <c r="C25" s="60" t="s">
        <v>1175</v>
      </c>
      <c r="D25" s="63"/>
      <c r="E25" s="68">
        <v>0.0</v>
      </c>
      <c r="F25" s="68">
        <v>0.02</v>
      </c>
      <c r="G25" s="36"/>
    </row>
    <row r="26">
      <c r="A26" s="60" t="s">
        <v>1176</v>
      </c>
      <c r="B26" s="60" t="s">
        <v>1177</v>
      </c>
      <c r="C26" s="60" t="s">
        <v>1160</v>
      </c>
      <c r="D26" s="63"/>
      <c r="E26" s="68">
        <v>0.0</v>
      </c>
      <c r="F26" s="68">
        <v>285.96</v>
      </c>
      <c r="G26" s="36"/>
    </row>
    <row r="27">
      <c r="A27" s="60" t="s">
        <v>1176</v>
      </c>
      <c r="B27" s="60" t="s">
        <v>1178</v>
      </c>
      <c r="C27" s="60" t="s">
        <v>1160</v>
      </c>
      <c r="D27" s="63"/>
      <c r="E27" s="68">
        <v>0.0</v>
      </c>
      <c r="F27" s="68">
        <v>1380.0</v>
      </c>
      <c r="G27" s="36"/>
    </row>
    <row r="28">
      <c r="A28" s="60" t="s">
        <v>1179</v>
      </c>
      <c r="B28" s="60" t="s">
        <v>1180</v>
      </c>
      <c r="C28" s="60" t="s">
        <v>1160</v>
      </c>
      <c r="D28" s="63"/>
      <c r="E28" s="68">
        <v>0.0</v>
      </c>
      <c r="F28" s="68">
        <v>1000.0</v>
      </c>
      <c r="G28" s="36"/>
    </row>
    <row r="29">
      <c r="A29" s="80">
        <v>45301.0</v>
      </c>
      <c r="B29" s="60" t="s">
        <v>1181</v>
      </c>
      <c r="C29" s="60" t="s">
        <v>1182</v>
      </c>
      <c r="D29" s="70"/>
      <c r="E29" s="79"/>
      <c r="F29" s="68">
        <v>4000.0</v>
      </c>
      <c r="G29" s="36"/>
    </row>
    <row r="30">
      <c r="A30" s="69">
        <v>45721.0</v>
      </c>
      <c r="B30" s="60" t="s">
        <v>1183</v>
      </c>
      <c r="C30" s="60" t="s">
        <v>1184</v>
      </c>
      <c r="D30" s="63"/>
      <c r="E30" s="68">
        <v>0.0</v>
      </c>
      <c r="F30" s="68">
        <v>0.01</v>
      </c>
      <c r="G30" s="36"/>
    </row>
    <row r="31">
      <c r="A31" s="69">
        <v>45782.0</v>
      </c>
      <c r="B31" s="60" t="s">
        <v>1185</v>
      </c>
      <c r="C31" s="60" t="s">
        <v>1168</v>
      </c>
      <c r="D31" s="63"/>
      <c r="E31" s="68">
        <v>0.0</v>
      </c>
      <c r="F31" s="68">
        <v>1600.0</v>
      </c>
      <c r="G31" s="36"/>
    </row>
    <row r="32">
      <c r="A32" s="69">
        <v>45996.0</v>
      </c>
      <c r="B32" s="60" t="s">
        <v>1186</v>
      </c>
      <c r="C32" s="60" t="s">
        <v>1168</v>
      </c>
      <c r="D32" s="63"/>
      <c r="E32" s="68">
        <v>0.0</v>
      </c>
      <c r="F32" s="68">
        <v>1000.0</v>
      </c>
      <c r="G32" s="36"/>
    </row>
    <row r="33">
      <c r="A33" s="60" t="s">
        <v>1187</v>
      </c>
      <c r="B33" s="60" t="s">
        <v>1188</v>
      </c>
      <c r="C33" s="60" t="s">
        <v>1168</v>
      </c>
      <c r="D33" s="63"/>
      <c r="E33" s="68">
        <v>0.0</v>
      </c>
      <c r="F33" s="68">
        <v>1389.0</v>
      </c>
      <c r="G33" s="36"/>
    </row>
    <row r="34">
      <c r="A34" s="60" t="s">
        <v>1189</v>
      </c>
      <c r="B34" s="60" t="s">
        <v>1190</v>
      </c>
      <c r="C34" s="60" t="s">
        <v>1191</v>
      </c>
      <c r="D34" s="63"/>
      <c r="E34" s="68">
        <v>0.0</v>
      </c>
      <c r="F34" s="68">
        <v>523.92</v>
      </c>
      <c r="G34" s="36"/>
    </row>
    <row r="35">
      <c r="A35" s="60" t="s">
        <v>1192</v>
      </c>
      <c r="B35" s="60" t="s">
        <v>1193</v>
      </c>
      <c r="C35" s="60" t="s">
        <v>1168</v>
      </c>
      <c r="D35" s="63"/>
      <c r="E35" s="68">
        <v>0.0</v>
      </c>
      <c r="F35" s="68">
        <v>1000.0</v>
      </c>
      <c r="G35" s="36"/>
    </row>
    <row r="36">
      <c r="A36" s="60" t="s">
        <v>1194</v>
      </c>
      <c r="B36" s="60" t="s">
        <v>1195</v>
      </c>
      <c r="C36" s="60" t="s">
        <v>1168</v>
      </c>
      <c r="D36" s="63"/>
      <c r="E36" s="68">
        <v>0.0</v>
      </c>
      <c r="F36" s="68">
        <v>1488.0</v>
      </c>
      <c r="G36" s="36"/>
    </row>
    <row r="37">
      <c r="A37" s="69">
        <v>45783.0</v>
      </c>
      <c r="B37" s="60" t="s">
        <v>1196</v>
      </c>
      <c r="C37" s="60" t="s">
        <v>1160</v>
      </c>
      <c r="D37" s="63"/>
      <c r="E37" s="68">
        <v>0.0</v>
      </c>
      <c r="F37" s="68">
        <v>1005.88</v>
      </c>
      <c r="G37" s="36"/>
    </row>
    <row r="38">
      <c r="A38" s="69">
        <v>45906.0</v>
      </c>
      <c r="B38" s="60" t="s">
        <v>1197</v>
      </c>
      <c r="C38" s="60" t="s">
        <v>1191</v>
      </c>
      <c r="D38" s="63"/>
      <c r="E38" s="68">
        <v>0.0</v>
      </c>
      <c r="F38" s="68">
        <v>108.98</v>
      </c>
      <c r="G38" s="36"/>
    </row>
    <row r="39">
      <c r="A39" s="60" t="s">
        <v>1198</v>
      </c>
      <c r="B39" s="60" t="s">
        <v>1199</v>
      </c>
      <c r="C39" s="60" t="s">
        <v>1160</v>
      </c>
      <c r="D39" s="63"/>
      <c r="E39" s="68">
        <v>0.0</v>
      </c>
      <c r="F39" s="68">
        <v>1020.84</v>
      </c>
      <c r="G39" s="36"/>
    </row>
    <row r="40">
      <c r="A40" s="60" t="s">
        <v>1200</v>
      </c>
      <c r="B40" s="60" t="s">
        <v>1201</v>
      </c>
      <c r="C40" s="60" t="s">
        <v>1202</v>
      </c>
      <c r="D40" s="63"/>
      <c r="E40" s="68">
        <v>0.0</v>
      </c>
      <c r="F40" s="68">
        <v>0.01</v>
      </c>
      <c r="G40" s="36"/>
    </row>
    <row r="41">
      <c r="A41" s="63" t="s">
        <v>1084</v>
      </c>
      <c r="B41" s="60" t="s">
        <v>1203</v>
      </c>
      <c r="C41" s="60" t="s">
        <v>1160</v>
      </c>
      <c r="D41" s="63"/>
      <c r="E41" s="68">
        <v>0.0</v>
      </c>
      <c r="F41" s="68">
        <v>290.0</v>
      </c>
      <c r="G41" s="36"/>
    </row>
    <row r="42">
      <c r="A42" s="63" t="s">
        <v>1204</v>
      </c>
      <c r="B42" s="70"/>
      <c r="C42" s="60" t="s">
        <v>1205</v>
      </c>
      <c r="D42" s="63"/>
      <c r="E42" s="68">
        <v>0.0</v>
      </c>
      <c r="F42" s="68">
        <v>29.0</v>
      </c>
      <c r="G42" s="36"/>
    </row>
    <row r="43">
      <c r="A43" s="60" t="s">
        <v>1206</v>
      </c>
      <c r="B43" s="60" t="s">
        <v>1207</v>
      </c>
      <c r="C43" s="60" t="s">
        <v>1208</v>
      </c>
      <c r="D43" s="61"/>
      <c r="E43" s="68">
        <v>3938.28</v>
      </c>
      <c r="F43" s="68">
        <v>0.0</v>
      </c>
      <c r="G43" s="36"/>
    </row>
    <row r="44">
      <c r="A44" s="60" t="s">
        <v>1206</v>
      </c>
      <c r="B44" s="60" t="s">
        <v>1207</v>
      </c>
      <c r="C44" s="60" t="s">
        <v>1208</v>
      </c>
      <c r="D44" s="61"/>
      <c r="E44" s="68">
        <v>3938.28</v>
      </c>
      <c r="F44" s="68">
        <v>0.0</v>
      </c>
      <c r="G44" s="36"/>
    </row>
    <row r="45">
      <c r="A45" s="60" t="s">
        <v>1209</v>
      </c>
      <c r="B45" s="60" t="s">
        <v>1210</v>
      </c>
      <c r="C45" s="60" t="s">
        <v>1160</v>
      </c>
      <c r="D45" s="63"/>
      <c r="E45" s="68">
        <v>0.0</v>
      </c>
      <c r="F45" s="68">
        <v>607.92</v>
      </c>
      <c r="G45" s="36"/>
    </row>
    <row r="46">
      <c r="A46" s="60" t="s">
        <v>1211</v>
      </c>
      <c r="B46" s="60" t="s">
        <v>1212</v>
      </c>
      <c r="C46" s="60" t="s">
        <v>1213</v>
      </c>
      <c r="D46" s="61"/>
      <c r="E46" s="68">
        <v>3938.28</v>
      </c>
      <c r="F46" s="68">
        <v>0.0</v>
      </c>
      <c r="G46" s="36"/>
    </row>
    <row r="47">
      <c r="A47" s="60" t="s">
        <v>1211</v>
      </c>
      <c r="B47" s="60" t="s">
        <v>1212</v>
      </c>
      <c r="C47" s="60" t="s">
        <v>1214</v>
      </c>
      <c r="D47" s="61"/>
      <c r="E47" s="68">
        <v>3938.28</v>
      </c>
      <c r="F47" s="68">
        <v>0.0</v>
      </c>
      <c r="G47" s="36"/>
    </row>
    <row r="48">
      <c r="A48" s="60" t="s">
        <v>1215</v>
      </c>
      <c r="B48" s="60" t="s">
        <v>1216</v>
      </c>
      <c r="C48" s="60" t="s">
        <v>1217</v>
      </c>
      <c r="D48" s="61"/>
      <c r="E48" s="68">
        <v>5000.0</v>
      </c>
      <c r="F48" s="68">
        <v>0.0</v>
      </c>
      <c r="G48" s="36"/>
    </row>
    <row r="49">
      <c r="A49" s="63" t="s">
        <v>1215</v>
      </c>
      <c r="B49" s="70"/>
      <c r="C49" s="60" t="s">
        <v>1218</v>
      </c>
      <c r="D49" s="81"/>
      <c r="E49" s="66">
        <v>345.0</v>
      </c>
      <c r="F49" s="79"/>
      <c r="G49" s="36"/>
    </row>
    <row r="50">
      <c r="A50" s="69">
        <v>45666.0</v>
      </c>
      <c r="B50" s="60" t="s">
        <v>1219</v>
      </c>
      <c r="C50" s="60" t="s">
        <v>1220</v>
      </c>
      <c r="D50" s="63"/>
      <c r="E50" s="68">
        <v>0.0</v>
      </c>
      <c r="F50" s="68">
        <v>75.0</v>
      </c>
      <c r="G50" s="36"/>
    </row>
    <row r="51">
      <c r="A51" s="69">
        <v>45666.0</v>
      </c>
      <c r="B51" s="60" t="s">
        <v>1221</v>
      </c>
      <c r="C51" s="60" t="s">
        <v>1220</v>
      </c>
      <c r="D51" s="63"/>
      <c r="E51" s="68">
        <v>0.0</v>
      </c>
      <c r="F51" s="68">
        <v>195.22</v>
      </c>
      <c r="G51" s="36"/>
    </row>
    <row r="52">
      <c r="A52" s="60" t="s">
        <v>1102</v>
      </c>
      <c r="B52" s="60" t="s">
        <v>1222</v>
      </c>
      <c r="C52" s="60" t="s">
        <v>1223</v>
      </c>
      <c r="D52" s="63"/>
      <c r="E52" s="68">
        <v>0.0</v>
      </c>
      <c r="F52" s="68">
        <v>108.98</v>
      </c>
      <c r="G52" s="36"/>
    </row>
    <row r="53">
      <c r="A53" s="60" t="s">
        <v>1224</v>
      </c>
      <c r="B53" s="60" t="s">
        <v>1225</v>
      </c>
      <c r="C53" s="60" t="s">
        <v>1226</v>
      </c>
      <c r="D53" s="63"/>
      <c r="E53" s="68">
        <v>0.0</v>
      </c>
      <c r="F53" s="68">
        <v>630.0</v>
      </c>
      <c r="G53" s="36"/>
    </row>
    <row r="54">
      <c r="A54" s="60" t="s">
        <v>1227</v>
      </c>
      <c r="B54" s="60" t="s">
        <v>1228</v>
      </c>
      <c r="C54" s="60" t="s">
        <v>1229</v>
      </c>
      <c r="D54" s="61"/>
      <c r="E54" s="68">
        <v>3938.28</v>
      </c>
      <c r="F54" s="68">
        <v>0.0</v>
      </c>
      <c r="G54" s="36"/>
    </row>
    <row r="55">
      <c r="A55" s="60" t="s">
        <v>1227</v>
      </c>
      <c r="B55" s="60" t="s">
        <v>1228</v>
      </c>
      <c r="C55" s="60" t="s">
        <v>1230</v>
      </c>
      <c r="D55" s="61"/>
      <c r="E55" s="68">
        <v>3938.28</v>
      </c>
      <c r="F55" s="68">
        <v>0.0</v>
      </c>
      <c r="G55" s="36"/>
    </row>
    <row r="56">
      <c r="A56" s="70"/>
      <c r="B56" s="70"/>
      <c r="C56" s="60" t="s">
        <v>1231</v>
      </c>
      <c r="D56" s="81"/>
      <c r="E56" s="66">
        <v>109.0</v>
      </c>
      <c r="F56" s="79"/>
      <c r="G56" s="36"/>
    </row>
    <row r="57">
      <c r="A57" s="70"/>
      <c r="B57" s="70"/>
      <c r="C57" s="60" t="s">
        <v>1205</v>
      </c>
      <c r="D57" s="81"/>
      <c r="E57" s="66">
        <v>98.0</v>
      </c>
      <c r="F57" s="79"/>
      <c r="G57" s="36"/>
    </row>
    <row r="58">
      <c r="A58" s="69">
        <v>45667.0</v>
      </c>
      <c r="B58" s="60" t="s">
        <v>1232</v>
      </c>
      <c r="C58" s="60" t="s">
        <v>1233</v>
      </c>
      <c r="D58" s="63"/>
      <c r="E58" s="68">
        <v>0.0</v>
      </c>
      <c r="F58" s="68">
        <v>518.0</v>
      </c>
      <c r="G58" s="36"/>
    </row>
    <row r="59">
      <c r="A59" s="69">
        <v>45667.0</v>
      </c>
      <c r="B59" s="60" t="s">
        <v>1234</v>
      </c>
      <c r="C59" s="60" t="s">
        <v>1235</v>
      </c>
      <c r="D59" s="63"/>
      <c r="E59" s="68">
        <v>0.0</v>
      </c>
      <c r="F59" s="68">
        <v>259.0</v>
      </c>
      <c r="G59" s="36"/>
    </row>
    <row r="60">
      <c r="A60" s="69">
        <v>45698.0</v>
      </c>
      <c r="B60" s="60" t="s">
        <v>1236</v>
      </c>
      <c r="C60" s="60" t="s">
        <v>1160</v>
      </c>
      <c r="D60" s="63"/>
      <c r="E60" s="68">
        <v>0.0</v>
      </c>
      <c r="F60" s="68">
        <v>562.03</v>
      </c>
      <c r="G60" s="36"/>
    </row>
    <row r="61">
      <c r="A61" s="69">
        <v>45698.0</v>
      </c>
      <c r="B61" s="60" t="s">
        <v>1237</v>
      </c>
      <c r="C61" s="60" t="s">
        <v>1235</v>
      </c>
      <c r="D61" s="63"/>
      <c r="E61" s="68">
        <v>0.0</v>
      </c>
      <c r="F61" s="68">
        <v>2897.67</v>
      </c>
      <c r="G61" s="36"/>
    </row>
    <row r="62">
      <c r="A62" s="69">
        <v>45726.0</v>
      </c>
      <c r="B62" s="60" t="s">
        <v>1238</v>
      </c>
      <c r="C62" s="60" t="s">
        <v>1239</v>
      </c>
      <c r="D62" s="63"/>
      <c r="E62" s="68">
        <v>0.0</v>
      </c>
      <c r="F62" s="68">
        <v>201.0</v>
      </c>
      <c r="G62" s="36"/>
    </row>
    <row r="63">
      <c r="A63" s="69">
        <v>45757.0</v>
      </c>
      <c r="B63" s="60" t="s">
        <v>1240</v>
      </c>
      <c r="C63" s="60" t="s">
        <v>1241</v>
      </c>
      <c r="D63" s="63"/>
      <c r="E63" s="68">
        <v>0.0</v>
      </c>
      <c r="F63" s="68">
        <v>4495.0</v>
      </c>
      <c r="G63" s="36"/>
    </row>
    <row r="64">
      <c r="A64" s="69">
        <v>45787.0</v>
      </c>
      <c r="B64" s="60" t="s">
        <v>1242</v>
      </c>
      <c r="C64" s="60" t="s">
        <v>1241</v>
      </c>
      <c r="D64" s="63"/>
      <c r="E64" s="68">
        <v>0.0</v>
      </c>
      <c r="F64" s="68">
        <v>196.0</v>
      </c>
      <c r="G64" s="36"/>
    </row>
    <row r="65">
      <c r="A65" s="69">
        <v>45787.0</v>
      </c>
      <c r="B65" s="60" t="s">
        <v>1243</v>
      </c>
      <c r="C65" s="60" t="s">
        <v>1244</v>
      </c>
      <c r="D65" s="63"/>
      <c r="E65" s="68">
        <v>0.0</v>
      </c>
      <c r="F65" s="68">
        <v>20.0</v>
      </c>
      <c r="G65" s="36"/>
    </row>
    <row r="66">
      <c r="A66" s="69">
        <v>45787.0</v>
      </c>
      <c r="B66" s="60" t="s">
        <v>1245</v>
      </c>
      <c r="C66" s="60" t="s">
        <v>1246</v>
      </c>
      <c r="D66" s="63"/>
      <c r="E66" s="68">
        <v>0.0</v>
      </c>
      <c r="F66" s="68">
        <v>0.01</v>
      </c>
      <c r="G66" s="36"/>
    </row>
    <row r="67">
      <c r="A67" s="69">
        <v>45787.0</v>
      </c>
      <c r="B67" s="60" t="s">
        <v>1247</v>
      </c>
      <c r="C67" s="60" t="s">
        <v>1248</v>
      </c>
      <c r="D67" s="63"/>
      <c r="E67" s="68">
        <v>0.0</v>
      </c>
      <c r="F67" s="68">
        <v>3035.0</v>
      </c>
      <c r="G67" s="36"/>
    </row>
    <row r="68">
      <c r="A68" s="69">
        <v>45818.0</v>
      </c>
      <c r="B68" s="60" t="s">
        <v>1249</v>
      </c>
      <c r="C68" s="60" t="s">
        <v>1250</v>
      </c>
      <c r="D68" s="63"/>
      <c r="E68" s="68">
        <v>0.0</v>
      </c>
      <c r="F68" s="68">
        <v>620.0</v>
      </c>
      <c r="G68" s="36"/>
    </row>
    <row r="69">
      <c r="A69" s="69">
        <v>45818.0</v>
      </c>
      <c r="B69" s="60" t="s">
        <v>1251</v>
      </c>
      <c r="C69" s="60" t="s">
        <v>1252</v>
      </c>
      <c r="D69" s="63"/>
      <c r="E69" s="68">
        <v>0.0</v>
      </c>
      <c r="F69" s="68">
        <v>927.0</v>
      </c>
      <c r="G69" s="36"/>
    </row>
    <row r="70">
      <c r="A70" s="69">
        <v>45818.0</v>
      </c>
      <c r="B70" s="60" t="s">
        <v>1253</v>
      </c>
      <c r="C70" s="60" t="s">
        <v>1233</v>
      </c>
      <c r="D70" s="63"/>
      <c r="E70" s="68">
        <v>0.0</v>
      </c>
      <c r="F70" s="68">
        <v>2454.11</v>
      </c>
      <c r="G70" s="36"/>
    </row>
    <row r="71">
      <c r="A71" s="69">
        <v>45818.0</v>
      </c>
      <c r="B71" s="60" t="s">
        <v>1254</v>
      </c>
      <c r="C71" s="60" t="s">
        <v>1241</v>
      </c>
      <c r="D71" s="63"/>
      <c r="E71" s="68">
        <v>0.0</v>
      </c>
      <c r="F71" s="68">
        <v>460.03</v>
      </c>
      <c r="G71" s="36"/>
    </row>
    <row r="72">
      <c r="A72" s="69">
        <v>45818.0</v>
      </c>
      <c r="B72" s="60" t="s">
        <v>1255</v>
      </c>
      <c r="C72" s="60" t="s">
        <v>1239</v>
      </c>
      <c r="D72" s="63"/>
      <c r="E72" s="68">
        <v>0.0</v>
      </c>
      <c r="F72" s="68">
        <v>417.0</v>
      </c>
      <c r="G72" s="36"/>
    </row>
    <row r="73">
      <c r="A73" s="69">
        <v>45848.0</v>
      </c>
      <c r="B73" s="60" t="s">
        <v>1256</v>
      </c>
      <c r="C73" s="60" t="s">
        <v>1257</v>
      </c>
      <c r="D73" s="63"/>
      <c r="E73" s="68">
        <v>0.0</v>
      </c>
      <c r="F73" s="68">
        <v>1300.0</v>
      </c>
      <c r="G73" s="36"/>
    </row>
    <row r="74">
      <c r="A74" s="69">
        <v>45848.0</v>
      </c>
      <c r="B74" s="60" t="s">
        <v>1258</v>
      </c>
      <c r="C74" s="60" t="s">
        <v>1250</v>
      </c>
      <c r="D74" s="63"/>
      <c r="E74" s="68">
        <v>0.0</v>
      </c>
      <c r="F74" s="68">
        <v>276.0</v>
      </c>
      <c r="G74" s="36"/>
    </row>
    <row r="75">
      <c r="A75" s="69">
        <v>45910.0</v>
      </c>
      <c r="B75" s="60" t="s">
        <v>1259</v>
      </c>
      <c r="C75" s="60" t="s">
        <v>1250</v>
      </c>
      <c r="D75" s="63"/>
      <c r="E75" s="68">
        <v>0.0</v>
      </c>
      <c r="F75" s="68">
        <v>2166.84</v>
      </c>
      <c r="G75" s="36"/>
    </row>
    <row r="76">
      <c r="A76" s="69">
        <v>45910.0</v>
      </c>
      <c r="B76" s="60" t="s">
        <v>1260</v>
      </c>
      <c r="C76" s="60" t="s">
        <v>1252</v>
      </c>
      <c r="D76" s="63"/>
      <c r="E76" s="68">
        <v>0.0</v>
      </c>
      <c r="F76" s="68">
        <v>620.0</v>
      </c>
      <c r="G76" s="36"/>
    </row>
    <row r="77">
      <c r="A77" s="69">
        <v>45910.0</v>
      </c>
      <c r="B77" s="60" t="s">
        <v>1261</v>
      </c>
      <c r="C77" s="60" t="s">
        <v>1239</v>
      </c>
      <c r="D77" s="63"/>
      <c r="E77" s="68">
        <v>0.0</v>
      </c>
      <c r="F77" s="68">
        <v>813.97</v>
      </c>
      <c r="G77" s="36"/>
    </row>
    <row r="78">
      <c r="A78" s="71">
        <v>45940.0</v>
      </c>
      <c r="B78" s="60" t="s">
        <v>1262</v>
      </c>
      <c r="C78" s="60" t="s">
        <v>1257</v>
      </c>
      <c r="D78" s="63"/>
      <c r="E78" s="68">
        <v>0.0</v>
      </c>
      <c r="F78" s="68">
        <v>1100.0</v>
      </c>
      <c r="G78" s="36"/>
    </row>
    <row r="79">
      <c r="A79" s="71">
        <v>45971.0</v>
      </c>
      <c r="B79" s="60" t="s">
        <v>1263</v>
      </c>
      <c r="C79" s="60" t="s">
        <v>1160</v>
      </c>
      <c r="D79" s="63"/>
      <c r="E79" s="68">
        <v>0.0</v>
      </c>
      <c r="F79" s="68">
        <v>562.03</v>
      </c>
      <c r="G79" s="36"/>
    </row>
    <row r="80">
      <c r="A80" s="71">
        <v>46001.0</v>
      </c>
      <c r="B80" s="60" t="s">
        <v>1264</v>
      </c>
      <c r="C80" s="60" t="s">
        <v>1160</v>
      </c>
      <c r="D80" s="63"/>
      <c r="E80" s="68">
        <v>0.0</v>
      </c>
      <c r="F80" s="68">
        <v>50000.0</v>
      </c>
      <c r="G80" s="36"/>
    </row>
    <row r="81">
      <c r="A81" s="71">
        <v>46001.0</v>
      </c>
      <c r="B81" s="60" t="s">
        <v>1265</v>
      </c>
      <c r="C81" s="60" t="s">
        <v>1160</v>
      </c>
      <c r="D81" s="63"/>
      <c r="E81" s="68">
        <v>0.0</v>
      </c>
      <c r="F81" s="68">
        <v>1191.96</v>
      </c>
      <c r="G81" s="36"/>
    </row>
    <row r="82">
      <c r="A82" s="71">
        <v>46001.0</v>
      </c>
      <c r="B82" s="60" t="s">
        <v>1266</v>
      </c>
      <c r="C82" s="60" t="s">
        <v>1248</v>
      </c>
      <c r="D82" s="63"/>
      <c r="E82" s="68">
        <v>0.0</v>
      </c>
      <c r="F82" s="68">
        <v>420.0</v>
      </c>
      <c r="G82" s="36"/>
    </row>
    <row r="83">
      <c r="A83" s="71">
        <v>46001.0</v>
      </c>
      <c r="B83" s="60" t="s">
        <v>1267</v>
      </c>
      <c r="C83" s="60" t="s">
        <v>1233</v>
      </c>
      <c r="D83" s="63"/>
      <c r="E83" s="68">
        <v>0.0</v>
      </c>
      <c r="F83" s="68">
        <v>1736.0</v>
      </c>
      <c r="G83" s="36"/>
    </row>
    <row r="84">
      <c r="A84" s="71">
        <v>46001.0</v>
      </c>
      <c r="B84" s="60" t="s">
        <v>1268</v>
      </c>
      <c r="C84" s="60" t="s">
        <v>1239</v>
      </c>
      <c r="D84" s="63"/>
      <c r="E84" s="68">
        <v>0.0</v>
      </c>
      <c r="F84" s="68">
        <v>2107.01</v>
      </c>
      <c r="G84" s="36"/>
    </row>
    <row r="85">
      <c r="A85" s="71">
        <v>46001.0</v>
      </c>
      <c r="B85" s="60" t="s">
        <v>1269</v>
      </c>
      <c r="C85" s="60" t="s">
        <v>1252</v>
      </c>
      <c r="D85" s="63"/>
      <c r="E85" s="68">
        <v>0.0</v>
      </c>
      <c r="F85" s="68">
        <v>798.0</v>
      </c>
      <c r="G85" s="36"/>
    </row>
    <row r="86">
      <c r="A86" s="71">
        <v>46001.0</v>
      </c>
      <c r="B86" s="60" t="s">
        <v>1270</v>
      </c>
      <c r="C86" s="60" t="s">
        <v>1250</v>
      </c>
      <c r="D86" s="63"/>
      <c r="E86" s="68">
        <v>0.0</v>
      </c>
      <c r="F86" s="68">
        <v>201.0</v>
      </c>
      <c r="G86" s="36"/>
    </row>
    <row r="87">
      <c r="A87" s="71">
        <v>46001.0</v>
      </c>
      <c r="B87" s="60" t="s">
        <v>1271</v>
      </c>
      <c r="C87" s="60" t="s">
        <v>1250</v>
      </c>
      <c r="D87" s="63"/>
      <c r="E87" s="68">
        <v>0.0</v>
      </c>
      <c r="F87" s="68">
        <v>368.0</v>
      </c>
      <c r="G87" s="36"/>
    </row>
    <row r="88">
      <c r="A88" s="60" t="s">
        <v>1129</v>
      </c>
      <c r="B88" s="60" t="s">
        <v>1272</v>
      </c>
      <c r="C88" s="60" t="s">
        <v>1250</v>
      </c>
      <c r="D88" s="63"/>
      <c r="E88" s="68">
        <v>0.0</v>
      </c>
      <c r="F88" s="68">
        <v>100.0</v>
      </c>
      <c r="G88" s="36"/>
    </row>
    <row r="89">
      <c r="A89" s="60" t="s">
        <v>1273</v>
      </c>
      <c r="B89" s="60" t="s">
        <v>1274</v>
      </c>
      <c r="C89" s="60" t="s">
        <v>1239</v>
      </c>
      <c r="D89" s="63"/>
      <c r="E89" s="68">
        <v>0.0</v>
      </c>
      <c r="F89" s="68">
        <v>217.97</v>
      </c>
      <c r="G89" s="36"/>
    </row>
    <row r="90">
      <c r="A90" s="60" t="s">
        <v>1273</v>
      </c>
      <c r="B90" s="60" t="s">
        <v>1275</v>
      </c>
      <c r="C90" s="60" t="s">
        <v>1241</v>
      </c>
      <c r="D90" s="63"/>
      <c r="E90" s="68">
        <v>0.0</v>
      </c>
      <c r="F90" s="68">
        <v>357.98</v>
      </c>
      <c r="G90" s="36"/>
    </row>
    <row r="91">
      <c r="A91" s="60" t="s">
        <v>1273</v>
      </c>
      <c r="B91" s="60" t="s">
        <v>1276</v>
      </c>
      <c r="C91" s="60" t="s">
        <v>1250</v>
      </c>
      <c r="D91" s="63"/>
      <c r="E91" s="68">
        <v>0.0</v>
      </c>
      <c r="F91" s="68">
        <v>1541.76</v>
      </c>
      <c r="G91" s="36"/>
    </row>
    <row r="92">
      <c r="A92" s="60" t="s">
        <v>1273</v>
      </c>
      <c r="B92" s="60" t="s">
        <v>1277</v>
      </c>
      <c r="C92" s="60" t="s">
        <v>1252</v>
      </c>
      <c r="D92" s="63"/>
      <c r="E92" s="68">
        <v>0.0</v>
      </c>
      <c r="F92" s="68">
        <v>1631.0</v>
      </c>
      <c r="G92" s="36"/>
    </row>
    <row r="93">
      <c r="A93" s="60" t="s">
        <v>1131</v>
      </c>
      <c r="B93" s="60" t="s">
        <v>1278</v>
      </c>
      <c r="C93" s="60" t="s">
        <v>1250</v>
      </c>
      <c r="D93" s="63"/>
      <c r="E93" s="68">
        <v>0.0</v>
      </c>
      <c r="F93" s="68">
        <v>368.0</v>
      </c>
      <c r="G93" s="36"/>
    </row>
    <row r="94">
      <c r="A94" s="60" t="s">
        <v>1131</v>
      </c>
      <c r="B94" s="60" t="s">
        <v>1279</v>
      </c>
      <c r="C94" s="60" t="s">
        <v>1235</v>
      </c>
      <c r="D94" s="63"/>
      <c r="E94" s="68">
        <v>0.0</v>
      </c>
      <c r="F94" s="68">
        <v>4607.21</v>
      </c>
      <c r="G94" s="36"/>
    </row>
    <row r="95">
      <c r="A95" s="60" t="s">
        <v>1131</v>
      </c>
      <c r="B95" s="60" t="s">
        <v>1280</v>
      </c>
      <c r="C95" s="60" t="s">
        <v>1241</v>
      </c>
      <c r="D95" s="63"/>
      <c r="E95" s="68">
        <v>0.0</v>
      </c>
      <c r="F95" s="68">
        <v>91.98</v>
      </c>
      <c r="G95" s="36"/>
    </row>
    <row r="96">
      <c r="A96" s="60" t="s">
        <v>1131</v>
      </c>
      <c r="B96" s="60" t="s">
        <v>1281</v>
      </c>
      <c r="C96" s="60" t="s">
        <v>1233</v>
      </c>
      <c r="D96" s="63"/>
      <c r="E96" s="68">
        <v>0.0</v>
      </c>
      <c r="F96" s="68">
        <v>494.0</v>
      </c>
      <c r="G96" s="36"/>
    </row>
    <row r="97">
      <c r="A97" s="60" t="s">
        <v>1131</v>
      </c>
      <c r="B97" s="60" t="s">
        <v>1282</v>
      </c>
      <c r="C97" s="60" t="s">
        <v>1233</v>
      </c>
      <c r="D97" s="63"/>
      <c r="E97" s="68">
        <v>0.0</v>
      </c>
      <c r="F97" s="68">
        <v>827.0</v>
      </c>
      <c r="G97" s="36"/>
    </row>
    <row r="98">
      <c r="A98" s="60" t="s">
        <v>1131</v>
      </c>
      <c r="B98" s="60" t="s">
        <v>1283</v>
      </c>
      <c r="C98" s="60" t="s">
        <v>1241</v>
      </c>
      <c r="D98" s="63"/>
      <c r="E98" s="68">
        <v>0.0</v>
      </c>
      <c r="F98" s="68">
        <v>918.0</v>
      </c>
      <c r="G98" s="36"/>
    </row>
    <row r="99">
      <c r="A99" s="60" t="s">
        <v>1131</v>
      </c>
      <c r="B99" s="60" t="s">
        <v>1284</v>
      </c>
      <c r="C99" s="60" t="s">
        <v>1241</v>
      </c>
      <c r="D99" s="63"/>
      <c r="E99" s="68">
        <v>0.0</v>
      </c>
      <c r="F99" s="68">
        <v>1917.0</v>
      </c>
      <c r="G99" s="36"/>
    </row>
    <row r="100">
      <c r="A100" s="60" t="s">
        <v>1285</v>
      </c>
      <c r="B100" s="60" t="s">
        <v>1286</v>
      </c>
      <c r="C100" s="60" t="s">
        <v>1248</v>
      </c>
      <c r="D100" s="63"/>
      <c r="E100" s="68">
        <v>0.0</v>
      </c>
      <c r="F100" s="68">
        <v>372.0</v>
      </c>
      <c r="G100" s="36"/>
    </row>
    <row r="101">
      <c r="A101" s="60" t="s">
        <v>1287</v>
      </c>
      <c r="B101" s="60" t="s">
        <v>1288</v>
      </c>
      <c r="C101" s="60" t="s">
        <v>1235</v>
      </c>
      <c r="D101" s="63"/>
      <c r="E101" s="68">
        <v>0.0</v>
      </c>
      <c r="F101" s="68">
        <v>344.0</v>
      </c>
      <c r="G101" s="36"/>
    </row>
    <row r="102">
      <c r="A102" s="60" t="s">
        <v>1287</v>
      </c>
      <c r="B102" s="60" t="s">
        <v>1289</v>
      </c>
      <c r="C102" s="60" t="s">
        <v>1252</v>
      </c>
      <c r="D102" s="63"/>
      <c r="E102" s="68">
        <v>0.0</v>
      </c>
      <c r="F102" s="68">
        <v>843.0</v>
      </c>
      <c r="G102" s="39"/>
    </row>
    <row r="103">
      <c r="A103" s="60" t="s">
        <v>1287</v>
      </c>
      <c r="B103" s="60" t="s">
        <v>1290</v>
      </c>
      <c r="C103" s="60" t="s">
        <v>1241</v>
      </c>
      <c r="D103" s="63"/>
      <c r="E103" s="61">
        <v>0.0</v>
      </c>
      <c r="F103" s="61">
        <v>2730.0</v>
      </c>
      <c r="G103" s="37"/>
    </row>
    <row r="104">
      <c r="A104" s="60" t="s">
        <v>1291</v>
      </c>
      <c r="B104" s="60" t="s">
        <v>1292</v>
      </c>
      <c r="C104" s="60" t="s">
        <v>1235</v>
      </c>
      <c r="D104" s="63"/>
      <c r="E104" s="63">
        <v>0.0</v>
      </c>
      <c r="F104" s="63">
        <v>201.0</v>
      </c>
      <c r="G104" s="37"/>
    </row>
    <row r="105">
      <c r="A105" s="60" t="s">
        <v>1291</v>
      </c>
      <c r="B105" s="60" t="s">
        <v>1293</v>
      </c>
      <c r="C105" s="60" t="s">
        <v>1239</v>
      </c>
      <c r="D105" s="63"/>
      <c r="E105" s="61">
        <v>0.0</v>
      </c>
      <c r="F105" s="61">
        <v>1036.86</v>
      </c>
      <c r="G105" s="37"/>
    </row>
    <row r="106">
      <c r="A106" s="60" t="s">
        <v>1291</v>
      </c>
      <c r="B106" s="60" t="s">
        <v>1294</v>
      </c>
      <c r="C106" s="60" t="s">
        <v>1295</v>
      </c>
      <c r="D106" s="63"/>
      <c r="E106" s="61">
        <v>0.0</v>
      </c>
      <c r="F106" s="61">
        <v>2178.58</v>
      </c>
      <c r="G106" s="37"/>
    </row>
    <row r="107">
      <c r="A107" s="60" t="s">
        <v>1296</v>
      </c>
      <c r="B107" s="60" t="s">
        <v>1297</v>
      </c>
      <c r="C107" s="60" t="s">
        <v>1239</v>
      </c>
      <c r="D107" s="63"/>
      <c r="E107" s="61">
        <v>0.0</v>
      </c>
      <c r="F107" s="61">
        <v>1873.54</v>
      </c>
      <c r="G107" s="37"/>
    </row>
    <row r="108">
      <c r="A108" s="60" t="s">
        <v>1296</v>
      </c>
      <c r="B108" s="60" t="s">
        <v>1298</v>
      </c>
      <c r="C108" s="60" t="s">
        <v>1233</v>
      </c>
      <c r="D108" s="63"/>
      <c r="E108" s="63">
        <v>0.0</v>
      </c>
      <c r="F108" s="63">
        <v>109.0</v>
      </c>
      <c r="G108" s="37"/>
    </row>
    <row r="109">
      <c r="A109" s="60" t="s">
        <v>1296</v>
      </c>
      <c r="B109" s="60" t="s">
        <v>1299</v>
      </c>
      <c r="C109" s="60" t="s">
        <v>1241</v>
      </c>
      <c r="D109" s="63"/>
      <c r="E109" s="63">
        <v>0.0</v>
      </c>
      <c r="F109" s="63">
        <v>333.0</v>
      </c>
      <c r="G109" s="37"/>
    </row>
    <row r="110">
      <c r="A110" s="60" t="s">
        <v>1296</v>
      </c>
      <c r="B110" s="60" t="s">
        <v>1300</v>
      </c>
      <c r="C110" s="60" t="s">
        <v>1241</v>
      </c>
      <c r="D110" s="63"/>
      <c r="E110" s="63">
        <v>0.0</v>
      </c>
      <c r="F110" s="63">
        <v>946.0</v>
      </c>
      <c r="G110" s="37"/>
    </row>
    <row r="111">
      <c r="A111" s="60" t="s">
        <v>1296</v>
      </c>
      <c r="B111" s="60" t="s">
        <v>1301</v>
      </c>
      <c r="C111" s="60" t="s">
        <v>1241</v>
      </c>
      <c r="D111" s="63"/>
      <c r="E111" s="63">
        <v>0.0</v>
      </c>
      <c r="F111" s="63">
        <v>468.0</v>
      </c>
      <c r="G111" s="37"/>
    </row>
    <row r="112">
      <c r="A112" s="60" t="s">
        <v>1296</v>
      </c>
      <c r="B112" s="60" t="s">
        <v>1302</v>
      </c>
      <c r="C112" s="60" t="s">
        <v>1235</v>
      </c>
      <c r="D112" s="63"/>
      <c r="E112" s="63">
        <v>0.0</v>
      </c>
      <c r="F112" s="63">
        <v>219.0</v>
      </c>
      <c r="G112" s="37"/>
    </row>
    <row r="113">
      <c r="A113" s="60" t="s">
        <v>1303</v>
      </c>
      <c r="B113" s="60" t="s">
        <v>1304</v>
      </c>
      <c r="C113" s="60" t="s">
        <v>1252</v>
      </c>
      <c r="D113" s="63"/>
      <c r="E113" s="63">
        <v>0.0</v>
      </c>
      <c r="F113" s="63">
        <v>215.0</v>
      </c>
      <c r="G113" s="37"/>
    </row>
    <row r="114">
      <c r="A114" s="60" t="s">
        <v>1303</v>
      </c>
      <c r="B114" s="60" t="s">
        <v>1305</v>
      </c>
      <c r="C114" s="60" t="s">
        <v>1241</v>
      </c>
      <c r="D114" s="63"/>
      <c r="E114" s="63">
        <v>0.0</v>
      </c>
      <c r="F114" s="63">
        <v>532.0</v>
      </c>
      <c r="G114" s="37"/>
    </row>
    <row r="115">
      <c r="A115" s="60" t="s">
        <v>1306</v>
      </c>
      <c r="B115" s="60" t="s">
        <v>1307</v>
      </c>
      <c r="C115" s="60" t="s">
        <v>1241</v>
      </c>
      <c r="D115" s="63"/>
      <c r="E115" s="63">
        <v>0.0</v>
      </c>
      <c r="F115" s="63">
        <v>594.0</v>
      </c>
      <c r="G115" s="37"/>
    </row>
    <row r="116">
      <c r="A116" s="60" t="s">
        <v>1306</v>
      </c>
      <c r="B116" s="60" t="s">
        <v>1308</v>
      </c>
      <c r="C116" s="60" t="s">
        <v>1241</v>
      </c>
      <c r="D116" s="63"/>
      <c r="E116" s="61">
        <v>0.0</v>
      </c>
      <c r="F116" s="61">
        <v>1022.0</v>
      </c>
      <c r="G116" s="37"/>
    </row>
    <row r="117">
      <c r="A117" s="60" t="s">
        <v>1306</v>
      </c>
      <c r="B117" s="60" t="s">
        <v>1309</v>
      </c>
      <c r="C117" s="60" t="s">
        <v>1239</v>
      </c>
      <c r="D117" s="63"/>
      <c r="E117" s="63">
        <v>0.0</v>
      </c>
      <c r="F117" s="63">
        <v>200.0</v>
      </c>
      <c r="G117" s="37"/>
    </row>
    <row r="118">
      <c r="A118" s="60" t="s">
        <v>1306</v>
      </c>
      <c r="B118" s="60" t="s">
        <v>1310</v>
      </c>
      <c r="C118" s="60" t="s">
        <v>1235</v>
      </c>
      <c r="D118" s="63"/>
      <c r="E118" s="63">
        <v>0.0</v>
      </c>
      <c r="F118" s="63">
        <v>201.0</v>
      </c>
      <c r="G118" s="37"/>
    </row>
    <row r="119">
      <c r="A119" s="60" t="s">
        <v>1306</v>
      </c>
      <c r="B119" s="60" t="s">
        <v>1311</v>
      </c>
      <c r="C119" s="60" t="s">
        <v>1295</v>
      </c>
      <c r="D119" s="63"/>
      <c r="E119" s="63">
        <v>0.0</v>
      </c>
      <c r="F119" s="63">
        <v>460.0</v>
      </c>
      <c r="G119" s="37"/>
    </row>
    <row r="120">
      <c r="A120" s="60" t="s">
        <v>1306</v>
      </c>
      <c r="B120" s="60" t="s">
        <v>1312</v>
      </c>
      <c r="C120" s="60" t="s">
        <v>1313</v>
      </c>
      <c r="D120" s="63"/>
      <c r="E120" s="61">
        <v>0.0</v>
      </c>
      <c r="F120" s="61">
        <v>2400.0</v>
      </c>
      <c r="G120" s="37"/>
    </row>
    <row r="121">
      <c r="A121" s="60" t="s">
        <v>1306</v>
      </c>
      <c r="B121" s="60" t="s">
        <v>1314</v>
      </c>
      <c r="C121" s="60" t="s">
        <v>1315</v>
      </c>
      <c r="D121" s="63"/>
      <c r="E121" s="63">
        <v>0.0</v>
      </c>
      <c r="F121" s="63">
        <v>300.0</v>
      </c>
      <c r="G121" s="37"/>
    </row>
    <row r="122">
      <c r="A122" s="60" t="s">
        <v>1316</v>
      </c>
      <c r="B122" s="60" t="s">
        <v>1317</v>
      </c>
      <c r="C122" s="60" t="s">
        <v>1235</v>
      </c>
      <c r="D122" s="63"/>
      <c r="E122" s="61">
        <v>0.0</v>
      </c>
      <c r="F122" s="61">
        <v>1719.77</v>
      </c>
      <c r="G122" s="37"/>
    </row>
    <row r="123">
      <c r="A123" s="60" t="s">
        <v>1318</v>
      </c>
      <c r="B123" s="60" t="s">
        <v>1319</v>
      </c>
      <c r="C123" s="60" t="s">
        <v>1252</v>
      </c>
      <c r="D123" s="63"/>
      <c r="E123" s="63">
        <v>0.0</v>
      </c>
      <c r="F123" s="63">
        <v>729.0</v>
      </c>
      <c r="G123" s="37"/>
    </row>
    <row r="124">
      <c r="A124" s="60" t="s">
        <v>1318</v>
      </c>
      <c r="B124" s="60" t="s">
        <v>1320</v>
      </c>
      <c r="C124" s="60" t="s">
        <v>1257</v>
      </c>
      <c r="D124" s="63"/>
      <c r="E124" s="63">
        <v>0.0</v>
      </c>
      <c r="F124" s="63">
        <v>375.0</v>
      </c>
      <c r="G124" s="37"/>
    </row>
    <row r="125">
      <c r="A125" s="60" t="s">
        <v>1318</v>
      </c>
      <c r="B125" s="60" t="s">
        <v>1321</v>
      </c>
      <c r="C125" s="60" t="s">
        <v>1160</v>
      </c>
      <c r="D125" s="63"/>
      <c r="E125" s="63">
        <v>0.0</v>
      </c>
      <c r="F125" s="63">
        <v>194.0</v>
      </c>
      <c r="G125" s="37"/>
    </row>
    <row r="126">
      <c r="A126" s="60" t="s">
        <v>1322</v>
      </c>
      <c r="B126" s="60" t="s">
        <v>1323</v>
      </c>
      <c r="C126" s="60" t="s">
        <v>1160</v>
      </c>
      <c r="D126" s="63"/>
      <c r="E126" s="63">
        <v>0.0</v>
      </c>
      <c r="F126" s="63">
        <v>58.27</v>
      </c>
      <c r="G126" s="37"/>
    </row>
    <row r="127">
      <c r="A127" s="60" t="s">
        <v>1322</v>
      </c>
      <c r="B127" s="60" t="s">
        <v>1324</v>
      </c>
      <c r="C127" s="60" t="s">
        <v>1239</v>
      </c>
      <c r="D127" s="63"/>
      <c r="E127" s="63">
        <v>0.0</v>
      </c>
      <c r="F127" s="63">
        <v>733.93</v>
      </c>
      <c r="G127" s="37"/>
    </row>
    <row r="128">
      <c r="A128" s="60" t="s">
        <v>1325</v>
      </c>
      <c r="B128" s="60" t="s">
        <v>1326</v>
      </c>
      <c r="C128" s="60" t="s">
        <v>1233</v>
      </c>
      <c r="D128" s="63"/>
      <c r="E128" s="63">
        <v>0.0</v>
      </c>
      <c r="F128" s="63">
        <v>920.0</v>
      </c>
      <c r="G128" s="37"/>
    </row>
    <row r="129">
      <c r="A129" s="60" t="s">
        <v>1327</v>
      </c>
      <c r="B129" s="60" t="s">
        <v>1328</v>
      </c>
      <c r="C129" s="60" t="s">
        <v>1329</v>
      </c>
      <c r="D129" s="63"/>
      <c r="E129" s="63">
        <v>0.0</v>
      </c>
      <c r="F129" s="63">
        <v>140.0</v>
      </c>
      <c r="G129" s="37"/>
    </row>
    <row r="130">
      <c r="A130" s="60" t="s">
        <v>1327</v>
      </c>
      <c r="B130" s="60" t="s">
        <v>1330</v>
      </c>
      <c r="C130" s="60" t="s">
        <v>1241</v>
      </c>
      <c r="D130" s="63"/>
      <c r="E130" s="63">
        <v>0.0</v>
      </c>
      <c r="F130" s="63">
        <v>241.97</v>
      </c>
      <c r="G130" s="37"/>
    </row>
    <row r="131">
      <c r="A131" s="60" t="s">
        <v>1327</v>
      </c>
      <c r="B131" s="60" t="s">
        <v>1331</v>
      </c>
      <c r="C131" s="60" t="s">
        <v>1252</v>
      </c>
      <c r="D131" s="63"/>
      <c r="E131" s="63">
        <v>0.0</v>
      </c>
      <c r="F131" s="63">
        <v>827.0</v>
      </c>
      <c r="G131" s="37"/>
    </row>
    <row r="132">
      <c r="A132" s="60" t="s">
        <v>1327</v>
      </c>
      <c r="B132" s="60" t="s">
        <v>1332</v>
      </c>
      <c r="C132" s="60" t="s">
        <v>1333</v>
      </c>
      <c r="D132" s="63"/>
      <c r="E132" s="61">
        <v>0.0</v>
      </c>
      <c r="F132" s="61">
        <v>2130.0</v>
      </c>
      <c r="G132" s="37"/>
    </row>
    <row r="133">
      <c r="A133" s="60" t="s">
        <v>1327</v>
      </c>
      <c r="B133" s="60" t="s">
        <v>1334</v>
      </c>
      <c r="C133" s="60" t="s">
        <v>1235</v>
      </c>
      <c r="D133" s="63"/>
      <c r="E133" s="63">
        <v>0.0</v>
      </c>
      <c r="F133" s="63">
        <v>342.0</v>
      </c>
      <c r="G133" s="37"/>
    </row>
    <row r="134">
      <c r="A134" s="60" t="s">
        <v>1327</v>
      </c>
      <c r="B134" s="60" t="s">
        <v>1335</v>
      </c>
      <c r="C134" s="60" t="s">
        <v>1295</v>
      </c>
      <c r="D134" s="63"/>
      <c r="E134" s="63">
        <v>0.0</v>
      </c>
      <c r="F134" s="63">
        <v>917.02</v>
      </c>
      <c r="G134" s="37"/>
    </row>
    <row r="135">
      <c r="A135" s="60" t="s">
        <v>1327</v>
      </c>
      <c r="B135" s="60" t="s">
        <v>1336</v>
      </c>
      <c r="C135" s="60" t="s">
        <v>1295</v>
      </c>
      <c r="D135" s="63"/>
      <c r="E135" s="63">
        <v>0.0</v>
      </c>
      <c r="F135" s="63">
        <v>276.0</v>
      </c>
      <c r="G135" s="37"/>
    </row>
    <row r="136">
      <c r="A136" s="60" t="s">
        <v>1327</v>
      </c>
      <c r="B136" s="60" t="s">
        <v>1337</v>
      </c>
      <c r="C136" s="60" t="s">
        <v>1248</v>
      </c>
      <c r="D136" s="63"/>
      <c r="E136" s="63">
        <v>0.0</v>
      </c>
      <c r="F136" s="63">
        <v>235.0</v>
      </c>
      <c r="G136" s="37"/>
    </row>
    <row r="137">
      <c r="A137" s="60" t="s">
        <v>1327</v>
      </c>
      <c r="B137" s="60" t="s">
        <v>1338</v>
      </c>
      <c r="C137" s="60" t="s">
        <v>1295</v>
      </c>
      <c r="D137" s="63"/>
      <c r="E137" s="61">
        <v>0.0</v>
      </c>
      <c r="F137" s="61">
        <v>2003.79</v>
      </c>
      <c r="G137" s="37"/>
    </row>
    <row r="138">
      <c r="A138" s="60" t="s">
        <v>1339</v>
      </c>
      <c r="B138" s="60" t="s">
        <v>1340</v>
      </c>
      <c r="C138" s="60" t="s">
        <v>1295</v>
      </c>
      <c r="D138" s="63"/>
      <c r="E138" s="63">
        <v>0.0</v>
      </c>
      <c r="F138" s="63">
        <v>259.0</v>
      </c>
      <c r="G138" s="37"/>
    </row>
    <row r="139">
      <c r="A139" s="60" t="s">
        <v>1339</v>
      </c>
      <c r="B139" s="60" t="s">
        <v>1341</v>
      </c>
      <c r="C139" s="60" t="s">
        <v>1315</v>
      </c>
      <c r="D139" s="63"/>
      <c r="E139" s="61">
        <v>0.0</v>
      </c>
      <c r="F139" s="61">
        <v>1519.0</v>
      </c>
      <c r="G139" s="37"/>
    </row>
    <row r="140">
      <c r="A140" s="60" t="s">
        <v>1339</v>
      </c>
      <c r="B140" s="60" t="s">
        <v>1342</v>
      </c>
      <c r="C140" s="60" t="s">
        <v>1246</v>
      </c>
      <c r="D140" s="63"/>
      <c r="E140" s="63">
        <v>0.0</v>
      </c>
      <c r="F140" s="63">
        <v>0.01</v>
      </c>
      <c r="G140" s="37"/>
    </row>
    <row r="141">
      <c r="A141" s="60" t="s">
        <v>1339</v>
      </c>
      <c r="B141" s="60" t="s">
        <v>1343</v>
      </c>
      <c r="C141" s="60" t="s">
        <v>1344</v>
      </c>
      <c r="D141" s="63"/>
      <c r="E141" s="63">
        <v>0.0</v>
      </c>
      <c r="F141" s="63">
        <v>0.01</v>
      </c>
      <c r="G141" s="37"/>
    </row>
    <row r="142">
      <c r="A142" s="60" t="s">
        <v>1339</v>
      </c>
      <c r="B142" s="60" t="s">
        <v>1345</v>
      </c>
      <c r="C142" s="60" t="s">
        <v>1346</v>
      </c>
      <c r="D142" s="63"/>
      <c r="E142" s="61">
        <v>0.0</v>
      </c>
      <c r="F142" s="61">
        <v>46250.0</v>
      </c>
      <c r="G142" s="37"/>
    </row>
    <row r="143">
      <c r="A143" s="60" t="s">
        <v>1339</v>
      </c>
      <c r="B143" s="60" t="s">
        <v>1347</v>
      </c>
      <c r="C143" s="60" t="s">
        <v>1315</v>
      </c>
      <c r="D143" s="63"/>
      <c r="E143" s="61">
        <v>0.0</v>
      </c>
      <c r="F143" s="61">
        <v>6090.93</v>
      </c>
      <c r="G143" s="37"/>
    </row>
    <row r="144">
      <c r="A144" s="60" t="s">
        <v>1339</v>
      </c>
      <c r="B144" s="60" t="s">
        <v>1348</v>
      </c>
      <c r="C144" s="60" t="s">
        <v>1235</v>
      </c>
      <c r="D144" s="63"/>
      <c r="E144" s="63">
        <v>0.0</v>
      </c>
      <c r="F144" s="63">
        <v>784.0</v>
      </c>
      <c r="G144" s="37"/>
    </row>
    <row r="145">
      <c r="A145" s="60" t="s">
        <v>1339</v>
      </c>
      <c r="B145" s="60" t="s">
        <v>1349</v>
      </c>
      <c r="C145" s="60" t="s">
        <v>1248</v>
      </c>
      <c r="D145" s="63"/>
      <c r="E145" s="63">
        <v>0.0</v>
      </c>
      <c r="F145" s="63">
        <v>600.0</v>
      </c>
      <c r="G145" s="37"/>
    </row>
    <row r="146">
      <c r="A146" s="60" t="s">
        <v>1339</v>
      </c>
      <c r="B146" s="60" t="s">
        <v>1350</v>
      </c>
      <c r="C146" s="60" t="s">
        <v>1333</v>
      </c>
      <c r="D146" s="63"/>
      <c r="E146" s="61">
        <v>0.0</v>
      </c>
      <c r="F146" s="61">
        <v>10433.0</v>
      </c>
      <c r="G146" s="37"/>
    </row>
    <row r="147">
      <c r="A147" s="60" t="s">
        <v>1339</v>
      </c>
      <c r="B147" s="60" t="s">
        <v>1351</v>
      </c>
      <c r="C147" s="60" t="s">
        <v>1241</v>
      </c>
      <c r="D147" s="63"/>
      <c r="E147" s="61">
        <v>0.0</v>
      </c>
      <c r="F147" s="61">
        <v>1798.0</v>
      </c>
      <c r="G147" s="37"/>
    </row>
    <row r="148">
      <c r="A148" s="60" t="s">
        <v>1339</v>
      </c>
      <c r="B148" s="60" t="s">
        <v>1352</v>
      </c>
      <c r="C148" s="60" t="s">
        <v>1239</v>
      </c>
      <c r="D148" s="63"/>
      <c r="E148" s="63">
        <v>0.0</v>
      </c>
      <c r="F148" s="63">
        <v>691.99</v>
      </c>
      <c r="G148" s="37"/>
    </row>
    <row r="149">
      <c r="A149" s="60" t="s">
        <v>1339</v>
      </c>
      <c r="B149" s="60" t="s">
        <v>1353</v>
      </c>
      <c r="C149" s="60" t="s">
        <v>1329</v>
      </c>
      <c r="D149" s="63"/>
      <c r="E149" s="63">
        <v>0.0</v>
      </c>
      <c r="F149" s="63">
        <v>407.98</v>
      </c>
      <c r="G149" s="37"/>
    </row>
    <row r="150">
      <c r="A150" s="60" t="s">
        <v>1339</v>
      </c>
      <c r="B150" s="60" t="s">
        <v>1354</v>
      </c>
      <c r="C150" s="60" t="s">
        <v>1355</v>
      </c>
      <c r="D150" s="61"/>
      <c r="E150" s="61">
        <v>5142.83</v>
      </c>
      <c r="F150" s="63">
        <v>0.0</v>
      </c>
      <c r="G150" s="37"/>
    </row>
    <row r="151">
      <c r="A151" s="60" t="s">
        <v>1356</v>
      </c>
      <c r="B151" s="60" t="s">
        <v>1357</v>
      </c>
      <c r="C151" s="60" t="s">
        <v>1329</v>
      </c>
      <c r="D151" s="63"/>
      <c r="E151" s="63">
        <v>0.0</v>
      </c>
      <c r="F151" s="63">
        <v>467.94</v>
      </c>
      <c r="G151" s="37"/>
    </row>
    <row r="152">
      <c r="A152" s="60" t="s">
        <v>1356</v>
      </c>
      <c r="B152" s="60" t="s">
        <v>1358</v>
      </c>
      <c r="C152" s="60" t="s">
        <v>1359</v>
      </c>
      <c r="D152" s="61"/>
      <c r="E152" s="61">
        <v>3938.28</v>
      </c>
      <c r="F152" s="63">
        <v>0.0</v>
      </c>
      <c r="G152" s="37"/>
    </row>
    <row r="153">
      <c r="A153" s="60" t="s">
        <v>1356</v>
      </c>
      <c r="B153" s="60" t="s">
        <v>1358</v>
      </c>
      <c r="C153" s="60" t="s">
        <v>1360</v>
      </c>
      <c r="D153" s="61"/>
      <c r="E153" s="61">
        <v>3938.28</v>
      </c>
      <c r="F153" s="63">
        <v>0.0</v>
      </c>
      <c r="G153" s="37"/>
    </row>
    <row r="154">
      <c r="A154" s="60" t="s">
        <v>1356</v>
      </c>
      <c r="B154" s="60" t="s">
        <v>1361</v>
      </c>
      <c r="C154" s="60" t="s">
        <v>1257</v>
      </c>
      <c r="D154" s="63"/>
      <c r="E154" s="63">
        <v>0.0</v>
      </c>
      <c r="F154" s="63">
        <v>28.0</v>
      </c>
      <c r="G154" s="37"/>
    </row>
    <row r="155">
      <c r="A155" s="60" t="s">
        <v>1356</v>
      </c>
      <c r="B155" s="60" t="s">
        <v>1362</v>
      </c>
      <c r="C155" s="60" t="s">
        <v>1333</v>
      </c>
      <c r="D155" s="63"/>
      <c r="E155" s="63">
        <v>0.0</v>
      </c>
      <c r="F155" s="63">
        <v>450.0</v>
      </c>
      <c r="G155" s="37"/>
    </row>
    <row r="156">
      <c r="A156" s="60" t="s">
        <v>1356</v>
      </c>
      <c r="B156" s="60" t="s">
        <v>1363</v>
      </c>
      <c r="C156" s="60" t="s">
        <v>1226</v>
      </c>
      <c r="D156" s="63"/>
      <c r="E156" s="63">
        <v>0.0</v>
      </c>
      <c r="F156" s="63">
        <v>300.0</v>
      </c>
      <c r="G156" s="37"/>
    </row>
    <row r="157">
      <c r="A157" s="60" t="s">
        <v>1134</v>
      </c>
      <c r="B157" s="60" t="s">
        <v>1364</v>
      </c>
      <c r="C157" s="60" t="s">
        <v>1365</v>
      </c>
      <c r="D157" s="63"/>
      <c r="E157" s="61">
        <v>0.0</v>
      </c>
      <c r="F157" s="61">
        <v>1500.81</v>
      </c>
      <c r="G157" s="37"/>
    </row>
    <row r="158">
      <c r="A158" s="60" t="s">
        <v>1134</v>
      </c>
      <c r="B158" s="60" t="s">
        <v>1366</v>
      </c>
      <c r="C158" s="60" t="s">
        <v>1160</v>
      </c>
      <c r="D158" s="63"/>
      <c r="E158" s="61">
        <v>0.0</v>
      </c>
      <c r="F158" s="61">
        <v>1000.71</v>
      </c>
      <c r="G158" s="37"/>
    </row>
    <row r="159">
      <c r="A159" s="60" t="s">
        <v>1134</v>
      </c>
      <c r="B159" s="60" t="s">
        <v>1367</v>
      </c>
      <c r="C159" s="60" t="s">
        <v>1160</v>
      </c>
      <c r="D159" s="63"/>
      <c r="E159" s="63">
        <v>0.0</v>
      </c>
      <c r="F159" s="63">
        <v>545.0</v>
      </c>
      <c r="G159" s="37"/>
    </row>
    <row r="160">
      <c r="A160" s="60" t="s">
        <v>1134</v>
      </c>
      <c r="B160" s="60" t="s">
        <v>1368</v>
      </c>
      <c r="C160" s="60" t="s">
        <v>1369</v>
      </c>
      <c r="D160" s="63"/>
      <c r="E160" s="61">
        <v>0.0</v>
      </c>
      <c r="F160" s="61">
        <v>4190.85</v>
      </c>
      <c r="G160" s="37"/>
    </row>
    <row r="161">
      <c r="A161" s="60" t="s">
        <v>1134</v>
      </c>
      <c r="B161" s="60" t="s">
        <v>1370</v>
      </c>
      <c r="C161" s="60" t="s">
        <v>1315</v>
      </c>
      <c r="D161" s="63"/>
      <c r="E161" s="63">
        <v>0.0</v>
      </c>
      <c r="F161" s="63">
        <v>300.0</v>
      </c>
      <c r="G161" s="37"/>
    </row>
    <row r="162">
      <c r="A162" s="60" t="s">
        <v>1134</v>
      </c>
      <c r="B162" s="60" t="s">
        <v>1371</v>
      </c>
      <c r="C162" s="60" t="s">
        <v>1372</v>
      </c>
      <c r="D162" s="63"/>
      <c r="E162" s="63">
        <v>0.0</v>
      </c>
      <c r="F162" s="63">
        <v>643.9</v>
      </c>
      <c r="G162" s="37"/>
    </row>
    <row r="163">
      <c r="A163" s="60" t="s">
        <v>1134</v>
      </c>
      <c r="B163" s="60" t="s">
        <v>1373</v>
      </c>
      <c r="C163" s="60" t="s">
        <v>1372</v>
      </c>
      <c r="D163" s="63"/>
      <c r="E163" s="63">
        <v>0.0</v>
      </c>
      <c r="F163" s="63">
        <v>341.94</v>
      </c>
      <c r="G163" s="37"/>
    </row>
    <row r="164">
      <c r="A164" s="60" t="s">
        <v>1134</v>
      </c>
      <c r="B164" s="60" t="s">
        <v>1374</v>
      </c>
      <c r="C164" s="60" t="s">
        <v>1333</v>
      </c>
      <c r="D164" s="63"/>
      <c r="E164" s="61">
        <v>0.0</v>
      </c>
      <c r="F164" s="61">
        <v>1192.0</v>
      </c>
      <c r="G164" s="37"/>
    </row>
    <row r="165">
      <c r="A165" s="60" t="s">
        <v>1134</v>
      </c>
      <c r="B165" s="60" t="s">
        <v>1375</v>
      </c>
      <c r="C165" s="60" t="s">
        <v>1233</v>
      </c>
      <c r="D165" s="63"/>
      <c r="E165" s="61">
        <v>0.0</v>
      </c>
      <c r="F165" s="61">
        <v>1350.0</v>
      </c>
      <c r="G165" s="37"/>
    </row>
    <row r="166">
      <c r="A166" s="60" t="s">
        <v>1134</v>
      </c>
      <c r="B166" s="60" t="s">
        <v>1376</v>
      </c>
      <c r="C166" s="60" t="s">
        <v>1248</v>
      </c>
      <c r="D166" s="63"/>
      <c r="E166" s="63">
        <v>0.0</v>
      </c>
      <c r="F166" s="63">
        <v>639.0</v>
      </c>
      <c r="G166" s="37"/>
    </row>
    <row r="167">
      <c r="A167" s="60" t="s">
        <v>1134</v>
      </c>
      <c r="B167" s="60" t="s">
        <v>1377</v>
      </c>
      <c r="C167" s="60" t="s">
        <v>1252</v>
      </c>
      <c r="D167" s="63"/>
      <c r="E167" s="63">
        <v>0.0</v>
      </c>
      <c r="F167" s="63">
        <v>674.0</v>
      </c>
      <c r="G167" s="37"/>
    </row>
    <row r="168">
      <c r="A168" s="60" t="s">
        <v>1134</v>
      </c>
      <c r="B168" s="60" t="s">
        <v>1378</v>
      </c>
      <c r="C168" s="60" t="s">
        <v>1329</v>
      </c>
      <c r="D168" s="63"/>
      <c r="E168" s="63">
        <v>0.0</v>
      </c>
      <c r="F168" s="63">
        <v>306.95</v>
      </c>
      <c r="G168" s="37"/>
    </row>
    <row r="169">
      <c r="A169" s="60" t="s">
        <v>1134</v>
      </c>
      <c r="B169" s="60" t="s">
        <v>1379</v>
      </c>
      <c r="C169" s="60" t="s">
        <v>1355</v>
      </c>
      <c r="D169" s="61"/>
      <c r="E169" s="61">
        <v>4937.96</v>
      </c>
      <c r="F169" s="63">
        <v>0.0</v>
      </c>
      <c r="G169" s="37"/>
    </row>
    <row r="170">
      <c r="A170" s="60" t="s">
        <v>1134</v>
      </c>
      <c r="B170" s="60" t="s">
        <v>1380</v>
      </c>
      <c r="C170" s="60" t="s">
        <v>1381</v>
      </c>
      <c r="D170" s="63"/>
      <c r="E170" s="63">
        <v>60.0</v>
      </c>
      <c r="F170" s="63">
        <v>0.0</v>
      </c>
      <c r="G170" s="37"/>
    </row>
    <row r="171">
      <c r="A171" s="60" t="s">
        <v>1382</v>
      </c>
      <c r="B171" s="60" t="s">
        <v>1383</v>
      </c>
      <c r="C171" s="60" t="s">
        <v>1239</v>
      </c>
      <c r="D171" s="63"/>
      <c r="E171" s="61">
        <v>0.0</v>
      </c>
      <c r="F171" s="61">
        <v>1002.89</v>
      </c>
      <c r="G171" s="37"/>
    </row>
    <row r="172">
      <c r="A172" s="60" t="s">
        <v>1382</v>
      </c>
      <c r="B172" s="60" t="s">
        <v>1384</v>
      </c>
      <c r="C172" s="60" t="s">
        <v>1372</v>
      </c>
      <c r="D172" s="63"/>
      <c r="E172" s="61">
        <v>0.0</v>
      </c>
      <c r="F172" s="61">
        <v>1507.0</v>
      </c>
      <c r="G172" s="37"/>
    </row>
    <row r="173">
      <c r="A173" s="60" t="s">
        <v>1382</v>
      </c>
      <c r="B173" s="60" t="s">
        <v>1385</v>
      </c>
      <c r="C173" s="60" t="s">
        <v>1386</v>
      </c>
      <c r="D173" s="63"/>
      <c r="E173" s="61">
        <v>0.0</v>
      </c>
      <c r="F173" s="61">
        <v>2460.31</v>
      </c>
      <c r="G173" s="37"/>
    </row>
    <row r="174">
      <c r="A174" s="60" t="s">
        <v>1382</v>
      </c>
      <c r="B174" s="60" t="s">
        <v>1387</v>
      </c>
      <c r="C174" s="60" t="s">
        <v>1388</v>
      </c>
      <c r="D174" s="63"/>
      <c r="E174" s="61">
        <v>0.0</v>
      </c>
      <c r="F174" s="61">
        <v>2734.06</v>
      </c>
      <c r="G174" s="37"/>
    </row>
    <row r="175">
      <c r="A175" s="60" t="s">
        <v>1382</v>
      </c>
      <c r="B175" s="60" t="s">
        <v>1389</v>
      </c>
      <c r="C175" s="60" t="s">
        <v>1160</v>
      </c>
      <c r="D175" s="63"/>
      <c r="E175" s="63">
        <v>0.0</v>
      </c>
      <c r="F175" s="63">
        <v>577.92</v>
      </c>
      <c r="G175" s="37"/>
    </row>
  </sheetData>
  <mergeCells count="2">
    <mergeCell ref="A1:G1"/>
    <mergeCell ref="A5:G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8.0" topLeftCell="A19" activePane="bottomLeft" state="frozen"/>
      <selection activeCell="B20" sqref="B20" pane="bottomLeft"/>
    </sheetView>
  </sheetViews>
  <sheetFormatPr customHeight="1" defaultColWidth="12.63" defaultRowHeight="15.75"/>
  <sheetData>
    <row r="1">
      <c r="A1" s="24" t="s">
        <v>1390</v>
      </c>
    </row>
    <row r="3">
      <c r="A3" s="15" t="s">
        <v>41</v>
      </c>
      <c r="B3" s="15" t="s">
        <v>127</v>
      </c>
      <c r="C3" s="15" t="s">
        <v>128</v>
      </c>
      <c r="D3" s="15" t="s">
        <v>129</v>
      </c>
    </row>
    <row r="4">
      <c r="A4" s="4" t="s">
        <v>1391</v>
      </c>
      <c r="B4" s="6">
        <f t="shared" ref="B4:B15" si="1">SUMIF($D$19:$D$502,A4,$G$19:$G$502)</f>
        <v>76836.77</v>
      </c>
      <c r="C4" s="6">
        <f t="shared" ref="C4:C15" si="2">COUNTIF($D$19:$D$502,A4)</f>
        <v>47</v>
      </c>
      <c r="D4" s="6">
        <f t="shared" ref="D4:D16" si="3">IFERROR(B4/C4,0)</f>
        <v>1634.824894</v>
      </c>
    </row>
    <row r="5">
      <c r="A5" s="4" t="s">
        <v>1392</v>
      </c>
      <c r="B5" s="6">
        <f t="shared" si="1"/>
        <v>20506.08</v>
      </c>
      <c r="C5" s="6">
        <f t="shared" si="2"/>
        <v>18</v>
      </c>
      <c r="D5" s="6">
        <f t="shared" si="3"/>
        <v>1139.226667</v>
      </c>
    </row>
    <row r="6">
      <c r="A6" s="4" t="s">
        <v>1393</v>
      </c>
      <c r="B6" s="6">
        <f t="shared" si="1"/>
        <v>25219.28</v>
      </c>
      <c r="C6" s="6">
        <f t="shared" si="2"/>
        <v>33</v>
      </c>
      <c r="D6" s="6">
        <f t="shared" si="3"/>
        <v>764.2206061</v>
      </c>
    </row>
    <row r="7">
      <c r="A7" s="4" t="s">
        <v>46</v>
      </c>
      <c r="B7" s="6">
        <f t="shared" si="1"/>
        <v>45795.01</v>
      </c>
      <c r="C7" s="6">
        <f t="shared" si="2"/>
        <v>19</v>
      </c>
      <c r="D7" s="6">
        <f t="shared" si="3"/>
        <v>2410.263684</v>
      </c>
    </row>
    <row r="8">
      <c r="A8" s="4" t="s">
        <v>47</v>
      </c>
      <c r="B8" s="6">
        <f t="shared" si="1"/>
        <v>366543.83</v>
      </c>
      <c r="C8" s="6">
        <f t="shared" si="2"/>
        <v>26</v>
      </c>
      <c r="D8" s="6">
        <f t="shared" si="3"/>
        <v>14097.83962</v>
      </c>
    </row>
    <row r="9">
      <c r="A9" s="4" t="s">
        <v>48</v>
      </c>
      <c r="B9" s="6">
        <f t="shared" si="1"/>
        <v>72659.84</v>
      </c>
      <c r="C9" s="6">
        <f t="shared" si="2"/>
        <v>55</v>
      </c>
      <c r="D9" s="6">
        <f t="shared" si="3"/>
        <v>1321.088</v>
      </c>
    </row>
    <row r="10">
      <c r="A10" s="4" t="s">
        <v>49</v>
      </c>
      <c r="B10" s="6">
        <f t="shared" si="1"/>
        <v>1056569.43</v>
      </c>
      <c r="C10" s="6">
        <f t="shared" si="2"/>
        <v>15</v>
      </c>
      <c r="D10" s="6">
        <f t="shared" si="3"/>
        <v>70437.962</v>
      </c>
    </row>
    <row r="11">
      <c r="A11" s="4" t="s">
        <v>50</v>
      </c>
      <c r="B11" s="6">
        <f t="shared" si="1"/>
        <v>17259.59</v>
      </c>
      <c r="C11" s="6">
        <f t="shared" si="2"/>
        <v>35</v>
      </c>
      <c r="D11" s="6">
        <f t="shared" si="3"/>
        <v>493.1311429</v>
      </c>
    </row>
    <row r="12">
      <c r="A12" s="4" t="s">
        <v>51</v>
      </c>
      <c r="B12" s="6">
        <f t="shared" si="1"/>
        <v>27926.05</v>
      </c>
      <c r="C12" s="6">
        <f t="shared" si="2"/>
        <v>28</v>
      </c>
      <c r="D12" s="6">
        <f t="shared" si="3"/>
        <v>997.3589286</v>
      </c>
    </row>
    <row r="13">
      <c r="A13" s="4" t="s">
        <v>52</v>
      </c>
      <c r="B13" s="6">
        <f t="shared" si="1"/>
        <v>245613.5</v>
      </c>
      <c r="C13" s="6">
        <f t="shared" si="2"/>
        <v>19</v>
      </c>
      <c r="D13" s="6">
        <f t="shared" si="3"/>
        <v>12927.02632</v>
      </c>
    </row>
    <row r="14">
      <c r="A14" s="4" t="s">
        <v>1394</v>
      </c>
      <c r="B14" s="6">
        <f t="shared" si="1"/>
        <v>0</v>
      </c>
      <c r="C14" s="6">
        <f t="shared" si="2"/>
        <v>0</v>
      </c>
      <c r="D14" s="6">
        <f t="shared" si="3"/>
        <v>0</v>
      </c>
    </row>
    <row r="15">
      <c r="A15" s="4" t="s">
        <v>58</v>
      </c>
      <c r="B15" s="6">
        <f t="shared" si="1"/>
        <v>9086.56</v>
      </c>
      <c r="C15" s="6">
        <f t="shared" si="2"/>
        <v>10</v>
      </c>
      <c r="D15" s="6">
        <f t="shared" si="3"/>
        <v>908.656</v>
      </c>
    </row>
    <row r="16">
      <c r="A16" s="25" t="s">
        <v>59</v>
      </c>
      <c r="B16" s="6">
        <f t="shared" ref="B16:C16" si="4">SUM(B4:B15)</f>
        <v>1964015.94</v>
      </c>
      <c r="C16" s="6">
        <f t="shared" si="4"/>
        <v>305</v>
      </c>
      <c r="D16" s="6">
        <f t="shared" si="3"/>
        <v>6439.396525</v>
      </c>
    </row>
    <row r="18">
      <c r="A18" s="15" t="s">
        <v>130</v>
      </c>
      <c r="B18" s="15" t="s">
        <v>131</v>
      </c>
      <c r="C18" s="15" t="s">
        <v>132</v>
      </c>
      <c r="D18" s="15" t="s">
        <v>41</v>
      </c>
      <c r="E18" s="15" t="s">
        <v>133</v>
      </c>
      <c r="F18" s="15" t="s">
        <v>134</v>
      </c>
      <c r="G18" s="15" t="s">
        <v>104</v>
      </c>
      <c r="H18" s="15" t="s">
        <v>135</v>
      </c>
    </row>
    <row r="19">
      <c r="A19" s="60" t="s">
        <v>136</v>
      </c>
      <c r="B19" s="60" t="s">
        <v>137</v>
      </c>
      <c r="C19" s="4" t="s">
        <v>83</v>
      </c>
      <c r="D19" s="4" t="s">
        <v>1392</v>
      </c>
      <c r="E19" s="61">
        <v>1019.82</v>
      </c>
      <c r="G19" s="62">
        <f t="shared" ref="G19:G502" si="5">IF(E19="","",E19-F19)</f>
        <v>1019.82</v>
      </c>
    </row>
    <row r="20">
      <c r="A20" s="60" t="s">
        <v>138</v>
      </c>
      <c r="B20" s="60" t="s">
        <v>139</v>
      </c>
      <c r="C20" s="4" t="s">
        <v>83</v>
      </c>
      <c r="D20" s="4" t="s">
        <v>1392</v>
      </c>
      <c r="E20" s="61">
        <v>1939.7</v>
      </c>
      <c r="G20" s="62">
        <f t="shared" si="5"/>
        <v>1939.7</v>
      </c>
    </row>
    <row r="21">
      <c r="A21" s="60" t="s">
        <v>142</v>
      </c>
      <c r="B21" s="60" t="s">
        <v>143</v>
      </c>
      <c r="C21" s="4" t="s">
        <v>83</v>
      </c>
      <c r="D21" s="4" t="s">
        <v>1392</v>
      </c>
      <c r="E21" s="61">
        <v>1460.78</v>
      </c>
      <c r="G21" s="62">
        <f t="shared" si="5"/>
        <v>1460.78</v>
      </c>
    </row>
    <row r="22">
      <c r="A22" s="60" t="s">
        <v>1395</v>
      </c>
      <c r="B22" s="60" t="s">
        <v>1396</v>
      </c>
      <c r="C22" s="4" t="s">
        <v>83</v>
      </c>
      <c r="D22" s="4" t="s">
        <v>1392</v>
      </c>
      <c r="E22" s="61">
        <v>1049.85</v>
      </c>
      <c r="G22" s="62">
        <f t="shared" si="5"/>
        <v>1049.85</v>
      </c>
    </row>
    <row r="23">
      <c r="A23" s="60" t="s">
        <v>144</v>
      </c>
      <c r="B23" s="60" t="s">
        <v>145</v>
      </c>
      <c r="C23" s="4" t="s">
        <v>83</v>
      </c>
      <c r="D23" s="4" t="s">
        <v>1392</v>
      </c>
      <c r="E23" s="61">
        <v>284.96</v>
      </c>
      <c r="G23" s="62">
        <f t="shared" si="5"/>
        <v>284.96</v>
      </c>
    </row>
    <row r="24">
      <c r="A24" s="60" t="s">
        <v>1397</v>
      </c>
      <c r="B24" s="60" t="s">
        <v>1398</v>
      </c>
      <c r="C24" s="4" t="s">
        <v>83</v>
      </c>
      <c r="D24" s="4" t="s">
        <v>1392</v>
      </c>
      <c r="E24" s="61">
        <v>1087.86</v>
      </c>
      <c r="G24" s="62">
        <f t="shared" si="5"/>
        <v>1087.86</v>
      </c>
    </row>
    <row r="25">
      <c r="A25" s="60" t="s">
        <v>1399</v>
      </c>
      <c r="B25" s="60" t="s">
        <v>1400</v>
      </c>
      <c r="C25" s="4" t="s">
        <v>83</v>
      </c>
      <c r="D25" s="4" t="s">
        <v>1392</v>
      </c>
      <c r="E25" s="61">
        <v>158.97</v>
      </c>
      <c r="G25" s="62">
        <f t="shared" si="5"/>
        <v>158.97</v>
      </c>
    </row>
    <row r="26">
      <c r="A26" s="60" t="s">
        <v>148</v>
      </c>
      <c r="B26" s="60" t="s">
        <v>149</v>
      </c>
      <c r="C26" s="4" t="s">
        <v>83</v>
      </c>
      <c r="D26" s="4" t="s">
        <v>1392</v>
      </c>
      <c r="E26" s="61">
        <v>1507.81</v>
      </c>
      <c r="G26" s="62">
        <f t="shared" si="5"/>
        <v>1507.81</v>
      </c>
    </row>
    <row r="27">
      <c r="A27" s="60" t="s">
        <v>1401</v>
      </c>
      <c r="B27" s="60" t="s">
        <v>1402</v>
      </c>
      <c r="C27" s="4" t="s">
        <v>83</v>
      </c>
      <c r="D27" s="4" t="s">
        <v>1392</v>
      </c>
      <c r="E27" s="63">
        <v>600.0</v>
      </c>
      <c r="G27" s="5">
        <f t="shared" si="5"/>
        <v>600</v>
      </c>
    </row>
    <row r="28">
      <c r="A28" s="60" t="s">
        <v>150</v>
      </c>
      <c r="B28" s="60" t="s">
        <v>151</v>
      </c>
      <c r="C28" s="4" t="s">
        <v>83</v>
      </c>
      <c r="D28" s="4" t="s">
        <v>1392</v>
      </c>
      <c r="E28" s="61">
        <v>1257.81</v>
      </c>
      <c r="G28" s="62">
        <f t="shared" si="5"/>
        <v>1257.81</v>
      </c>
    </row>
    <row r="29">
      <c r="A29" s="60" t="s">
        <v>152</v>
      </c>
      <c r="B29" s="60" t="s">
        <v>153</v>
      </c>
      <c r="C29" s="4" t="s">
        <v>83</v>
      </c>
      <c r="D29" s="4" t="s">
        <v>1392</v>
      </c>
      <c r="E29" s="61">
        <v>2567.63</v>
      </c>
      <c r="G29" s="62">
        <f t="shared" si="5"/>
        <v>2567.63</v>
      </c>
    </row>
    <row r="30">
      <c r="A30" s="60" t="s">
        <v>154</v>
      </c>
      <c r="B30" s="60" t="s">
        <v>155</v>
      </c>
      <c r="C30" s="4" t="s">
        <v>83</v>
      </c>
      <c r="D30" s="4" t="s">
        <v>1392</v>
      </c>
      <c r="E30" s="61">
        <v>1415.82</v>
      </c>
      <c r="G30" s="62">
        <f t="shared" si="5"/>
        <v>1415.82</v>
      </c>
    </row>
    <row r="31">
      <c r="A31" s="60" t="s">
        <v>156</v>
      </c>
      <c r="B31" s="60" t="s">
        <v>157</v>
      </c>
      <c r="C31" s="4" t="s">
        <v>83</v>
      </c>
      <c r="D31" s="4" t="s">
        <v>1392</v>
      </c>
      <c r="E31" s="61">
        <v>1005.84</v>
      </c>
      <c r="G31" s="62">
        <f t="shared" si="5"/>
        <v>1005.84</v>
      </c>
    </row>
    <row r="32">
      <c r="A32" s="60" t="s">
        <v>158</v>
      </c>
      <c r="B32" s="60" t="s">
        <v>159</v>
      </c>
      <c r="C32" s="4" t="s">
        <v>83</v>
      </c>
      <c r="D32" s="4" t="s">
        <v>1392</v>
      </c>
      <c r="E32" s="61">
        <v>1133.83</v>
      </c>
      <c r="G32" s="62">
        <f t="shared" si="5"/>
        <v>1133.83</v>
      </c>
    </row>
    <row r="33">
      <c r="A33" s="60" t="s">
        <v>160</v>
      </c>
      <c r="B33" s="60" t="s">
        <v>161</v>
      </c>
      <c r="C33" s="4" t="s">
        <v>83</v>
      </c>
      <c r="D33" s="4" t="s">
        <v>1392</v>
      </c>
      <c r="E33" s="61">
        <v>1901.73</v>
      </c>
      <c r="G33" s="62">
        <f t="shared" si="5"/>
        <v>1901.73</v>
      </c>
    </row>
    <row r="34">
      <c r="A34" s="60" t="s">
        <v>162</v>
      </c>
      <c r="B34" s="60" t="s">
        <v>163</v>
      </c>
      <c r="C34" s="4" t="s">
        <v>83</v>
      </c>
      <c r="D34" s="4" t="s">
        <v>1392</v>
      </c>
      <c r="E34" s="61">
        <v>702.37</v>
      </c>
      <c r="G34" s="62">
        <f t="shared" si="5"/>
        <v>702.37</v>
      </c>
    </row>
    <row r="35">
      <c r="A35" s="60" t="s">
        <v>164</v>
      </c>
      <c r="B35" s="60" t="s">
        <v>165</v>
      </c>
      <c r="C35" s="4" t="s">
        <v>83</v>
      </c>
      <c r="D35" s="4" t="s">
        <v>1392</v>
      </c>
      <c r="E35" s="61">
        <v>407.94</v>
      </c>
      <c r="G35" s="62">
        <f t="shared" si="5"/>
        <v>407.94</v>
      </c>
    </row>
    <row r="36">
      <c r="A36" s="60" t="s">
        <v>168</v>
      </c>
      <c r="B36" s="60" t="s">
        <v>169</v>
      </c>
      <c r="C36" s="4" t="s">
        <v>83</v>
      </c>
      <c r="D36" s="4" t="s">
        <v>1392</v>
      </c>
      <c r="E36" s="61">
        <v>1003.36</v>
      </c>
      <c r="G36" s="62">
        <f t="shared" si="5"/>
        <v>1003.36</v>
      </c>
    </row>
    <row r="37">
      <c r="A37" s="60" t="s">
        <v>170</v>
      </c>
      <c r="B37" s="60" t="s">
        <v>171</v>
      </c>
      <c r="C37" s="4" t="s">
        <v>81</v>
      </c>
      <c r="D37" s="4" t="s">
        <v>43</v>
      </c>
      <c r="E37" s="61">
        <v>135.97</v>
      </c>
      <c r="G37" s="62">
        <f t="shared" si="5"/>
        <v>135.97</v>
      </c>
    </row>
    <row r="38">
      <c r="A38" s="60" t="s">
        <v>174</v>
      </c>
      <c r="B38" s="60" t="s">
        <v>175</v>
      </c>
      <c r="C38" s="4" t="s">
        <v>81</v>
      </c>
      <c r="D38" s="4" t="s">
        <v>43</v>
      </c>
      <c r="E38" s="61">
        <v>1000.81</v>
      </c>
      <c r="G38" s="62">
        <f t="shared" si="5"/>
        <v>1000.81</v>
      </c>
    </row>
    <row r="39">
      <c r="A39" s="60" t="s">
        <v>176</v>
      </c>
      <c r="B39" s="60" t="s">
        <v>177</v>
      </c>
      <c r="C39" s="4" t="s">
        <v>81</v>
      </c>
      <c r="D39" s="4" t="s">
        <v>43</v>
      </c>
      <c r="E39" s="63">
        <v>300.01</v>
      </c>
      <c r="G39" s="5">
        <f t="shared" si="5"/>
        <v>300.01</v>
      </c>
    </row>
    <row r="40">
      <c r="A40" s="60" t="s">
        <v>178</v>
      </c>
      <c r="B40" s="60" t="s">
        <v>179</v>
      </c>
      <c r="C40" s="4" t="s">
        <v>81</v>
      </c>
      <c r="D40" s="4" t="s">
        <v>43</v>
      </c>
      <c r="E40" s="61">
        <v>759.88</v>
      </c>
      <c r="G40" s="62">
        <f t="shared" si="5"/>
        <v>759.88</v>
      </c>
    </row>
    <row r="41">
      <c r="A41" s="60" t="s">
        <v>1403</v>
      </c>
      <c r="B41" s="60" t="s">
        <v>1404</v>
      </c>
      <c r="C41" s="4" t="s">
        <v>81</v>
      </c>
      <c r="D41" s="4" t="s">
        <v>43</v>
      </c>
      <c r="E41" s="61">
        <v>1014.88</v>
      </c>
      <c r="G41" s="62">
        <f t="shared" si="5"/>
        <v>1014.88</v>
      </c>
    </row>
    <row r="42">
      <c r="A42" s="60" t="s">
        <v>182</v>
      </c>
      <c r="B42" s="60" t="s">
        <v>183</v>
      </c>
      <c r="C42" s="4" t="s">
        <v>81</v>
      </c>
      <c r="D42" s="4" t="s">
        <v>43</v>
      </c>
      <c r="E42" s="61">
        <v>1671.76</v>
      </c>
      <c r="G42" s="62">
        <f t="shared" si="5"/>
        <v>1671.76</v>
      </c>
    </row>
    <row r="43">
      <c r="A43" s="60" t="s">
        <v>184</v>
      </c>
      <c r="B43" s="60" t="s">
        <v>185</v>
      </c>
      <c r="C43" s="4" t="s">
        <v>81</v>
      </c>
      <c r="D43" s="4" t="s">
        <v>43</v>
      </c>
      <c r="E43" s="61">
        <v>1416.81</v>
      </c>
      <c r="G43" s="62">
        <f t="shared" si="5"/>
        <v>1416.81</v>
      </c>
    </row>
    <row r="44">
      <c r="A44" s="60" t="s">
        <v>186</v>
      </c>
      <c r="B44" s="60" t="s">
        <v>187</v>
      </c>
      <c r="C44" s="4" t="s">
        <v>81</v>
      </c>
      <c r="D44" s="4" t="s">
        <v>43</v>
      </c>
      <c r="E44" s="61">
        <v>435.93</v>
      </c>
      <c r="G44" s="62">
        <f t="shared" si="5"/>
        <v>435.93</v>
      </c>
    </row>
    <row r="45">
      <c r="A45" s="60" t="s">
        <v>190</v>
      </c>
      <c r="B45" s="60" t="s">
        <v>191</v>
      </c>
      <c r="C45" s="4" t="s">
        <v>81</v>
      </c>
      <c r="D45" s="4" t="s">
        <v>43</v>
      </c>
      <c r="E45" s="61">
        <v>1581.78</v>
      </c>
      <c r="G45" s="62">
        <f t="shared" si="5"/>
        <v>1581.78</v>
      </c>
    </row>
    <row r="46">
      <c r="A46" s="60" t="s">
        <v>192</v>
      </c>
      <c r="B46" s="60" t="s">
        <v>193</v>
      </c>
      <c r="C46" s="4" t="s">
        <v>81</v>
      </c>
      <c r="D46" s="4" t="s">
        <v>43</v>
      </c>
      <c r="E46" s="61">
        <v>1575.71</v>
      </c>
      <c r="G46" s="62">
        <f t="shared" si="5"/>
        <v>1575.71</v>
      </c>
    </row>
    <row r="47">
      <c r="A47" s="60" t="s">
        <v>194</v>
      </c>
      <c r="B47" s="60" t="s">
        <v>195</v>
      </c>
      <c r="C47" s="4" t="s">
        <v>81</v>
      </c>
      <c r="D47" s="4" t="s">
        <v>43</v>
      </c>
      <c r="E47" s="61">
        <v>1123.68</v>
      </c>
      <c r="G47" s="62">
        <f t="shared" si="5"/>
        <v>1123.68</v>
      </c>
    </row>
    <row r="48">
      <c r="A48" s="60" t="s">
        <v>196</v>
      </c>
      <c r="B48" s="60" t="s">
        <v>197</v>
      </c>
      <c r="C48" s="4" t="s">
        <v>81</v>
      </c>
      <c r="D48" s="4" t="s">
        <v>43</v>
      </c>
      <c r="E48" s="61">
        <v>480.0</v>
      </c>
      <c r="G48" s="62">
        <f t="shared" si="5"/>
        <v>480</v>
      </c>
    </row>
    <row r="49">
      <c r="A49" s="60" t="s">
        <v>198</v>
      </c>
      <c r="B49" s="60" t="s">
        <v>199</v>
      </c>
      <c r="C49" s="4" t="s">
        <v>81</v>
      </c>
      <c r="D49" s="4" t="s">
        <v>43</v>
      </c>
      <c r="E49" s="61">
        <v>1263.56</v>
      </c>
      <c r="G49" s="62">
        <f t="shared" si="5"/>
        <v>1263.56</v>
      </c>
    </row>
    <row r="50">
      <c r="A50" s="60" t="s">
        <v>200</v>
      </c>
      <c r="B50" s="60" t="s">
        <v>201</v>
      </c>
      <c r="C50" s="4" t="s">
        <v>81</v>
      </c>
      <c r="D50" s="4" t="s">
        <v>43</v>
      </c>
      <c r="E50" s="61">
        <v>1021.87</v>
      </c>
      <c r="G50" s="62">
        <f t="shared" si="5"/>
        <v>1021.87</v>
      </c>
    </row>
    <row r="51">
      <c r="A51" s="60" t="s">
        <v>202</v>
      </c>
      <c r="B51" s="60" t="s">
        <v>203</v>
      </c>
      <c r="C51" s="4" t="s">
        <v>81</v>
      </c>
      <c r="D51" s="4" t="s">
        <v>43</v>
      </c>
      <c r="E51" s="63">
        <v>384.95</v>
      </c>
      <c r="G51" s="5">
        <f t="shared" si="5"/>
        <v>384.95</v>
      </c>
    </row>
    <row r="52">
      <c r="A52" s="60" t="s">
        <v>204</v>
      </c>
      <c r="B52" s="60" t="s">
        <v>205</v>
      </c>
      <c r="C52" s="4" t="s">
        <v>81</v>
      </c>
      <c r="D52" s="4" t="s">
        <v>43</v>
      </c>
      <c r="E52" s="61">
        <v>1304.8</v>
      </c>
      <c r="G52" s="62">
        <f t="shared" si="5"/>
        <v>1304.8</v>
      </c>
    </row>
    <row r="53">
      <c r="A53" s="60" t="s">
        <v>206</v>
      </c>
      <c r="B53" s="60" t="s">
        <v>207</v>
      </c>
      <c r="C53" s="4" t="s">
        <v>81</v>
      </c>
      <c r="D53" s="4" t="s">
        <v>43</v>
      </c>
      <c r="E53" s="61">
        <v>1677.61</v>
      </c>
      <c r="G53" s="62">
        <f t="shared" si="5"/>
        <v>1677.61</v>
      </c>
    </row>
    <row r="54">
      <c r="A54" s="60" t="s">
        <v>208</v>
      </c>
      <c r="B54" s="60" t="s">
        <v>209</v>
      </c>
      <c r="C54" s="4" t="s">
        <v>81</v>
      </c>
      <c r="D54" s="4" t="s">
        <v>43</v>
      </c>
      <c r="E54" s="61">
        <v>2615.52</v>
      </c>
      <c r="G54" s="62">
        <f t="shared" si="5"/>
        <v>2615.52</v>
      </c>
    </row>
    <row r="55">
      <c r="A55" s="60" t="s">
        <v>210</v>
      </c>
      <c r="B55" s="60" t="s">
        <v>211</v>
      </c>
      <c r="C55" s="4" t="s">
        <v>81</v>
      </c>
      <c r="D55" s="4" t="s">
        <v>43</v>
      </c>
      <c r="E55" s="63">
        <v>80.0</v>
      </c>
      <c r="G55" s="5">
        <f t="shared" si="5"/>
        <v>80</v>
      </c>
    </row>
    <row r="56">
      <c r="A56" s="60" t="s">
        <v>1405</v>
      </c>
      <c r="B56" s="60" t="s">
        <v>1406</v>
      </c>
      <c r="C56" s="4" t="s">
        <v>81</v>
      </c>
      <c r="D56" s="4" t="s">
        <v>43</v>
      </c>
      <c r="E56" s="61">
        <v>1009.87</v>
      </c>
      <c r="G56" s="62">
        <f t="shared" si="5"/>
        <v>1009.87</v>
      </c>
    </row>
    <row r="57">
      <c r="A57" s="60" t="s">
        <v>214</v>
      </c>
      <c r="B57" s="60" t="s">
        <v>215</v>
      </c>
      <c r="C57" s="4" t="s">
        <v>81</v>
      </c>
      <c r="D57" s="4" t="s">
        <v>43</v>
      </c>
      <c r="E57" s="61">
        <v>234.97</v>
      </c>
      <c r="G57" s="62">
        <f t="shared" si="5"/>
        <v>234.97</v>
      </c>
    </row>
    <row r="58">
      <c r="A58" s="60" t="s">
        <v>218</v>
      </c>
      <c r="B58" s="60" t="s">
        <v>219</v>
      </c>
      <c r="C58" s="4" t="s">
        <v>81</v>
      </c>
      <c r="D58" s="4" t="s">
        <v>43</v>
      </c>
      <c r="E58" s="61">
        <v>2474.75</v>
      </c>
      <c r="G58" s="62">
        <f t="shared" si="5"/>
        <v>2474.75</v>
      </c>
    </row>
    <row r="59">
      <c r="A59" s="60" t="s">
        <v>220</v>
      </c>
      <c r="B59" s="60" t="s">
        <v>221</v>
      </c>
      <c r="C59" s="4" t="s">
        <v>81</v>
      </c>
      <c r="D59" s="4" t="s">
        <v>43</v>
      </c>
      <c r="E59" s="61">
        <v>239.96</v>
      </c>
      <c r="G59" s="62">
        <f t="shared" si="5"/>
        <v>239.96</v>
      </c>
    </row>
    <row r="60">
      <c r="A60" s="60" t="s">
        <v>222</v>
      </c>
      <c r="B60" s="60" t="s">
        <v>223</v>
      </c>
      <c r="C60" s="4" t="s">
        <v>81</v>
      </c>
      <c r="D60" s="4" t="s">
        <v>43</v>
      </c>
      <c r="E60" s="61">
        <v>74.99</v>
      </c>
      <c r="G60" s="62">
        <f t="shared" si="5"/>
        <v>74.99</v>
      </c>
    </row>
    <row r="61">
      <c r="A61" s="60" t="s">
        <v>224</v>
      </c>
      <c r="B61" s="60" t="s">
        <v>225</v>
      </c>
      <c r="C61" s="4" t="s">
        <v>81</v>
      </c>
      <c r="D61" s="4" t="s">
        <v>43</v>
      </c>
      <c r="E61" s="61">
        <v>1047.84</v>
      </c>
      <c r="G61" s="62">
        <f t="shared" si="5"/>
        <v>1047.84</v>
      </c>
    </row>
    <row r="62">
      <c r="A62" s="60" t="s">
        <v>228</v>
      </c>
      <c r="B62" s="60" t="s">
        <v>229</v>
      </c>
      <c r="C62" s="4" t="s">
        <v>81</v>
      </c>
      <c r="D62" s="4" t="s">
        <v>43</v>
      </c>
      <c r="E62" s="61">
        <v>1206.74</v>
      </c>
      <c r="G62" s="62">
        <f t="shared" si="5"/>
        <v>1206.74</v>
      </c>
    </row>
    <row r="63">
      <c r="A63" s="60" t="s">
        <v>230</v>
      </c>
      <c r="B63" s="60" t="s">
        <v>231</v>
      </c>
      <c r="C63" s="4" t="s">
        <v>81</v>
      </c>
      <c r="D63" s="4" t="s">
        <v>43</v>
      </c>
      <c r="E63" s="61">
        <v>1016.17</v>
      </c>
      <c r="G63" s="62">
        <f t="shared" si="5"/>
        <v>1016.17</v>
      </c>
    </row>
    <row r="64">
      <c r="A64" s="60" t="s">
        <v>234</v>
      </c>
      <c r="B64" s="60" t="s">
        <v>235</v>
      </c>
      <c r="C64" s="4" t="s">
        <v>81</v>
      </c>
      <c r="D64" s="4" t="s">
        <v>43</v>
      </c>
      <c r="E64" s="63">
        <v>100.0</v>
      </c>
      <c r="G64" s="5">
        <f t="shared" si="5"/>
        <v>100</v>
      </c>
    </row>
    <row r="65">
      <c r="A65" s="60" t="s">
        <v>236</v>
      </c>
      <c r="B65" s="60" t="s">
        <v>237</v>
      </c>
      <c r="C65" s="4" t="s">
        <v>81</v>
      </c>
      <c r="D65" s="4" t="s">
        <v>43</v>
      </c>
      <c r="E65" s="63">
        <v>292.95</v>
      </c>
      <c r="G65" s="5">
        <f t="shared" si="5"/>
        <v>292.95</v>
      </c>
    </row>
    <row r="66">
      <c r="A66" s="60" t="s">
        <v>238</v>
      </c>
      <c r="B66" s="60" t="s">
        <v>239</v>
      </c>
      <c r="C66" s="4" t="s">
        <v>81</v>
      </c>
      <c r="D66" s="4" t="s">
        <v>43</v>
      </c>
      <c r="E66" s="61">
        <v>1546.93</v>
      </c>
      <c r="G66" s="62">
        <f t="shared" si="5"/>
        <v>1546.93</v>
      </c>
    </row>
    <row r="67">
      <c r="A67" s="60" t="s">
        <v>240</v>
      </c>
      <c r="B67" s="60" t="s">
        <v>241</v>
      </c>
      <c r="C67" s="4" t="s">
        <v>81</v>
      </c>
      <c r="D67" s="4" t="s">
        <v>43</v>
      </c>
      <c r="E67" s="61">
        <v>8559.3</v>
      </c>
      <c r="G67" s="62">
        <f t="shared" si="5"/>
        <v>8559.3</v>
      </c>
    </row>
    <row r="68">
      <c r="A68" s="60" t="s">
        <v>242</v>
      </c>
      <c r="B68" s="60" t="s">
        <v>243</v>
      </c>
      <c r="C68" s="4" t="s">
        <v>81</v>
      </c>
      <c r="D68" s="4" t="s">
        <v>43</v>
      </c>
      <c r="E68" s="61">
        <v>23075.04</v>
      </c>
      <c r="G68" s="62">
        <f t="shared" si="5"/>
        <v>23075.04</v>
      </c>
    </row>
    <row r="69">
      <c r="A69" s="60" t="s">
        <v>244</v>
      </c>
      <c r="B69" s="60" t="s">
        <v>245</v>
      </c>
      <c r="C69" s="4" t="s">
        <v>81</v>
      </c>
      <c r="D69" s="4" t="s">
        <v>43</v>
      </c>
      <c r="E69" s="61">
        <v>2062.21</v>
      </c>
      <c r="G69" s="62">
        <f t="shared" si="5"/>
        <v>2062.21</v>
      </c>
    </row>
    <row r="70">
      <c r="A70" s="60" t="s">
        <v>250</v>
      </c>
      <c r="B70" s="60" t="s">
        <v>251</v>
      </c>
      <c r="C70" s="4" t="s">
        <v>81</v>
      </c>
      <c r="D70" s="4" t="s">
        <v>43</v>
      </c>
      <c r="E70" s="61">
        <v>1021.86</v>
      </c>
      <c r="G70" s="62">
        <f t="shared" si="5"/>
        <v>1021.86</v>
      </c>
    </row>
    <row r="71">
      <c r="A71" s="60" t="s">
        <v>252</v>
      </c>
      <c r="B71" s="60" t="s">
        <v>253</v>
      </c>
      <c r="C71" s="4" t="s">
        <v>81</v>
      </c>
      <c r="D71" s="4" t="s">
        <v>43</v>
      </c>
      <c r="E71" s="63">
        <v>387.93</v>
      </c>
      <c r="G71" s="5">
        <f t="shared" si="5"/>
        <v>387.93</v>
      </c>
    </row>
    <row r="72">
      <c r="A72" s="60" t="s">
        <v>254</v>
      </c>
      <c r="B72" s="60" t="s">
        <v>255</v>
      </c>
      <c r="C72" s="4" t="s">
        <v>81</v>
      </c>
      <c r="D72" s="4" t="s">
        <v>43</v>
      </c>
      <c r="E72" s="61">
        <v>1181.82</v>
      </c>
      <c r="G72" s="62">
        <f t="shared" si="5"/>
        <v>1181.82</v>
      </c>
    </row>
    <row r="73">
      <c r="A73" s="60" t="s">
        <v>256</v>
      </c>
      <c r="B73" s="60" t="s">
        <v>257</v>
      </c>
      <c r="C73" s="4" t="s">
        <v>81</v>
      </c>
      <c r="D73" s="4" t="s">
        <v>43</v>
      </c>
      <c r="E73" s="61">
        <v>1007.88</v>
      </c>
      <c r="G73" s="62">
        <f t="shared" si="5"/>
        <v>1007.88</v>
      </c>
    </row>
    <row r="74">
      <c r="A74" s="60" t="s">
        <v>258</v>
      </c>
      <c r="B74" s="60" t="s">
        <v>259</v>
      </c>
      <c r="C74" s="4" t="s">
        <v>81</v>
      </c>
      <c r="D74" s="4" t="s">
        <v>43</v>
      </c>
      <c r="E74" s="61">
        <v>1379.83</v>
      </c>
      <c r="G74" s="62">
        <f t="shared" si="5"/>
        <v>1379.83</v>
      </c>
    </row>
    <row r="75">
      <c r="A75" s="60" t="s">
        <v>260</v>
      </c>
      <c r="B75" s="60" t="s">
        <v>261</v>
      </c>
      <c r="C75" s="4" t="s">
        <v>81</v>
      </c>
      <c r="D75" s="4" t="s">
        <v>43</v>
      </c>
      <c r="E75" s="63">
        <v>689.9</v>
      </c>
      <c r="G75" s="5">
        <f t="shared" si="5"/>
        <v>689.9</v>
      </c>
    </row>
    <row r="76">
      <c r="A76" s="60" t="s">
        <v>1407</v>
      </c>
      <c r="B76" s="60" t="s">
        <v>1408</v>
      </c>
      <c r="C76" s="4" t="s">
        <v>81</v>
      </c>
      <c r="D76" s="4" t="s">
        <v>43</v>
      </c>
      <c r="E76" s="61">
        <v>1979.72</v>
      </c>
      <c r="G76" s="62">
        <f t="shared" si="5"/>
        <v>1979.72</v>
      </c>
    </row>
    <row r="77">
      <c r="A77" s="60" t="s">
        <v>262</v>
      </c>
      <c r="B77" s="60" t="s">
        <v>263</v>
      </c>
      <c r="C77" s="4" t="s">
        <v>81</v>
      </c>
      <c r="D77" s="4" t="s">
        <v>43</v>
      </c>
      <c r="E77" s="61">
        <v>1408.86</v>
      </c>
      <c r="G77" s="62">
        <f t="shared" si="5"/>
        <v>1408.86</v>
      </c>
    </row>
    <row r="78">
      <c r="A78" s="60" t="s">
        <v>264</v>
      </c>
      <c r="B78" s="60" t="s">
        <v>265</v>
      </c>
      <c r="C78" s="4" t="s">
        <v>81</v>
      </c>
      <c r="D78" s="4" t="s">
        <v>43</v>
      </c>
      <c r="E78" s="63">
        <v>571.92</v>
      </c>
      <c r="G78" s="5">
        <f t="shared" si="5"/>
        <v>571.92</v>
      </c>
    </row>
    <row r="79">
      <c r="A79" s="60" t="s">
        <v>266</v>
      </c>
      <c r="B79" s="60" t="s">
        <v>267</v>
      </c>
      <c r="C79" s="4" t="s">
        <v>81</v>
      </c>
      <c r="D79" s="4" t="s">
        <v>43</v>
      </c>
      <c r="E79" s="63">
        <v>899.86</v>
      </c>
      <c r="G79" s="5">
        <f t="shared" si="5"/>
        <v>899.86</v>
      </c>
    </row>
    <row r="80">
      <c r="A80" s="60" t="s">
        <v>268</v>
      </c>
      <c r="B80" s="60" t="s">
        <v>269</v>
      </c>
      <c r="C80" s="4" t="s">
        <v>81</v>
      </c>
      <c r="D80" s="4" t="s">
        <v>43</v>
      </c>
      <c r="E80" s="63">
        <v>797.89</v>
      </c>
      <c r="G80" s="5">
        <f t="shared" si="5"/>
        <v>797.89</v>
      </c>
    </row>
    <row r="81">
      <c r="A81" s="60" t="s">
        <v>1409</v>
      </c>
      <c r="B81" s="60" t="s">
        <v>1410</v>
      </c>
      <c r="C81" s="4" t="s">
        <v>81</v>
      </c>
      <c r="D81" s="4" t="s">
        <v>43</v>
      </c>
      <c r="E81" s="63">
        <v>626.41</v>
      </c>
      <c r="G81" s="5">
        <f t="shared" si="5"/>
        <v>626.41</v>
      </c>
    </row>
    <row r="82">
      <c r="A82" s="60" t="s">
        <v>272</v>
      </c>
      <c r="B82" s="60" t="s">
        <v>273</v>
      </c>
      <c r="C82" s="4" t="s">
        <v>81</v>
      </c>
      <c r="D82" s="4" t="s">
        <v>43</v>
      </c>
      <c r="E82" s="61">
        <v>1093.76</v>
      </c>
      <c r="G82" s="62">
        <f t="shared" si="5"/>
        <v>1093.76</v>
      </c>
    </row>
    <row r="83">
      <c r="A83" s="60" t="s">
        <v>1411</v>
      </c>
      <c r="B83" s="60" t="s">
        <v>1412</v>
      </c>
      <c r="C83" s="4" t="s">
        <v>81</v>
      </c>
      <c r="D83" s="4" t="s">
        <v>43</v>
      </c>
      <c r="E83" s="61">
        <v>1001.88</v>
      </c>
      <c r="G83" s="62">
        <f t="shared" si="5"/>
        <v>1001.88</v>
      </c>
    </row>
    <row r="84">
      <c r="A84" s="60" t="s">
        <v>278</v>
      </c>
      <c r="B84" s="60" t="s">
        <v>279</v>
      </c>
      <c r="C84" s="4" t="s">
        <v>82</v>
      </c>
      <c r="D84" s="4" t="s">
        <v>45</v>
      </c>
      <c r="E84" s="61">
        <v>2179.7</v>
      </c>
      <c r="G84" s="62">
        <f t="shared" si="5"/>
        <v>2179.7</v>
      </c>
    </row>
    <row r="85">
      <c r="A85" s="60" t="s">
        <v>280</v>
      </c>
      <c r="B85" s="60" t="s">
        <v>281</v>
      </c>
      <c r="C85" s="4" t="s">
        <v>82</v>
      </c>
      <c r="D85" s="4" t="s">
        <v>45</v>
      </c>
      <c r="E85" s="61">
        <v>1699.99</v>
      </c>
      <c r="G85" s="62">
        <f t="shared" si="5"/>
        <v>1699.99</v>
      </c>
    </row>
    <row r="86">
      <c r="A86" s="60" t="s">
        <v>1413</v>
      </c>
      <c r="B86" s="60" t="s">
        <v>1414</v>
      </c>
      <c r="C86" s="4" t="s">
        <v>82</v>
      </c>
      <c r="D86" s="4" t="s">
        <v>45</v>
      </c>
      <c r="E86" s="63">
        <v>577.92</v>
      </c>
      <c r="G86" s="5">
        <f t="shared" si="5"/>
        <v>577.92</v>
      </c>
    </row>
    <row r="87">
      <c r="A87" s="60" t="s">
        <v>282</v>
      </c>
      <c r="B87" s="60" t="s">
        <v>283</v>
      </c>
      <c r="C87" s="4" t="s">
        <v>82</v>
      </c>
      <c r="D87" s="4" t="s">
        <v>45</v>
      </c>
      <c r="E87" s="63">
        <v>795.0</v>
      </c>
      <c r="G87" s="5">
        <f t="shared" si="5"/>
        <v>795</v>
      </c>
    </row>
    <row r="88">
      <c r="A88" s="60" t="s">
        <v>284</v>
      </c>
      <c r="B88" s="60" t="s">
        <v>285</v>
      </c>
      <c r="C88" s="4" t="s">
        <v>82</v>
      </c>
      <c r="D88" s="4" t="s">
        <v>45</v>
      </c>
      <c r="E88" s="61">
        <v>1177.14</v>
      </c>
      <c r="G88" s="62">
        <f t="shared" si="5"/>
        <v>1177.14</v>
      </c>
    </row>
    <row r="89">
      <c r="A89" s="60" t="s">
        <v>286</v>
      </c>
      <c r="B89" s="60" t="s">
        <v>287</v>
      </c>
      <c r="C89" s="4" t="s">
        <v>82</v>
      </c>
      <c r="D89" s="4" t="s">
        <v>45</v>
      </c>
      <c r="E89" s="61">
        <v>1487.85</v>
      </c>
      <c r="G89" s="62">
        <f t="shared" si="5"/>
        <v>1487.85</v>
      </c>
    </row>
    <row r="90">
      <c r="A90" s="60" t="s">
        <v>288</v>
      </c>
      <c r="B90" s="60" t="s">
        <v>289</v>
      </c>
      <c r="C90" s="4" t="s">
        <v>82</v>
      </c>
      <c r="D90" s="4" t="s">
        <v>45</v>
      </c>
      <c r="E90" s="61">
        <v>1943.82</v>
      </c>
      <c r="G90" s="62">
        <f t="shared" si="5"/>
        <v>1943.82</v>
      </c>
    </row>
    <row r="91">
      <c r="A91" s="60" t="s">
        <v>290</v>
      </c>
      <c r="B91" s="60" t="s">
        <v>291</v>
      </c>
      <c r="C91" s="4" t="s">
        <v>82</v>
      </c>
      <c r="D91" s="4" t="s">
        <v>45</v>
      </c>
      <c r="E91" s="61">
        <v>1995.73</v>
      </c>
      <c r="G91" s="62">
        <f t="shared" si="5"/>
        <v>1995.73</v>
      </c>
    </row>
    <row r="92">
      <c r="A92" s="60" t="s">
        <v>292</v>
      </c>
      <c r="B92" s="60" t="s">
        <v>293</v>
      </c>
      <c r="C92" s="4" t="s">
        <v>82</v>
      </c>
      <c r="D92" s="4" t="s">
        <v>45</v>
      </c>
      <c r="E92" s="63">
        <v>815.85</v>
      </c>
      <c r="G92" s="5">
        <f t="shared" si="5"/>
        <v>815.85</v>
      </c>
    </row>
    <row r="93">
      <c r="A93" s="60" t="s">
        <v>294</v>
      </c>
      <c r="B93" s="60" t="s">
        <v>295</v>
      </c>
      <c r="C93" s="4" t="s">
        <v>82</v>
      </c>
      <c r="D93" s="4" t="s">
        <v>45</v>
      </c>
      <c r="E93" s="61">
        <v>1153.86</v>
      </c>
      <c r="G93" s="62">
        <f t="shared" si="5"/>
        <v>1153.86</v>
      </c>
    </row>
    <row r="94">
      <c r="A94" s="60" t="s">
        <v>296</v>
      </c>
      <c r="B94" s="60" t="s">
        <v>297</v>
      </c>
      <c r="C94" s="4" t="s">
        <v>82</v>
      </c>
      <c r="D94" s="4" t="s">
        <v>45</v>
      </c>
      <c r="E94" s="61">
        <v>1321.82</v>
      </c>
      <c r="G94" s="62">
        <f t="shared" si="5"/>
        <v>1321.82</v>
      </c>
    </row>
    <row r="95">
      <c r="A95" s="60" t="s">
        <v>298</v>
      </c>
      <c r="B95" s="60" t="s">
        <v>299</v>
      </c>
      <c r="C95" s="4" t="s">
        <v>82</v>
      </c>
      <c r="D95" s="4" t="s">
        <v>45</v>
      </c>
      <c r="E95" s="63">
        <v>159.97</v>
      </c>
      <c r="G95" s="5">
        <f t="shared" si="5"/>
        <v>159.97</v>
      </c>
    </row>
    <row r="96">
      <c r="A96" s="60" t="s">
        <v>300</v>
      </c>
      <c r="B96" s="60" t="s">
        <v>301</v>
      </c>
      <c r="C96" s="4" t="s">
        <v>82</v>
      </c>
      <c r="D96" s="4" t="s">
        <v>45</v>
      </c>
      <c r="E96" s="63">
        <v>343.95</v>
      </c>
      <c r="G96" s="5">
        <f t="shared" si="5"/>
        <v>343.95</v>
      </c>
    </row>
    <row r="97">
      <c r="A97" s="60" t="s">
        <v>1415</v>
      </c>
      <c r="B97" s="60" t="s">
        <v>1416</v>
      </c>
      <c r="C97" s="4" t="s">
        <v>82</v>
      </c>
      <c r="D97" s="4" t="s">
        <v>45</v>
      </c>
      <c r="E97" s="61">
        <v>2029.7</v>
      </c>
      <c r="G97" s="62">
        <f t="shared" si="5"/>
        <v>2029.7</v>
      </c>
    </row>
    <row r="98">
      <c r="A98" s="60" t="s">
        <v>302</v>
      </c>
      <c r="B98" s="60" t="s">
        <v>303</v>
      </c>
      <c r="C98" s="4" t="s">
        <v>82</v>
      </c>
      <c r="D98" s="4" t="s">
        <v>45</v>
      </c>
      <c r="E98" s="61">
        <v>2233.64</v>
      </c>
      <c r="G98" s="62">
        <f t="shared" si="5"/>
        <v>2233.64</v>
      </c>
    </row>
    <row r="99">
      <c r="A99" s="60" t="s">
        <v>304</v>
      </c>
      <c r="B99" s="60" t="s">
        <v>305</v>
      </c>
      <c r="C99" s="4" t="s">
        <v>82</v>
      </c>
      <c r="D99" s="4" t="s">
        <v>45</v>
      </c>
      <c r="E99" s="61">
        <v>1045.84</v>
      </c>
      <c r="G99" s="62">
        <f t="shared" si="5"/>
        <v>1045.84</v>
      </c>
    </row>
    <row r="100">
      <c r="A100" s="60" t="s">
        <v>308</v>
      </c>
      <c r="B100" s="60" t="s">
        <v>309</v>
      </c>
      <c r="C100" s="4" t="s">
        <v>73</v>
      </c>
      <c r="D100" s="4" t="s">
        <v>52</v>
      </c>
      <c r="E100" s="61">
        <v>25094.59</v>
      </c>
      <c r="G100" s="62">
        <f t="shared" si="5"/>
        <v>25094.59</v>
      </c>
    </row>
    <row r="101">
      <c r="A101" s="60" t="s">
        <v>1417</v>
      </c>
      <c r="B101" s="60" t="s">
        <v>1418</v>
      </c>
      <c r="C101" s="4" t="s">
        <v>73</v>
      </c>
      <c r="D101" s="4" t="s">
        <v>52</v>
      </c>
      <c r="E101" s="63">
        <v>841.08</v>
      </c>
      <c r="G101" s="5">
        <f t="shared" si="5"/>
        <v>841.08</v>
      </c>
    </row>
    <row r="102">
      <c r="A102" s="60" t="s">
        <v>310</v>
      </c>
      <c r="B102" s="60" t="s">
        <v>311</v>
      </c>
      <c r="C102" s="4" t="s">
        <v>73</v>
      </c>
      <c r="D102" s="4" t="s">
        <v>52</v>
      </c>
      <c r="E102" s="61">
        <v>19329.37</v>
      </c>
      <c r="G102" s="62">
        <f t="shared" si="5"/>
        <v>19329.37</v>
      </c>
    </row>
    <row r="103">
      <c r="A103" s="60" t="s">
        <v>312</v>
      </c>
      <c r="B103" s="60" t="s">
        <v>313</v>
      </c>
      <c r="C103" s="4" t="s">
        <v>73</v>
      </c>
      <c r="D103" s="4" t="s">
        <v>52</v>
      </c>
      <c r="E103" s="61">
        <v>12594.01</v>
      </c>
      <c r="G103" s="62">
        <f t="shared" si="5"/>
        <v>12594.01</v>
      </c>
    </row>
    <row r="104">
      <c r="A104" s="60" t="s">
        <v>314</v>
      </c>
      <c r="B104" s="60" t="s">
        <v>315</v>
      </c>
      <c r="C104" s="4" t="s">
        <v>73</v>
      </c>
      <c r="D104" s="4" t="s">
        <v>52</v>
      </c>
      <c r="E104" s="61">
        <v>11614.01</v>
      </c>
      <c r="G104" s="62">
        <f t="shared" si="5"/>
        <v>11614.01</v>
      </c>
    </row>
    <row r="105">
      <c r="A105" s="60" t="s">
        <v>318</v>
      </c>
      <c r="B105" s="60" t="s">
        <v>319</v>
      </c>
      <c r="C105" s="4" t="s">
        <v>73</v>
      </c>
      <c r="D105" s="4" t="s">
        <v>52</v>
      </c>
      <c r="E105" s="61">
        <v>15479.79</v>
      </c>
      <c r="G105" s="62">
        <f t="shared" si="5"/>
        <v>15479.79</v>
      </c>
    </row>
    <row r="106">
      <c r="A106" s="60" t="s">
        <v>320</v>
      </c>
      <c r="B106" s="60" t="s">
        <v>321</v>
      </c>
      <c r="C106" s="4" t="s">
        <v>73</v>
      </c>
      <c r="D106" s="4" t="s">
        <v>52</v>
      </c>
      <c r="E106" s="61">
        <v>3223.25</v>
      </c>
      <c r="G106" s="62">
        <f t="shared" si="5"/>
        <v>3223.25</v>
      </c>
    </row>
    <row r="107">
      <c r="A107" s="60" t="s">
        <v>322</v>
      </c>
      <c r="B107" s="60" t="s">
        <v>323</v>
      </c>
      <c r="C107" s="4" t="s">
        <v>73</v>
      </c>
      <c r="D107" s="4" t="s">
        <v>52</v>
      </c>
      <c r="E107" s="61">
        <v>1379.98</v>
      </c>
      <c r="G107" s="62">
        <f t="shared" si="5"/>
        <v>1379.98</v>
      </c>
    </row>
    <row r="108">
      <c r="A108" s="60" t="s">
        <v>326</v>
      </c>
      <c r="B108" s="60" t="s">
        <v>327</v>
      </c>
      <c r="C108" s="4" t="s">
        <v>73</v>
      </c>
      <c r="D108" s="4" t="s">
        <v>52</v>
      </c>
      <c r="E108" s="61">
        <v>1019.99</v>
      </c>
      <c r="G108" s="62">
        <f t="shared" si="5"/>
        <v>1019.99</v>
      </c>
    </row>
    <row r="109">
      <c r="A109" s="60" t="s">
        <v>328</v>
      </c>
      <c r="B109" s="60" t="s">
        <v>329</v>
      </c>
      <c r="C109" s="4" t="s">
        <v>73</v>
      </c>
      <c r="D109" s="4" t="s">
        <v>52</v>
      </c>
      <c r="E109" s="61">
        <v>14122.42</v>
      </c>
      <c r="G109" s="62">
        <f t="shared" si="5"/>
        <v>14122.42</v>
      </c>
    </row>
    <row r="110">
      <c r="A110" s="60" t="s">
        <v>330</v>
      </c>
      <c r="B110" s="60" t="s">
        <v>331</v>
      </c>
      <c r="C110" s="4" t="s">
        <v>73</v>
      </c>
      <c r="D110" s="4" t="s">
        <v>52</v>
      </c>
      <c r="E110" s="61">
        <v>3399.98</v>
      </c>
      <c r="G110" s="62">
        <f t="shared" si="5"/>
        <v>3399.98</v>
      </c>
    </row>
    <row r="111">
      <c r="A111" s="60" t="s">
        <v>332</v>
      </c>
      <c r="B111" s="60" t="s">
        <v>333</v>
      </c>
      <c r="C111" s="4" t="s">
        <v>73</v>
      </c>
      <c r="D111" s="4" t="s">
        <v>52</v>
      </c>
      <c r="E111" s="63">
        <v>550.75</v>
      </c>
      <c r="G111" s="5">
        <f t="shared" si="5"/>
        <v>550.75</v>
      </c>
    </row>
    <row r="112">
      <c r="A112" s="60" t="s">
        <v>334</v>
      </c>
      <c r="B112" s="60" t="s">
        <v>335</v>
      </c>
      <c r="C112" s="4" t="s">
        <v>73</v>
      </c>
      <c r="D112" s="4" t="s">
        <v>52</v>
      </c>
      <c r="E112" s="61">
        <v>109955.82</v>
      </c>
      <c r="G112" s="62">
        <f t="shared" si="5"/>
        <v>109955.82</v>
      </c>
    </row>
    <row r="113">
      <c r="A113" s="60" t="s">
        <v>336</v>
      </c>
      <c r="B113" s="60" t="s">
        <v>337</v>
      </c>
      <c r="C113" s="4" t="s">
        <v>73</v>
      </c>
      <c r="D113" s="4" t="s">
        <v>52</v>
      </c>
      <c r="E113" s="61">
        <v>4100.01</v>
      </c>
      <c r="G113" s="62">
        <f t="shared" si="5"/>
        <v>4100.01</v>
      </c>
    </row>
    <row r="114">
      <c r="A114" s="60" t="s">
        <v>338</v>
      </c>
      <c r="B114" s="60" t="s">
        <v>339</v>
      </c>
      <c r="C114" s="4" t="s">
        <v>73</v>
      </c>
      <c r="D114" s="4" t="s">
        <v>52</v>
      </c>
      <c r="E114" s="61">
        <v>2399.9</v>
      </c>
      <c r="G114" s="62">
        <f t="shared" si="5"/>
        <v>2399.9</v>
      </c>
    </row>
    <row r="115">
      <c r="A115" s="60" t="s">
        <v>340</v>
      </c>
      <c r="B115" s="60" t="s">
        <v>341</v>
      </c>
      <c r="C115" s="4" t="s">
        <v>73</v>
      </c>
      <c r="D115" s="4" t="s">
        <v>52</v>
      </c>
      <c r="E115" s="63">
        <v>996.04</v>
      </c>
      <c r="G115" s="5">
        <f t="shared" si="5"/>
        <v>996.04</v>
      </c>
    </row>
    <row r="116">
      <c r="A116" s="60" t="s">
        <v>342</v>
      </c>
      <c r="B116" s="60" t="s">
        <v>343</v>
      </c>
      <c r="C116" s="4" t="s">
        <v>73</v>
      </c>
      <c r="D116" s="4" t="s">
        <v>52</v>
      </c>
      <c r="E116" s="61">
        <v>6325.0</v>
      </c>
      <c r="G116" s="62">
        <f t="shared" si="5"/>
        <v>6325</v>
      </c>
    </row>
    <row r="117">
      <c r="A117" s="60" t="s">
        <v>344</v>
      </c>
      <c r="B117" s="60" t="s">
        <v>345</v>
      </c>
      <c r="C117" s="4" t="s">
        <v>73</v>
      </c>
      <c r="D117" s="4" t="s">
        <v>52</v>
      </c>
      <c r="E117" s="61">
        <v>12397.5</v>
      </c>
      <c r="G117" s="62">
        <f t="shared" si="5"/>
        <v>12397.5</v>
      </c>
    </row>
    <row r="118">
      <c r="A118" s="60" t="s">
        <v>1419</v>
      </c>
      <c r="B118" s="60" t="s">
        <v>1420</v>
      </c>
      <c r="C118" s="4" t="s">
        <v>73</v>
      </c>
      <c r="D118" s="4" t="s">
        <v>52</v>
      </c>
      <c r="E118" s="63">
        <v>790.01</v>
      </c>
      <c r="G118" s="5">
        <f t="shared" si="5"/>
        <v>790.01</v>
      </c>
    </row>
    <row r="119">
      <c r="A119" s="60" t="s">
        <v>350</v>
      </c>
      <c r="B119" s="60" t="s">
        <v>351</v>
      </c>
      <c r="C119" s="4" t="s">
        <v>75</v>
      </c>
      <c r="D119" s="4" t="s">
        <v>48</v>
      </c>
      <c r="E119" s="63">
        <v>100.0</v>
      </c>
      <c r="G119" s="5">
        <f t="shared" si="5"/>
        <v>100</v>
      </c>
    </row>
    <row r="120">
      <c r="A120" s="60" t="s">
        <v>352</v>
      </c>
      <c r="B120" s="60" t="s">
        <v>353</v>
      </c>
      <c r="C120" s="4" t="s">
        <v>75</v>
      </c>
      <c r="D120" s="4" t="s">
        <v>48</v>
      </c>
      <c r="E120" s="63">
        <v>108.98</v>
      </c>
      <c r="G120" s="5">
        <f t="shared" si="5"/>
        <v>108.98</v>
      </c>
    </row>
    <row r="121">
      <c r="A121" s="60" t="s">
        <v>354</v>
      </c>
      <c r="B121" s="60" t="s">
        <v>355</v>
      </c>
      <c r="C121" s="4" t="s">
        <v>75</v>
      </c>
      <c r="D121" s="4" t="s">
        <v>48</v>
      </c>
      <c r="E121" s="63">
        <v>494.0</v>
      </c>
      <c r="G121" s="5">
        <f t="shared" si="5"/>
        <v>494</v>
      </c>
    </row>
    <row r="122">
      <c r="A122" s="60" t="s">
        <v>356</v>
      </c>
      <c r="B122" s="60" t="s">
        <v>357</v>
      </c>
      <c r="C122" s="4" t="s">
        <v>75</v>
      </c>
      <c r="D122" s="4" t="s">
        <v>48</v>
      </c>
      <c r="E122" s="63">
        <v>149.98</v>
      </c>
      <c r="G122" s="5">
        <f t="shared" si="5"/>
        <v>149.98</v>
      </c>
    </row>
    <row r="123">
      <c r="A123" s="60" t="s">
        <v>1421</v>
      </c>
      <c r="B123" s="60" t="s">
        <v>1422</v>
      </c>
      <c r="C123" s="4" t="s">
        <v>75</v>
      </c>
      <c r="D123" s="4" t="s">
        <v>48</v>
      </c>
      <c r="E123" s="61">
        <v>1503.93</v>
      </c>
      <c r="G123" s="62">
        <f t="shared" si="5"/>
        <v>1503.93</v>
      </c>
    </row>
    <row r="124">
      <c r="A124" s="60" t="s">
        <v>358</v>
      </c>
      <c r="B124" s="60" t="s">
        <v>359</v>
      </c>
      <c r="C124" s="4" t="s">
        <v>75</v>
      </c>
      <c r="D124" s="4" t="s">
        <v>48</v>
      </c>
      <c r="E124" s="63">
        <v>207.98</v>
      </c>
      <c r="G124" s="5">
        <f t="shared" si="5"/>
        <v>207.98</v>
      </c>
    </row>
    <row r="125">
      <c r="A125" s="60" t="s">
        <v>360</v>
      </c>
      <c r="B125" s="60" t="s">
        <v>361</v>
      </c>
      <c r="C125" s="4" t="s">
        <v>75</v>
      </c>
      <c r="D125" s="4" t="s">
        <v>48</v>
      </c>
      <c r="E125" s="63">
        <v>244.01</v>
      </c>
      <c r="G125" s="5">
        <f t="shared" si="5"/>
        <v>244.01</v>
      </c>
    </row>
    <row r="126">
      <c r="A126" s="60" t="s">
        <v>362</v>
      </c>
      <c r="B126" s="60" t="s">
        <v>363</v>
      </c>
      <c r="C126" s="4" t="s">
        <v>75</v>
      </c>
      <c r="D126" s="4" t="s">
        <v>48</v>
      </c>
      <c r="E126" s="63">
        <v>142.98</v>
      </c>
      <c r="G126" s="5">
        <f t="shared" si="5"/>
        <v>142.98</v>
      </c>
    </row>
    <row r="127">
      <c r="A127" s="60" t="s">
        <v>364</v>
      </c>
      <c r="B127" s="60" t="s">
        <v>365</v>
      </c>
      <c r="C127" s="4" t="s">
        <v>75</v>
      </c>
      <c r="D127" s="4" t="s">
        <v>48</v>
      </c>
      <c r="E127" s="61">
        <v>5421.71</v>
      </c>
      <c r="G127" s="62">
        <f t="shared" si="5"/>
        <v>5421.71</v>
      </c>
    </row>
    <row r="128">
      <c r="A128" s="60" t="s">
        <v>366</v>
      </c>
      <c r="B128" s="60" t="s">
        <v>367</v>
      </c>
      <c r="C128" s="4" t="s">
        <v>75</v>
      </c>
      <c r="D128" s="4" t="s">
        <v>48</v>
      </c>
      <c r="E128" s="61">
        <v>2559.72</v>
      </c>
      <c r="G128" s="62">
        <f t="shared" si="5"/>
        <v>2559.72</v>
      </c>
    </row>
    <row r="129">
      <c r="A129" s="60" t="s">
        <v>368</v>
      </c>
      <c r="B129" s="60" t="s">
        <v>369</v>
      </c>
      <c r="C129" s="4" t="s">
        <v>75</v>
      </c>
      <c r="D129" s="4" t="s">
        <v>48</v>
      </c>
      <c r="E129" s="61">
        <v>5700.48</v>
      </c>
      <c r="G129" s="62">
        <f t="shared" si="5"/>
        <v>5700.48</v>
      </c>
    </row>
    <row r="130">
      <c r="A130" s="60" t="s">
        <v>370</v>
      </c>
      <c r="B130" s="60" t="s">
        <v>371</v>
      </c>
      <c r="C130" s="4" t="s">
        <v>75</v>
      </c>
      <c r="D130" s="4" t="s">
        <v>48</v>
      </c>
      <c r="E130" s="61">
        <v>4599.37</v>
      </c>
      <c r="G130" s="62">
        <f t="shared" si="5"/>
        <v>4599.37</v>
      </c>
    </row>
    <row r="131">
      <c r="A131" s="60" t="s">
        <v>372</v>
      </c>
      <c r="B131" s="60" t="s">
        <v>373</v>
      </c>
      <c r="C131" s="4" t="s">
        <v>75</v>
      </c>
      <c r="D131" s="4" t="s">
        <v>48</v>
      </c>
      <c r="E131" s="63">
        <v>605.97</v>
      </c>
      <c r="G131" s="5">
        <f t="shared" si="5"/>
        <v>605.97</v>
      </c>
    </row>
    <row r="132">
      <c r="A132" s="60" t="s">
        <v>374</v>
      </c>
      <c r="B132" s="60" t="s">
        <v>375</v>
      </c>
      <c r="C132" s="4" t="s">
        <v>75</v>
      </c>
      <c r="D132" s="4" t="s">
        <v>48</v>
      </c>
      <c r="E132" s="63">
        <v>301.0</v>
      </c>
      <c r="G132" s="5">
        <f t="shared" si="5"/>
        <v>301</v>
      </c>
    </row>
    <row r="133">
      <c r="A133" s="60" t="s">
        <v>376</v>
      </c>
      <c r="B133" s="60" t="s">
        <v>377</v>
      </c>
      <c r="C133" s="4" t="s">
        <v>75</v>
      </c>
      <c r="D133" s="4" t="s">
        <v>48</v>
      </c>
      <c r="E133" s="61">
        <v>6170.21</v>
      </c>
      <c r="G133" s="62">
        <f t="shared" si="5"/>
        <v>6170.21</v>
      </c>
    </row>
    <row r="134">
      <c r="A134" s="60" t="s">
        <v>378</v>
      </c>
      <c r="B134" s="60" t="s">
        <v>379</v>
      </c>
      <c r="C134" s="4" t="s">
        <v>75</v>
      </c>
      <c r="D134" s="4" t="s">
        <v>48</v>
      </c>
      <c r="E134" s="63">
        <v>155.0</v>
      </c>
      <c r="G134" s="5">
        <f t="shared" si="5"/>
        <v>155</v>
      </c>
    </row>
    <row r="135">
      <c r="A135" s="60" t="s">
        <v>380</v>
      </c>
      <c r="B135" s="60" t="s">
        <v>381</v>
      </c>
      <c r="C135" s="4" t="s">
        <v>75</v>
      </c>
      <c r="D135" s="4" t="s">
        <v>48</v>
      </c>
      <c r="E135" s="63">
        <v>208.01</v>
      </c>
      <c r="G135" s="5">
        <f t="shared" si="5"/>
        <v>208.01</v>
      </c>
    </row>
    <row r="136">
      <c r="A136" s="60" t="s">
        <v>382</v>
      </c>
      <c r="B136" s="60" t="s">
        <v>383</v>
      </c>
      <c r="C136" s="4" t="s">
        <v>75</v>
      </c>
      <c r="D136" s="4" t="s">
        <v>48</v>
      </c>
      <c r="E136" s="63">
        <v>322.0</v>
      </c>
      <c r="G136" s="5">
        <f t="shared" si="5"/>
        <v>322</v>
      </c>
    </row>
    <row r="137">
      <c r="A137" s="60" t="s">
        <v>1423</v>
      </c>
      <c r="B137" s="60" t="s">
        <v>1424</v>
      </c>
      <c r="C137" s="4" t="s">
        <v>75</v>
      </c>
      <c r="D137" s="4" t="s">
        <v>48</v>
      </c>
      <c r="E137" s="63">
        <v>75.0</v>
      </c>
      <c r="G137" s="5">
        <f t="shared" si="5"/>
        <v>75</v>
      </c>
    </row>
    <row r="138">
      <c r="A138" s="60" t="s">
        <v>384</v>
      </c>
      <c r="B138" s="60" t="s">
        <v>385</v>
      </c>
      <c r="C138" s="4" t="s">
        <v>75</v>
      </c>
      <c r="D138" s="4" t="s">
        <v>48</v>
      </c>
      <c r="E138" s="61">
        <v>2469.68</v>
      </c>
      <c r="G138" s="62">
        <f t="shared" si="5"/>
        <v>2469.68</v>
      </c>
    </row>
    <row r="139">
      <c r="A139" s="60" t="s">
        <v>386</v>
      </c>
      <c r="B139" s="60" t="s">
        <v>387</v>
      </c>
      <c r="C139" s="4" t="s">
        <v>75</v>
      </c>
      <c r="D139" s="4" t="s">
        <v>48</v>
      </c>
      <c r="E139" s="63">
        <v>333.96</v>
      </c>
      <c r="G139" s="5">
        <f t="shared" si="5"/>
        <v>333.96</v>
      </c>
    </row>
    <row r="140">
      <c r="A140" s="60" t="s">
        <v>388</v>
      </c>
      <c r="B140" s="60" t="s">
        <v>389</v>
      </c>
      <c r="C140" s="4" t="s">
        <v>75</v>
      </c>
      <c r="D140" s="4" t="s">
        <v>48</v>
      </c>
      <c r="E140" s="63">
        <v>513.9</v>
      </c>
      <c r="G140" s="5">
        <f t="shared" si="5"/>
        <v>513.9</v>
      </c>
    </row>
    <row r="141">
      <c r="A141" s="60" t="s">
        <v>392</v>
      </c>
      <c r="B141" s="60" t="s">
        <v>393</v>
      </c>
      <c r="C141" s="4" t="s">
        <v>75</v>
      </c>
      <c r="D141" s="4" t="s">
        <v>48</v>
      </c>
      <c r="E141" s="63">
        <v>713.0</v>
      </c>
      <c r="G141" s="5">
        <f t="shared" si="5"/>
        <v>713</v>
      </c>
    </row>
    <row r="142">
      <c r="A142" s="60" t="s">
        <v>398</v>
      </c>
      <c r="B142" s="60" t="s">
        <v>399</v>
      </c>
      <c r="C142" s="4" t="s">
        <v>75</v>
      </c>
      <c r="D142" s="4" t="s">
        <v>48</v>
      </c>
      <c r="E142" s="61">
        <v>1559.0</v>
      </c>
      <c r="G142" s="62">
        <f t="shared" si="5"/>
        <v>1559</v>
      </c>
    </row>
    <row r="143">
      <c r="A143" s="60" t="s">
        <v>400</v>
      </c>
      <c r="B143" s="60" t="s">
        <v>401</v>
      </c>
      <c r="C143" s="4" t="s">
        <v>75</v>
      </c>
      <c r="D143" s="4" t="s">
        <v>48</v>
      </c>
      <c r="E143" s="63">
        <v>320.0</v>
      </c>
      <c r="G143" s="5">
        <f t="shared" si="5"/>
        <v>320</v>
      </c>
    </row>
    <row r="144">
      <c r="A144" s="60" t="s">
        <v>402</v>
      </c>
      <c r="B144" s="60" t="s">
        <v>403</v>
      </c>
      <c r="C144" s="4" t="s">
        <v>75</v>
      </c>
      <c r="D144" s="4" t="s">
        <v>48</v>
      </c>
      <c r="E144" s="63">
        <v>235.01</v>
      </c>
      <c r="G144" s="5">
        <f t="shared" si="5"/>
        <v>235.01</v>
      </c>
    </row>
    <row r="145">
      <c r="A145" s="60" t="s">
        <v>404</v>
      </c>
      <c r="B145" s="60" t="s">
        <v>405</v>
      </c>
      <c r="C145" s="4" t="s">
        <v>75</v>
      </c>
      <c r="D145" s="4" t="s">
        <v>48</v>
      </c>
      <c r="E145" s="63">
        <v>377.99</v>
      </c>
      <c r="G145" s="5">
        <f t="shared" si="5"/>
        <v>377.99</v>
      </c>
    </row>
    <row r="146">
      <c r="A146" s="60" t="s">
        <v>406</v>
      </c>
      <c r="B146" s="60" t="s">
        <v>407</v>
      </c>
      <c r="C146" s="4" t="s">
        <v>75</v>
      </c>
      <c r="D146" s="4" t="s">
        <v>48</v>
      </c>
      <c r="E146" s="63">
        <v>434.15</v>
      </c>
      <c r="G146" s="5">
        <f t="shared" si="5"/>
        <v>434.15</v>
      </c>
    </row>
    <row r="147">
      <c r="A147" s="60" t="s">
        <v>408</v>
      </c>
      <c r="B147" s="60" t="s">
        <v>409</v>
      </c>
      <c r="C147" s="4" t="s">
        <v>75</v>
      </c>
      <c r="D147" s="4" t="s">
        <v>48</v>
      </c>
      <c r="E147" s="63">
        <v>444.0</v>
      </c>
      <c r="G147" s="5">
        <f t="shared" si="5"/>
        <v>444</v>
      </c>
    </row>
    <row r="148">
      <c r="A148" s="60" t="s">
        <v>410</v>
      </c>
      <c r="B148" s="60" t="s">
        <v>411</v>
      </c>
      <c r="C148" s="4" t="s">
        <v>75</v>
      </c>
      <c r="D148" s="4" t="s">
        <v>48</v>
      </c>
      <c r="E148" s="63">
        <v>276.0</v>
      </c>
      <c r="G148" s="5">
        <f t="shared" si="5"/>
        <v>276</v>
      </c>
    </row>
    <row r="149">
      <c r="A149" s="60" t="s">
        <v>412</v>
      </c>
      <c r="B149" s="60" t="s">
        <v>413</v>
      </c>
      <c r="C149" s="4" t="s">
        <v>75</v>
      </c>
      <c r="D149" s="4" t="s">
        <v>48</v>
      </c>
      <c r="E149" s="63">
        <v>955.63</v>
      </c>
      <c r="G149" s="5">
        <f t="shared" si="5"/>
        <v>955.63</v>
      </c>
    </row>
    <row r="150">
      <c r="A150" s="60" t="s">
        <v>414</v>
      </c>
      <c r="B150" s="60" t="s">
        <v>415</v>
      </c>
      <c r="C150" s="4" t="s">
        <v>75</v>
      </c>
      <c r="D150" s="4" t="s">
        <v>48</v>
      </c>
      <c r="E150" s="63">
        <v>477.22</v>
      </c>
      <c r="G150" s="5">
        <f t="shared" si="5"/>
        <v>477.22</v>
      </c>
    </row>
    <row r="151">
      <c r="A151" s="60" t="s">
        <v>416</v>
      </c>
      <c r="B151" s="60" t="s">
        <v>417</v>
      </c>
      <c r="C151" s="4" t="s">
        <v>75</v>
      </c>
      <c r="D151" s="4" t="s">
        <v>48</v>
      </c>
      <c r="E151" s="63">
        <v>352.0</v>
      </c>
      <c r="G151" s="5">
        <f t="shared" si="5"/>
        <v>352</v>
      </c>
    </row>
    <row r="152">
      <c r="A152" s="60" t="s">
        <v>424</v>
      </c>
      <c r="B152" s="60" t="s">
        <v>425</v>
      </c>
      <c r="C152" s="4" t="s">
        <v>75</v>
      </c>
      <c r="D152" s="4" t="s">
        <v>48</v>
      </c>
      <c r="E152" s="63">
        <v>285.96</v>
      </c>
      <c r="G152" s="5">
        <f t="shared" si="5"/>
        <v>285.96</v>
      </c>
    </row>
    <row r="153">
      <c r="A153" s="60" t="s">
        <v>426</v>
      </c>
      <c r="B153" s="60" t="s">
        <v>427</v>
      </c>
      <c r="C153" s="4" t="s">
        <v>75</v>
      </c>
      <c r="D153" s="4" t="s">
        <v>48</v>
      </c>
      <c r="E153" s="63">
        <v>234.97</v>
      </c>
      <c r="G153" s="5">
        <f t="shared" si="5"/>
        <v>234.97</v>
      </c>
    </row>
    <row r="154">
      <c r="A154" s="60" t="s">
        <v>428</v>
      </c>
      <c r="B154" s="60" t="s">
        <v>429</v>
      </c>
      <c r="C154" s="4" t="s">
        <v>75</v>
      </c>
      <c r="D154" s="4" t="s">
        <v>48</v>
      </c>
      <c r="E154" s="63">
        <v>777.0</v>
      </c>
      <c r="G154" s="5">
        <f t="shared" si="5"/>
        <v>777</v>
      </c>
    </row>
    <row r="155">
      <c r="A155" s="60" t="s">
        <v>430</v>
      </c>
      <c r="B155" s="60" t="s">
        <v>431</v>
      </c>
      <c r="C155" s="4" t="s">
        <v>75</v>
      </c>
      <c r="D155" s="4" t="s">
        <v>48</v>
      </c>
      <c r="E155" s="63">
        <v>204.0</v>
      </c>
      <c r="G155" s="5">
        <f t="shared" si="5"/>
        <v>204</v>
      </c>
    </row>
    <row r="156">
      <c r="A156" s="60" t="s">
        <v>432</v>
      </c>
      <c r="B156" s="60" t="s">
        <v>433</v>
      </c>
      <c r="C156" s="4" t="s">
        <v>75</v>
      </c>
      <c r="D156" s="4" t="s">
        <v>48</v>
      </c>
      <c r="E156" s="61">
        <v>1127.04</v>
      </c>
      <c r="G156" s="62">
        <f t="shared" si="5"/>
        <v>1127.04</v>
      </c>
    </row>
    <row r="157">
      <c r="A157" s="60" t="s">
        <v>434</v>
      </c>
      <c r="B157" s="60" t="s">
        <v>435</v>
      </c>
      <c r="C157" s="4" t="s">
        <v>75</v>
      </c>
      <c r="D157" s="4" t="s">
        <v>48</v>
      </c>
      <c r="E157" s="63">
        <v>184.0</v>
      </c>
      <c r="G157" s="5">
        <f t="shared" si="5"/>
        <v>184</v>
      </c>
    </row>
    <row r="158">
      <c r="A158" s="60" t="s">
        <v>436</v>
      </c>
      <c r="B158" s="60" t="s">
        <v>437</v>
      </c>
      <c r="C158" s="4" t="s">
        <v>75</v>
      </c>
      <c r="D158" s="4" t="s">
        <v>48</v>
      </c>
      <c r="E158" s="63">
        <v>67.99</v>
      </c>
      <c r="G158" s="5">
        <f t="shared" si="5"/>
        <v>67.99</v>
      </c>
    </row>
    <row r="159">
      <c r="A159" s="60" t="s">
        <v>438</v>
      </c>
      <c r="B159" s="60" t="s">
        <v>439</v>
      </c>
      <c r="C159" s="4" t="s">
        <v>75</v>
      </c>
      <c r="D159" s="4" t="s">
        <v>48</v>
      </c>
      <c r="E159" s="61">
        <v>1022.04</v>
      </c>
      <c r="G159" s="62">
        <f t="shared" si="5"/>
        <v>1022.04</v>
      </c>
    </row>
    <row r="160">
      <c r="A160" s="60" t="s">
        <v>440</v>
      </c>
      <c r="B160" s="60" t="s">
        <v>441</v>
      </c>
      <c r="C160" s="4" t="s">
        <v>75</v>
      </c>
      <c r="D160" s="4" t="s">
        <v>48</v>
      </c>
      <c r="E160" s="63">
        <v>613.02</v>
      </c>
      <c r="G160" s="5">
        <f t="shared" si="5"/>
        <v>613.02</v>
      </c>
    </row>
    <row r="161">
      <c r="A161" s="60" t="s">
        <v>442</v>
      </c>
      <c r="B161" s="60" t="s">
        <v>443</v>
      </c>
      <c r="C161" s="4" t="s">
        <v>75</v>
      </c>
      <c r="D161" s="4" t="s">
        <v>48</v>
      </c>
      <c r="E161" s="61">
        <v>6220.7</v>
      </c>
      <c r="G161" s="62">
        <f t="shared" si="5"/>
        <v>6220.7</v>
      </c>
    </row>
    <row r="162">
      <c r="A162" s="60" t="s">
        <v>446</v>
      </c>
      <c r="B162" s="60" t="s">
        <v>447</v>
      </c>
      <c r="C162" s="4" t="s">
        <v>75</v>
      </c>
      <c r="D162" s="4" t="s">
        <v>48</v>
      </c>
      <c r="E162" s="61">
        <v>2722.8</v>
      </c>
      <c r="G162" s="62">
        <f t="shared" si="5"/>
        <v>2722.8</v>
      </c>
    </row>
    <row r="163">
      <c r="A163" s="60" t="s">
        <v>448</v>
      </c>
      <c r="B163" s="60" t="s">
        <v>449</v>
      </c>
      <c r="C163" s="4" t="s">
        <v>75</v>
      </c>
      <c r="D163" s="4" t="s">
        <v>48</v>
      </c>
      <c r="E163" s="61">
        <v>2018.52</v>
      </c>
      <c r="G163" s="62">
        <f t="shared" si="5"/>
        <v>2018.52</v>
      </c>
    </row>
    <row r="164">
      <c r="A164" s="60" t="s">
        <v>450</v>
      </c>
      <c r="B164" s="60" t="s">
        <v>451</v>
      </c>
      <c r="C164" s="4" t="s">
        <v>75</v>
      </c>
      <c r="D164" s="4" t="s">
        <v>48</v>
      </c>
      <c r="E164" s="61">
        <v>1723.8</v>
      </c>
      <c r="G164" s="62">
        <f t="shared" si="5"/>
        <v>1723.8</v>
      </c>
    </row>
    <row r="165">
      <c r="A165" s="60" t="s">
        <v>452</v>
      </c>
      <c r="B165" s="60" t="s">
        <v>453</v>
      </c>
      <c r="C165" s="4" t="s">
        <v>75</v>
      </c>
      <c r="D165" s="4" t="s">
        <v>48</v>
      </c>
      <c r="E165" s="63">
        <v>102.02</v>
      </c>
      <c r="G165" s="5">
        <f t="shared" si="5"/>
        <v>102.02</v>
      </c>
    </row>
    <row r="166">
      <c r="A166" s="60" t="s">
        <v>454</v>
      </c>
      <c r="B166" s="60" t="s">
        <v>455</v>
      </c>
      <c r="C166" s="4" t="s">
        <v>75</v>
      </c>
      <c r="D166" s="4" t="s">
        <v>48</v>
      </c>
      <c r="E166" s="63">
        <v>109.0</v>
      </c>
      <c r="G166" s="5">
        <f t="shared" si="5"/>
        <v>109</v>
      </c>
    </row>
    <row r="167">
      <c r="A167" s="60" t="s">
        <v>456</v>
      </c>
      <c r="B167" s="60" t="s">
        <v>457</v>
      </c>
      <c r="C167" s="4" t="s">
        <v>75</v>
      </c>
      <c r="D167" s="4" t="s">
        <v>48</v>
      </c>
      <c r="E167" s="63">
        <v>201.0</v>
      </c>
      <c r="G167" s="5">
        <f t="shared" si="5"/>
        <v>201</v>
      </c>
    </row>
    <row r="168">
      <c r="A168" s="60" t="s">
        <v>458</v>
      </c>
      <c r="B168" s="60" t="s">
        <v>459</v>
      </c>
      <c r="C168" s="4" t="s">
        <v>75</v>
      </c>
      <c r="D168" s="4" t="s">
        <v>48</v>
      </c>
      <c r="E168" s="63">
        <v>676.02</v>
      </c>
      <c r="G168" s="5">
        <f t="shared" si="5"/>
        <v>676.02</v>
      </c>
    </row>
    <row r="169">
      <c r="A169" s="60" t="s">
        <v>460</v>
      </c>
      <c r="B169" s="60" t="s">
        <v>461</v>
      </c>
      <c r="C169" s="4" t="s">
        <v>75</v>
      </c>
      <c r="D169" s="4" t="s">
        <v>48</v>
      </c>
      <c r="E169" s="63">
        <v>252.64</v>
      </c>
      <c r="G169" s="5">
        <f t="shared" si="5"/>
        <v>252.64</v>
      </c>
    </row>
    <row r="170">
      <c r="A170" s="60" t="s">
        <v>462</v>
      </c>
      <c r="B170" s="60" t="s">
        <v>463</v>
      </c>
      <c r="C170" s="4" t="s">
        <v>75</v>
      </c>
      <c r="D170" s="4" t="s">
        <v>48</v>
      </c>
      <c r="E170" s="61">
        <v>7382.91</v>
      </c>
      <c r="G170" s="62">
        <f t="shared" si="5"/>
        <v>7382.91</v>
      </c>
    </row>
    <row r="171">
      <c r="A171" s="60" t="s">
        <v>466</v>
      </c>
      <c r="B171" s="60" t="s">
        <v>467</v>
      </c>
      <c r="C171" s="4" t="s">
        <v>75</v>
      </c>
      <c r="D171" s="4" t="s">
        <v>48</v>
      </c>
      <c r="E171" s="61">
        <v>2282.0</v>
      </c>
      <c r="G171" s="62">
        <f t="shared" si="5"/>
        <v>2282</v>
      </c>
    </row>
    <row r="172">
      <c r="A172" s="60" t="s">
        <v>468</v>
      </c>
      <c r="B172" s="60" t="s">
        <v>469</v>
      </c>
      <c r="C172" s="4" t="s">
        <v>75</v>
      </c>
      <c r="D172" s="4" t="s">
        <v>48</v>
      </c>
      <c r="E172" s="61">
        <v>3782.86</v>
      </c>
      <c r="G172" s="62">
        <f t="shared" si="5"/>
        <v>3782.86</v>
      </c>
    </row>
    <row r="173">
      <c r="A173" s="60" t="s">
        <v>470</v>
      </c>
      <c r="B173" s="60" t="s">
        <v>471</v>
      </c>
      <c r="C173" s="4" t="s">
        <v>75</v>
      </c>
      <c r="D173" s="4" t="s">
        <v>48</v>
      </c>
      <c r="E173" s="61">
        <v>2137.68</v>
      </c>
      <c r="G173" s="62">
        <f t="shared" si="5"/>
        <v>2137.68</v>
      </c>
    </row>
    <row r="174">
      <c r="A174" s="60" t="s">
        <v>472</v>
      </c>
      <c r="B174" s="60" t="s">
        <v>473</v>
      </c>
      <c r="C174" s="4" t="s">
        <v>75</v>
      </c>
      <c r="D174" s="4" t="s">
        <v>53</v>
      </c>
      <c r="E174" s="63">
        <v>167.02</v>
      </c>
      <c r="G174" s="5">
        <f t="shared" si="5"/>
        <v>167.02</v>
      </c>
    </row>
    <row r="175">
      <c r="A175" s="60" t="s">
        <v>474</v>
      </c>
      <c r="B175" s="60" t="s">
        <v>475</v>
      </c>
      <c r="C175" s="4" t="s">
        <v>75</v>
      </c>
      <c r="D175" s="4" t="s">
        <v>53</v>
      </c>
      <c r="E175" s="63">
        <v>47.28</v>
      </c>
      <c r="G175" s="5">
        <f t="shared" si="5"/>
        <v>47.28</v>
      </c>
    </row>
    <row r="176">
      <c r="A176" s="60" t="s">
        <v>476</v>
      </c>
      <c r="B176" s="60" t="s">
        <v>477</v>
      </c>
      <c r="C176" s="4" t="s">
        <v>75</v>
      </c>
      <c r="D176" s="4" t="s">
        <v>53</v>
      </c>
      <c r="E176" s="63">
        <v>101.98</v>
      </c>
      <c r="G176" s="5">
        <f t="shared" si="5"/>
        <v>101.98</v>
      </c>
    </row>
    <row r="177">
      <c r="A177" s="60" t="s">
        <v>478</v>
      </c>
      <c r="B177" s="60" t="s">
        <v>479</v>
      </c>
      <c r="C177" s="4" t="s">
        <v>75</v>
      </c>
      <c r="D177" s="4" t="s">
        <v>53</v>
      </c>
      <c r="E177" s="63">
        <v>326.95</v>
      </c>
      <c r="G177" s="5">
        <f t="shared" si="5"/>
        <v>326.95</v>
      </c>
    </row>
    <row r="178">
      <c r="A178" s="60" t="s">
        <v>480</v>
      </c>
      <c r="B178" s="60" t="s">
        <v>481</v>
      </c>
      <c r="C178" s="4" t="s">
        <v>75</v>
      </c>
      <c r="D178" s="4" t="s">
        <v>53</v>
      </c>
      <c r="E178" s="63">
        <v>200.98</v>
      </c>
      <c r="G178" s="5">
        <f t="shared" si="5"/>
        <v>200.98</v>
      </c>
    </row>
    <row r="179">
      <c r="A179" s="60" t="s">
        <v>482</v>
      </c>
      <c r="B179" s="60" t="s">
        <v>483</v>
      </c>
      <c r="C179" s="4" t="s">
        <v>75</v>
      </c>
      <c r="D179" s="4" t="s">
        <v>53</v>
      </c>
      <c r="E179" s="63">
        <v>207.97</v>
      </c>
      <c r="G179" s="5">
        <f t="shared" si="5"/>
        <v>207.97</v>
      </c>
    </row>
    <row r="180">
      <c r="A180" s="60" t="s">
        <v>484</v>
      </c>
      <c r="B180" s="60" t="s">
        <v>485</v>
      </c>
      <c r="C180" s="4" t="s">
        <v>75</v>
      </c>
      <c r="D180" s="4" t="s">
        <v>53</v>
      </c>
      <c r="E180" s="63">
        <v>778.02</v>
      </c>
      <c r="G180" s="5">
        <f t="shared" si="5"/>
        <v>778.02</v>
      </c>
    </row>
    <row r="181">
      <c r="A181" s="60" t="s">
        <v>486</v>
      </c>
      <c r="B181" s="60" t="s">
        <v>487</v>
      </c>
      <c r="C181" s="4" t="s">
        <v>75</v>
      </c>
      <c r="D181" s="4" t="s">
        <v>53</v>
      </c>
      <c r="E181" s="63">
        <v>479.96</v>
      </c>
      <c r="G181" s="5">
        <f t="shared" si="5"/>
        <v>479.96</v>
      </c>
    </row>
    <row r="182">
      <c r="A182" s="60" t="s">
        <v>488</v>
      </c>
      <c r="B182" s="60" t="s">
        <v>489</v>
      </c>
      <c r="C182" s="4" t="s">
        <v>75</v>
      </c>
      <c r="D182" s="4" t="s">
        <v>53</v>
      </c>
      <c r="E182" s="63">
        <v>108.98</v>
      </c>
      <c r="G182" s="5">
        <f t="shared" si="5"/>
        <v>108.98</v>
      </c>
    </row>
    <row r="183">
      <c r="A183" s="60" t="s">
        <v>490</v>
      </c>
      <c r="B183" s="60" t="s">
        <v>491</v>
      </c>
      <c r="C183" s="4" t="s">
        <v>75</v>
      </c>
      <c r="D183" s="4" t="s">
        <v>53</v>
      </c>
      <c r="E183" s="63">
        <v>285.96</v>
      </c>
      <c r="G183" s="5">
        <f t="shared" si="5"/>
        <v>285.96</v>
      </c>
    </row>
    <row r="184">
      <c r="A184" s="60" t="s">
        <v>492</v>
      </c>
      <c r="B184" s="60" t="s">
        <v>493</v>
      </c>
      <c r="C184" s="4" t="s">
        <v>75</v>
      </c>
      <c r="D184" s="4" t="s">
        <v>53</v>
      </c>
      <c r="E184" s="63">
        <v>83.98</v>
      </c>
      <c r="G184" s="5">
        <f t="shared" si="5"/>
        <v>83.98</v>
      </c>
    </row>
    <row r="185">
      <c r="A185" s="60" t="s">
        <v>494</v>
      </c>
      <c r="B185" s="60" t="s">
        <v>495</v>
      </c>
      <c r="C185" s="4" t="s">
        <v>75</v>
      </c>
      <c r="D185" s="4" t="s">
        <v>53</v>
      </c>
      <c r="E185" s="63">
        <v>149.98</v>
      </c>
      <c r="G185" s="5">
        <f t="shared" si="5"/>
        <v>149.98</v>
      </c>
    </row>
    <row r="186">
      <c r="A186" s="60" t="s">
        <v>496</v>
      </c>
      <c r="B186" s="60" t="s">
        <v>497</v>
      </c>
      <c r="C186" s="4" t="s">
        <v>75</v>
      </c>
      <c r="D186" s="4" t="s">
        <v>53</v>
      </c>
      <c r="E186" s="63">
        <v>91.98</v>
      </c>
      <c r="G186" s="5">
        <f t="shared" si="5"/>
        <v>91.98</v>
      </c>
    </row>
    <row r="187">
      <c r="A187" s="60" t="s">
        <v>498</v>
      </c>
      <c r="B187" s="60" t="s">
        <v>499</v>
      </c>
      <c r="C187" s="4" t="s">
        <v>75</v>
      </c>
      <c r="D187" s="4" t="s">
        <v>53</v>
      </c>
      <c r="E187" s="63">
        <v>371.95</v>
      </c>
      <c r="G187" s="5">
        <f t="shared" si="5"/>
        <v>371.95</v>
      </c>
    </row>
    <row r="188">
      <c r="A188" s="60" t="s">
        <v>500</v>
      </c>
      <c r="B188" s="60" t="s">
        <v>501</v>
      </c>
      <c r="C188" s="4" t="s">
        <v>75</v>
      </c>
      <c r="D188" s="4" t="s">
        <v>53</v>
      </c>
      <c r="E188" s="63">
        <v>333.96</v>
      </c>
      <c r="G188" s="5">
        <f t="shared" si="5"/>
        <v>333.96</v>
      </c>
    </row>
    <row r="189">
      <c r="A189" s="60" t="s">
        <v>502</v>
      </c>
      <c r="B189" s="60" t="s">
        <v>503</v>
      </c>
      <c r="C189" s="4" t="s">
        <v>75</v>
      </c>
      <c r="D189" s="4" t="s">
        <v>53</v>
      </c>
      <c r="E189" s="63">
        <v>53.98</v>
      </c>
      <c r="G189" s="5">
        <f t="shared" si="5"/>
        <v>53.98</v>
      </c>
    </row>
    <row r="190">
      <c r="A190" s="60" t="s">
        <v>504</v>
      </c>
      <c r="B190" s="60" t="s">
        <v>505</v>
      </c>
      <c r="C190" s="4" t="s">
        <v>75</v>
      </c>
      <c r="D190" s="4" t="s">
        <v>53</v>
      </c>
      <c r="E190" s="63">
        <v>292.96</v>
      </c>
      <c r="G190" s="5">
        <f t="shared" si="5"/>
        <v>292.96</v>
      </c>
    </row>
    <row r="191">
      <c r="A191" s="60" t="s">
        <v>506</v>
      </c>
      <c r="B191" s="60" t="s">
        <v>507</v>
      </c>
      <c r="C191" s="4" t="s">
        <v>75</v>
      </c>
      <c r="D191" s="4" t="s">
        <v>53</v>
      </c>
      <c r="E191" s="63">
        <v>1101.4</v>
      </c>
      <c r="G191" s="5">
        <f t="shared" si="5"/>
        <v>1101.4</v>
      </c>
    </row>
    <row r="192">
      <c r="A192" s="60" t="s">
        <v>508</v>
      </c>
      <c r="B192" s="60" t="s">
        <v>509</v>
      </c>
      <c r="C192" s="4" t="s">
        <v>75</v>
      </c>
      <c r="D192" s="4" t="s">
        <v>53</v>
      </c>
      <c r="E192" s="63">
        <v>91.98</v>
      </c>
      <c r="G192" s="5">
        <f t="shared" si="5"/>
        <v>91.98</v>
      </c>
    </row>
    <row r="193">
      <c r="A193" s="60" t="s">
        <v>510</v>
      </c>
      <c r="B193" s="60" t="s">
        <v>511</v>
      </c>
      <c r="C193" s="4" t="s">
        <v>75</v>
      </c>
      <c r="D193" s="4" t="s">
        <v>53</v>
      </c>
      <c r="E193" s="63">
        <v>389.97</v>
      </c>
      <c r="G193" s="5">
        <f t="shared" si="5"/>
        <v>389.97</v>
      </c>
    </row>
    <row r="194">
      <c r="A194" s="60" t="s">
        <v>512</v>
      </c>
      <c r="B194" s="60" t="s">
        <v>513</v>
      </c>
      <c r="C194" s="4" t="s">
        <v>75</v>
      </c>
      <c r="D194" s="4" t="s">
        <v>53</v>
      </c>
      <c r="E194" s="63">
        <v>276.0</v>
      </c>
      <c r="G194" s="5">
        <f t="shared" si="5"/>
        <v>276</v>
      </c>
    </row>
    <row r="195">
      <c r="A195" s="60" t="s">
        <v>514</v>
      </c>
      <c r="B195" s="60" t="s">
        <v>515</v>
      </c>
      <c r="C195" s="4" t="s">
        <v>75</v>
      </c>
      <c r="D195" s="4" t="s">
        <v>53</v>
      </c>
      <c r="E195" s="63">
        <v>125.97</v>
      </c>
      <c r="G195" s="5">
        <f t="shared" si="5"/>
        <v>125.97</v>
      </c>
    </row>
    <row r="196">
      <c r="A196" s="60" t="s">
        <v>516</v>
      </c>
      <c r="B196" s="60" t="s">
        <v>517</v>
      </c>
      <c r="C196" s="4" t="s">
        <v>75</v>
      </c>
      <c r="D196" s="4" t="s">
        <v>53</v>
      </c>
      <c r="E196" s="63">
        <v>190.98</v>
      </c>
      <c r="G196" s="5">
        <f t="shared" si="5"/>
        <v>190.98</v>
      </c>
    </row>
    <row r="197">
      <c r="A197" s="60" t="s">
        <v>518</v>
      </c>
      <c r="B197" s="60" t="s">
        <v>519</v>
      </c>
      <c r="C197" s="4" t="s">
        <v>75</v>
      </c>
      <c r="D197" s="4" t="s">
        <v>53</v>
      </c>
      <c r="E197" s="63">
        <v>425.94</v>
      </c>
      <c r="G197" s="5">
        <f t="shared" si="5"/>
        <v>425.94</v>
      </c>
    </row>
    <row r="198">
      <c r="A198" s="60" t="s">
        <v>520</v>
      </c>
      <c r="B198" s="60" t="s">
        <v>521</v>
      </c>
      <c r="C198" s="4" t="s">
        <v>75</v>
      </c>
      <c r="D198" s="4" t="s">
        <v>53</v>
      </c>
      <c r="E198" s="63">
        <v>220.96</v>
      </c>
      <c r="G198" s="5">
        <f t="shared" si="5"/>
        <v>220.96</v>
      </c>
    </row>
    <row r="199">
      <c r="A199" s="60" t="s">
        <v>522</v>
      </c>
      <c r="B199" s="60" t="s">
        <v>523</v>
      </c>
      <c r="C199" s="4" t="s">
        <v>75</v>
      </c>
      <c r="D199" s="4" t="s">
        <v>53</v>
      </c>
      <c r="E199" s="63">
        <v>333.96</v>
      </c>
      <c r="G199" s="5">
        <f t="shared" si="5"/>
        <v>333.96</v>
      </c>
    </row>
    <row r="200">
      <c r="A200" s="60" t="s">
        <v>524</v>
      </c>
      <c r="B200" s="60" t="s">
        <v>525</v>
      </c>
      <c r="C200" s="4" t="s">
        <v>75</v>
      </c>
      <c r="D200" s="4" t="s">
        <v>53</v>
      </c>
      <c r="E200" s="63">
        <v>5782.3</v>
      </c>
      <c r="G200" s="5">
        <f t="shared" si="5"/>
        <v>5782.3</v>
      </c>
    </row>
    <row r="201">
      <c r="A201" s="60" t="s">
        <v>526</v>
      </c>
      <c r="B201" s="60" t="s">
        <v>527</v>
      </c>
      <c r="C201" s="4" t="s">
        <v>75</v>
      </c>
      <c r="D201" s="4" t="s">
        <v>53</v>
      </c>
      <c r="E201" s="63">
        <v>108.98</v>
      </c>
      <c r="G201" s="5">
        <f t="shared" si="5"/>
        <v>108.98</v>
      </c>
    </row>
    <row r="202">
      <c r="A202" s="60" t="s">
        <v>528</v>
      </c>
      <c r="B202" s="60" t="s">
        <v>529</v>
      </c>
      <c r="C202" s="4" t="s">
        <v>75</v>
      </c>
      <c r="D202" s="4" t="s">
        <v>53</v>
      </c>
      <c r="E202" s="63">
        <v>292.96</v>
      </c>
      <c r="G202" s="5">
        <f t="shared" si="5"/>
        <v>292.96</v>
      </c>
    </row>
    <row r="203">
      <c r="A203" s="60" t="s">
        <v>530</v>
      </c>
      <c r="B203" s="60" t="s">
        <v>531</v>
      </c>
      <c r="C203" s="4" t="s">
        <v>75</v>
      </c>
      <c r="D203" s="4" t="s">
        <v>53</v>
      </c>
      <c r="E203" s="63">
        <v>511.02</v>
      </c>
      <c r="G203" s="5">
        <f t="shared" si="5"/>
        <v>511.02</v>
      </c>
    </row>
    <row r="204">
      <c r="A204" s="60" t="s">
        <v>532</v>
      </c>
      <c r="B204" s="60" t="s">
        <v>533</v>
      </c>
      <c r="C204" s="4" t="s">
        <v>75</v>
      </c>
      <c r="D204" s="4" t="s">
        <v>53</v>
      </c>
      <c r="E204" s="63">
        <v>183.97</v>
      </c>
      <c r="G204" s="5">
        <f t="shared" si="5"/>
        <v>183.97</v>
      </c>
    </row>
    <row r="205">
      <c r="A205" s="60" t="s">
        <v>534</v>
      </c>
      <c r="B205" s="60" t="s">
        <v>535</v>
      </c>
      <c r="C205" s="4" t="s">
        <v>75</v>
      </c>
      <c r="D205" s="4" t="s">
        <v>53</v>
      </c>
      <c r="E205" s="63">
        <v>50.99</v>
      </c>
      <c r="G205" s="5">
        <f t="shared" si="5"/>
        <v>50.99</v>
      </c>
    </row>
    <row r="206">
      <c r="A206" s="60" t="s">
        <v>536</v>
      </c>
      <c r="B206" s="60" t="s">
        <v>537</v>
      </c>
      <c r="C206" s="4" t="s">
        <v>75</v>
      </c>
      <c r="D206" s="4" t="s">
        <v>53</v>
      </c>
      <c r="E206" s="63">
        <v>200.98</v>
      </c>
      <c r="G206" s="5">
        <f t="shared" si="5"/>
        <v>200.98</v>
      </c>
    </row>
    <row r="207">
      <c r="A207" s="60" t="s">
        <v>538</v>
      </c>
      <c r="B207" s="60" t="s">
        <v>539</v>
      </c>
      <c r="C207" s="4" t="s">
        <v>75</v>
      </c>
      <c r="D207" s="4" t="s">
        <v>53</v>
      </c>
      <c r="E207" s="63">
        <v>511.02</v>
      </c>
      <c r="G207" s="5">
        <f t="shared" si="5"/>
        <v>511.02</v>
      </c>
    </row>
    <row r="208">
      <c r="A208" s="60" t="s">
        <v>540</v>
      </c>
      <c r="B208" s="60" t="s">
        <v>541</v>
      </c>
      <c r="C208" s="4" t="s">
        <v>75</v>
      </c>
      <c r="D208" s="4" t="s">
        <v>53</v>
      </c>
      <c r="E208" s="63">
        <v>183.98</v>
      </c>
      <c r="G208" s="5">
        <f t="shared" si="5"/>
        <v>183.98</v>
      </c>
    </row>
    <row r="209">
      <c r="A209" s="60" t="s">
        <v>542</v>
      </c>
      <c r="B209" s="60" t="s">
        <v>543</v>
      </c>
      <c r="C209" s="4" t="s">
        <v>75</v>
      </c>
      <c r="D209" s="4" t="s">
        <v>53</v>
      </c>
      <c r="E209" s="63">
        <v>391.95</v>
      </c>
      <c r="G209" s="5">
        <f t="shared" si="5"/>
        <v>391.95</v>
      </c>
    </row>
    <row r="210">
      <c r="A210" s="60" t="s">
        <v>544</v>
      </c>
      <c r="B210" s="60" t="s">
        <v>545</v>
      </c>
      <c r="C210" s="4" t="s">
        <v>75</v>
      </c>
      <c r="D210" s="4" t="s">
        <v>53</v>
      </c>
      <c r="E210" s="63">
        <v>436.95</v>
      </c>
      <c r="G210" s="5">
        <f t="shared" si="5"/>
        <v>436.95</v>
      </c>
    </row>
    <row r="211">
      <c r="A211" s="60" t="s">
        <v>546</v>
      </c>
      <c r="B211" s="60" t="s">
        <v>547</v>
      </c>
      <c r="C211" s="4" t="s">
        <v>75</v>
      </c>
      <c r="D211" s="4" t="s">
        <v>53</v>
      </c>
      <c r="E211" s="63">
        <v>251.96</v>
      </c>
      <c r="G211" s="5">
        <f t="shared" si="5"/>
        <v>251.96</v>
      </c>
    </row>
    <row r="212">
      <c r="A212" s="60" t="s">
        <v>548</v>
      </c>
      <c r="B212" s="60" t="s">
        <v>549</v>
      </c>
      <c r="C212" s="4" t="s">
        <v>75</v>
      </c>
      <c r="D212" s="4" t="s">
        <v>53</v>
      </c>
      <c r="E212" s="63">
        <v>217.97</v>
      </c>
      <c r="G212" s="5">
        <f t="shared" si="5"/>
        <v>217.97</v>
      </c>
    </row>
    <row r="213">
      <c r="A213" s="60" t="s">
        <v>550</v>
      </c>
      <c r="B213" s="60" t="s">
        <v>551</v>
      </c>
      <c r="C213" s="4" t="s">
        <v>75</v>
      </c>
      <c r="D213" s="4" t="s">
        <v>53</v>
      </c>
      <c r="E213" s="63">
        <v>309.95</v>
      </c>
      <c r="G213" s="5">
        <f t="shared" si="5"/>
        <v>309.95</v>
      </c>
    </row>
    <row r="214">
      <c r="A214" s="60" t="s">
        <v>1425</v>
      </c>
      <c r="B214" s="60" t="s">
        <v>1426</v>
      </c>
      <c r="C214" s="4" t="s">
        <v>75</v>
      </c>
      <c r="D214" s="4" t="s">
        <v>53</v>
      </c>
      <c r="E214" s="63">
        <v>0.26</v>
      </c>
      <c r="G214" s="5">
        <f t="shared" si="5"/>
        <v>0.26</v>
      </c>
    </row>
    <row r="215">
      <c r="A215" s="60" t="s">
        <v>552</v>
      </c>
      <c r="B215" s="60" t="s">
        <v>553</v>
      </c>
      <c r="C215" s="4" t="s">
        <v>75</v>
      </c>
      <c r="D215" s="4" t="s">
        <v>53</v>
      </c>
      <c r="E215" s="63">
        <v>4904.31</v>
      </c>
      <c r="G215" s="5">
        <f t="shared" si="5"/>
        <v>4904.31</v>
      </c>
    </row>
    <row r="216">
      <c r="A216" s="60" t="s">
        <v>554</v>
      </c>
      <c r="B216" s="60" t="s">
        <v>555</v>
      </c>
      <c r="C216" s="4" t="s">
        <v>75</v>
      </c>
      <c r="D216" s="4" t="s">
        <v>53</v>
      </c>
      <c r="E216" s="63">
        <v>4830.0</v>
      </c>
      <c r="G216" s="5">
        <f t="shared" si="5"/>
        <v>4830</v>
      </c>
    </row>
    <row r="217">
      <c r="A217" s="60" t="s">
        <v>556</v>
      </c>
      <c r="B217" s="60" t="s">
        <v>557</v>
      </c>
      <c r="C217" s="4" t="s">
        <v>75</v>
      </c>
      <c r="D217" s="4" t="s">
        <v>53</v>
      </c>
      <c r="E217" s="63">
        <v>241.97</v>
      </c>
      <c r="G217" s="5">
        <f t="shared" si="5"/>
        <v>241.97</v>
      </c>
    </row>
    <row r="218">
      <c r="A218" s="60" t="s">
        <v>558</v>
      </c>
      <c r="B218" s="60" t="s">
        <v>559</v>
      </c>
      <c r="C218" s="4" t="s">
        <v>75</v>
      </c>
      <c r="D218" s="4" t="s">
        <v>53</v>
      </c>
      <c r="E218" s="63">
        <v>391.95</v>
      </c>
      <c r="G218" s="5">
        <f t="shared" si="5"/>
        <v>391.95</v>
      </c>
    </row>
    <row r="219">
      <c r="A219" s="60" t="s">
        <v>560</v>
      </c>
      <c r="B219" s="60" t="s">
        <v>561</v>
      </c>
      <c r="C219" s="4" t="s">
        <v>75</v>
      </c>
      <c r="D219" s="4" t="s">
        <v>53</v>
      </c>
      <c r="E219" s="63">
        <v>582.91</v>
      </c>
      <c r="G219" s="5">
        <f t="shared" si="5"/>
        <v>582.91</v>
      </c>
    </row>
    <row r="220">
      <c r="A220" s="60" t="s">
        <v>562</v>
      </c>
      <c r="B220" s="60" t="s">
        <v>563</v>
      </c>
      <c r="C220" s="4" t="s">
        <v>75</v>
      </c>
      <c r="D220" s="4" t="s">
        <v>53</v>
      </c>
      <c r="E220" s="63">
        <v>84.99</v>
      </c>
      <c r="G220" s="5">
        <f t="shared" si="5"/>
        <v>84.99</v>
      </c>
    </row>
    <row r="221">
      <c r="A221" s="60" t="s">
        <v>564</v>
      </c>
      <c r="B221" s="60" t="s">
        <v>565</v>
      </c>
      <c r="C221" s="4" t="s">
        <v>75</v>
      </c>
      <c r="D221" s="4" t="s">
        <v>53</v>
      </c>
      <c r="E221" s="63">
        <v>108.98</v>
      </c>
      <c r="G221" s="5">
        <f t="shared" si="5"/>
        <v>108.98</v>
      </c>
    </row>
    <row r="222">
      <c r="A222" s="60" t="s">
        <v>566</v>
      </c>
      <c r="B222" s="60" t="s">
        <v>567</v>
      </c>
      <c r="C222" s="4" t="s">
        <v>75</v>
      </c>
      <c r="D222" s="4" t="s">
        <v>53</v>
      </c>
      <c r="E222" s="63">
        <v>258.97</v>
      </c>
      <c r="G222" s="5">
        <f t="shared" si="5"/>
        <v>258.97</v>
      </c>
    </row>
    <row r="223">
      <c r="A223" s="60" t="s">
        <v>568</v>
      </c>
      <c r="B223" s="60" t="s">
        <v>569</v>
      </c>
      <c r="C223" s="4" t="s">
        <v>75</v>
      </c>
      <c r="D223" s="4" t="s">
        <v>53</v>
      </c>
      <c r="E223" s="63">
        <v>2277.0</v>
      </c>
      <c r="G223" s="5">
        <f t="shared" si="5"/>
        <v>2277</v>
      </c>
    </row>
    <row r="224">
      <c r="A224" s="60" t="s">
        <v>570</v>
      </c>
      <c r="B224" s="60" t="s">
        <v>571</v>
      </c>
      <c r="C224" s="4" t="s">
        <v>75</v>
      </c>
      <c r="D224" s="4" t="s">
        <v>53</v>
      </c>
      <c r="E224" s="63">
        <v>309.95</v>
      </c>
      <c r="G224" s="5">
        <f t="shared" si="5"/>
        <v>309.95</v>
      </c>
    </row>
    <row r="225">
      <c r="A225" s="60" t="s">
        <v>572</v>
      </c>
      <c r="B225" s="60" t="s">
        <v>573</v>
      </c>
      <c r="C225" s="4" t="s">
        <v>75</v>
      </c>
      <c r="D225" s="4" t="s">
        <v>53</v>
      </c>
      <c r="E225" s="63">
        <v>108.98</v>
      </c>
      <c r="G225" s="5">
        <f t="shared" si="5"/>
        <v>108.98</v>
      </c>
    </row>
    <row r="226">
      <c r="A226" s="60" t="s">
        <v>574</v>
      </c>
      <c r="B226" s="60" t="s">
        <v>575</v>
      </c>
      <c r="C226" s="4" t="s">
        <v>75</v>
      </c>
      <c r="D226" s="4" t="s">
        <v>53</v>
      </c>
      <c r="E226" s="63">
        <v>108.98</v>
      </c>
      <c r="G226" s="5">
        <f t="shared" si="5"/>
        <v>108.98</v>
      </c>
    </row>
    <row r="227">
      <c r="A227" s="60" t="s">
        <v>576</v>
      </c>
      <c r="B227" s="60" t="s">
        <v>577</v>
      </c>
      <c r="C227" s="4" t="s">
        <v>75</v>
      </c>
      <c r="D227" s="4" t="s">
        <v>53</v>
      </c>
      <c r="E227" s="63">
        <v>200.98</v>
      </c>
      <c r="G227" s="5">
        <f t="shared" si="5"/>
        <v>200.98</v>
      </c>
    </row>
    <row r="228">
      <c r="A228" s="60" t="s">
        <v>578</v>
      </c>
      <c r="B228" s="60" t="s">
        <v>579</v>
      </c>
      <c r="C228" s="4" t="s">
        <v>75</v>
      </c>
      <c r="D228" s="4" t="s">
        <v>53</v>
      </c>
      <c r="E228" s="63">
        <v>183.97</v>
      </c>
      <c r="G228" s="5">
        <f t="shared" si="5"/>
        <v>183.97</v>
      </c>
    </row>
    <row r="229">
      <c r="A229" s="60" t="s">
        <v>580</v>
      </c>
      <c r="B229" s="60" t="s">
        <v>581</v>
      </c>
      <c r="C229" s="4" t="s">
        <v>75</v>
      </c>
      <c r="D229" s="4" t="s">
        <v>53</v>
      </c>
      <c r="E229" s="63">
        <v>190.98</v>
      </c>
      <c r="G229" s="5">
        <f t="shared" si="5"/>
        <v>190.98</v>
      </c>
    </row>
    <row r="230">
      <c r="A230" s="60" t="s">
        <v>582</v>
      </c>
      <c r="B230" s="60" t="s">
        <v>583</v>
      </c>
      <c r="C230" s="4" t="s">
        <v>75</v>
      </c>
      <c r="D230" s="4" t="s">
        <v>53</v>
      </c>
      <c r="E230" s="63">
        <v>108.98</v>
      </c>
      <c r="G230" s="5">
        <f t="shared" si="5"/>
        <v>108.98</v>
      </c>
    </row>
    <row r="231">
      <c r="A231" s="60" t="s">
        <v>584</v>
      </c>
      <c r="B231" s="60" t="s">
        <v>585</v>
      </c>
      <c r="C231" s="4" t="s">
        <v>75</v>
      </c>
      <c r="D231" s="4" t="s">
        <v>53</v>
      </c>
      <c r="E231" s="63">
        <v>562.03</v>
      </c>
      <c r="G231" s="5">
        <f t="shared" si="5"/>
        <v>562.03</v>
      </c>
    </row>
    <row r="232">
      <c r="A232" s="60" t="s">
        <v>586</v>
      </c>
      <c r="B232" s="60" t="s">
        <v>587</v>
      </c>
      <c r="C232" s="4" t="s">
        <v>75</v>
      </c>
      <c r="D232" s="4" t="s">
        <v>53</v>
      </c>
      <c r="E232" s="63">
        <v>217.97</v>
      </c>
      <c r="G232" s="5">
        <f t="shared" si="5"/>
        <v>217.97</v>
      </c>
    </row>
    <row r="233">
      <c r="A233" s="60" t="s">
        <v>588</v>
      </c>
      <c r="B233" s="60" t="s">
        <v>589</v>
      </c>
      <c r="C233" s="4" t="s">
        <v>75</v>
      </c>
      <c r="D233" s="4" t="s">
        <v>53</v>
      </c>
      <c r="E233" s="63">
        <v>7179.04</v>
      </c>
      <c r="G233" s="5">
        <f t="shared" si="5"/>
        <v>7179.04</v>
      </c>
    </row>
    <row r="234">
      <c r="A234" s="60" t="s">
        <v>590</v>
      </c>
      <c r="B234" s="60" t="s">
        <v>591</v>
      </c>
      <c r="C234" s="4" t="s">
        <v>75</v>
      </c>
      <c r="D234" s="4" t="s">
        <v>53</v>
      </c>
      <c r="E234" s="63">
        <v>108.98</v>
      </c>
      <c r="G234" s="5">
        <f t="shared" si="5"/>
        <v>108.98</v>
      </c>
    </row>
    <row r="235">
      <c r="A235" s="60" t="s">
        <v>592</v>
      </c>
      <c r="B235" s="60" t="s">
        <v>593</v>
      </c>
      <c r="C235" s="4" t="s">
        <v>75</v>
      </c>
      <c r="D235" s="4" t="s">
        <v>53</v>
      </c>
      <c r="E235" s="63">
        <v>108.98</v>
      </c>
      <c r="G235" s="5">
        <f t="shared" si="5"/>
        <v>108.98</v>
      </c>
    </row>
    <row r="236">
      <c r="A236" s="60" t="s">
        <v>594</v>
      </c>
      <c r="B236" s="60" t="s">
        <v>595</v>
      </c>
      <c r="C236" s="4" t="s">
        <v>75</v>
      </c>
      <c r="D236" s="4" t="s">
        <v>53</v>
      </c>
      <c r="E236" s="63">
        <v>258.97</v>
      </c>
      <c r="G236" s="5">
        <f t="shared" si="5"/>
        <v>258.97</v>
      </c>
    </row>
    <row r="237">
      <c r="A237" s="60" t="s">
        <v>596</v>
      </c>
      <c r="B237" s="60" t="s">
        <v>597</v>
      </c>
      <c r="C237" s="4" t="s">
        <v>75</v>
      </c>
      <c r="D237" s="4" t="s">
        <v>53</v>
      </c>
      <c r="E237" s="63">
        <v>108.98</v>
      </c>
      <c r="G237" s="5">
        <f t="shared" si="5"/>
        <v>108.98</v>
      </c>
    </row>
    <row r="238">
      <c r="A238" s="60" t="s">
        <v>598</v>
      </c>
      <c r="B238" s="60" t="s">
        <v>599</v>
      </c>
      <c r="C238" s="4" t="s">
        <v>75</v>
      </c>
      <c r="D238" s="4" t="s">
        <v>53</v>
      </c>
      <c r="E238" s="63">
        <v>583.96</v>
      </c>
      <c r="G238" s="5">
        <f t="shared" si="5"/>
        <v>583.96</v>
      </c>
    </row>
    <row r="239">
      <c r="A239" s="60" t="s">
        <v>600</v>
      </c>
      <c r="B239" s="60" t="s">
        <v>601</v>
      </c>
      <c r="C239" s="4" t="s">
        <v>75</v>
      </c>
      <c r="D239" s="4" t="s">
        <v>53</v>
      </c>
      <c r="E239" s="63">
        <v>166.98</v>
      </c>
      <c r="G239" s="5">
        <f t="shared" si="5"/>
        <v>166.98</v>
      </c>
    </row>
    <row r="240">
      <c r="A240" s="60" t="s">
        <v>602</v>
      </c>
      <c r="B240" s="60" t="s">
        <v>603</v>
      </c>
      <c r="C240" s="4" t="s">
        <v>75</v>
      </c>
      <c r="D240" s="4" t="s">
        <v>53</v>
      </c>
      <c r="E240" s="63">
        <v>3138.14</v>
      </c>
      <c r="G240" s="5">
        <f t="shared" si="5"/>
        <v>3138.14</v>
      </c>
    </row>
    <row r="241">
      <c r="A241" s="60" t="s">
        <v>604</v>
      </c>
      <c r="B241" s="60" t="s">
        <v>605</v>
      </c>
      <c r="C241" s="4" t="s">
        <v>75</v>
      </c>
      <c r="D241" s="4" t="s">
        <v>53</v>
      </c>
      <c r="E241" s="63">
        <v>108.98</v>
      </c>
      <c r="G241" s="5">
        <f t="shared" si="5"/>
        <v>108.98</v>
      </c>
    </row>
    <row r="242">
      <c r="A242" s="60" t="s">
        <v>606</v>
      </c>
      <c r="B242" s="60" t="s">
        <v>607</v>
      </c>
      <c r="C242" s="4" t="s">
        <v>75</v>
      </c>
      <c r="D242" s="4" t="s">
        <v>53</v>
      </c>
      <c r="E242" s="63">
        <v>1958.03</v>
      </c>
      <c r="G242" s="5">
        <f t="shared" si="5"/>
        <v>1958.03</v>
      </c>
    </row>
    <row r="243">
      <c r="A243" s="60" t="s">
        <v>608</v>
      </c>
      <c r="B243" s="60" t="s">
        <v>609</v>
      </c>
      <c r="C243" s="4" t="s">
        <v>75</v>
      </c>
      <c r="D243" s="4" t="s">
        <v>53</v>
      </c>
      <c r="E243" s="63">
        <v>173.98</v>
      </c>
      <c r="G243" s="5">
        <f t="shared" si="5"/>
        <v>173.98</v>
      </c>
    </row>
    <row r="244">
      <c r="A244" s="60" t="s">
        <v>610</v>
      </c>
      <c r="B244" s="60" t="s">
        <v>611</v>
      </c>
      <c r="C244" s="4" t="s">
        <v>75</v>
      </c>
      <c r="D244" s="4" t="s">
        <v>53</v>
      </c>
      <c r="E244" s="63">
        <v>467.96</v>
      </c>
      <c r="G244" s="5">
        <f t="shared" si="5"/>
        <v>467.96</v>
      </c>
    </row>
    <row r="245">
      <c r="A245" s="60" t="s">
        <v>612</v>
      </c>
      <c r="B245" s="60" t="s">
        <v>613</v>
      </c>
      <c r="C245" s="4" t="s">
        <v>75</v>
      </c>
      <c r="D245" s="4" t="s">
        <v>53</v>
      </c>
      <c r="E245" s="63">
        <v>1558.25</v>
      </c>
      <c r="G245" s="5">
        <f t="shared" si="5"/>
        <v>1558.25</v>
      </c>
    </row>
    <row r="246">
      <c r="A246" s="60" t="s">
        <v>614</v>
      </c>
      <c r="B246" s="60" t="s">
        <v>615</v>
      </c>
      <c r="C246" s="4" t="s">
        <v>75</v>
      </c>
      <c r="D246" s="4" t="s">
        <v>53</v>
      </c>
      <c r="E246" s="63">
        <v>183.98</v>
      </c>
      <c r="G246" s="5">
        <f t="shared" si="5"/>
        <v>183.98</v>
      </c>
    </row>
    <row r="247">
      <c r="A247" s="60" t="s">
        <v>616</v>
      </c>
      <c r="B247" s="60" t="s">
        <v>617</v>
      </c>
      <c r="C247" s="4" t="s">
        <v>75</v>
      </c>
      <c r="D247" s="4" t="s">
        <v>53</v>
      </c>
      <c r="E247" s="63">
        <v>108.98</v>
      </c>
      <c r="G247" s="5">
        <f t="shared" si="5"/>
        <v>108.98</v>
      </c>
    </row>
    <row r="248">
      <c r="A248" s="60" t="s">
        <v>618</v>
      </c>
      <c r="B248" s="60" t="s">
        <v>619</v>
      </c>
      <c r="C248" s="4" t="s">
        <v>75</v>
      </c>
      <c r="D248" s="4" t="s">
        <v>53</v>
      </c>
      <c r="E248" s="63">
        <v>200.98</v>
      </c>
      <c r="G248" s="5">
        <f t="shared" si="5"/>
        <v>200.98</v>
      </c>
    </row>
    <row r="249">
      <c r="A249" s="60" t="s">
        <v>620</v>
      </c>
      <c r="B249" s="60" t="s">
        <v>621</v>
      </c>
      <c r="C249" s="4" t="s">
        <v>75</v>
      </c>
      <c r="D249" s="4" t="s">
        <v>53</v>
      </c>
      <c r="E249" s="63">
        <v>354.95</v>
      </c>
      <c r="G249" s="5">
        <f t="shared" si="5"/>
        <v>354.95</v>
      </c>
    </row>
    <row r="250">
      <c r="A250" s="60" t="s">
        <v>622</v>
      </c>
      <c r="B250" s="60" t="s">
        <v>623</v>
      </c>
      <c r="C250" s="4" t="s">
        <v>75</v>
      </c>
      <c r="D250" s="4" t="s">
        <v>53</v>
      </c>
      <c r="E250" s="63">
        <v>217.97</v>
      </c>
      <c r="G250" s="5">
        <f t="shared" si="5"/>
        <v>217.97</v>
      </c>
    </row>
    <row r="251">
      <c r="A251" s="60" t="s">
        <v>624</v>
      </c>
      <c r="B251" s="60" t="s">
        <v>625</v>
      </c>
      <c r="C251" s="4" t="s">
        <v>75</v>
      </c>
      <c r="D251" s="4" t="s">
        <v>53</v>
      </c>
      <c r="E251" s="63">
        <v>1125.06</v>
      </c>
      <c r="G251" s="5">
        <f t="shared" si="5"/>
        <v>1125.06</v>
      </c>
    </row>
    <row r="252">
      <c r="A252" s="60" t="s">
        <v>626</v>
      </c>
      <c r="B252" s="60" t="s">
        <v>627</v>
      </c>
      <c r="C252" s="4" t="s">
        <v>75</v>
      </c>
      <c r="D252" s="4" t="s">
        <v>53</v>
      </c>
      <c r="E252" s="63">
        <v>84.98</v>
      </c>
      <c r="G252" s="5">
        <f t="shared" si="5"/>
        <v>84.98</v>
      </c>
    </row>
    <row r="253">
      <c r="A253" s="60" t="s">
        <v>628</v>
      </c>
      <c r="B253" s="60" t="s">
        <v>629</v>
      </c>
      <c r="C253" s="4" t="s">
        <v>75</v>
      </c>
      <c r="D253" s="4" t="s">
        <v>53</v>
      </c>
      <c r="E253" s="63">
        <v>149.98</v>
      </c>
      <c r="G253" s="5">
        <f t="shared" si="5"/>
        <v>149.98</v>
      </c>
    </row>
    <row r="254">
      <c r="A254" s="60" t="s">
        <v>630</v>
      </c>
      <c r="B254" s="60" t="s">
        <v>631</v>
      </c>
      <c r="C254" s="4" t="s">
        <v>75</v>
      </c>
      <c r="D254" s="4" t="s">
        <v>53</v>
      </c>
      <c r="E254" s="63">
        <v>2759.29</v>
      </c>
      <c r="G254" s="5">
        <f t="shared" si="5"/>
        <v>2759.29</v>
      </c>
    </row>
    <row r="255">
      <c r="A255" s="60" t="s">
        <v>632</v>
      </c>
      <c r="B255" s="60" t="s">
        <v>633</v>
      </c>
      <c r="C255" s="4" t="s">
        <v>75</v>
      </c>
      <c r="D255" s="4" t="s">
        <v>53</v>
      </c>
      <c r="E255" s="63">
        <v>8865.4</v>
      </c>
      <c r="G255" s="5">
        <f t="shared" si="5"/>
        <v>8865.4</v>
      </c>
    </row>
    <row r="256">
      <c r="A256" s="60" t="s">
        <v>634</v>
      </c>
      <c r="B256" s="60" t="s">
        <v>635</v>
      </c>
      <c r="C256" s="4" t="s">
        <v>75</v>
      </c>
      <c r="D256" s="4" t="s">
        <v>53</v>
      </c>
      <c r="E256" s="63">
        <v>108.98</v>
      </c>
      <c r="G256" s="5">
        <f t="shared" si="5"/>
        <v>108.98</v>
      </c>
    </row>
    <row r="257">
      <c r="A257" s="60" t="s">
        <v>636</v>
      </c>
      <c r="B257" s="60" t="s">
        <v>637</v>
      </c>
      <c r="C257" s="4" t="s">
        <v>75</v>
      </c>
      <c r="D257" s="4" t="s">
        <v>53</v>
      </c>
      <c r="E257" s="63">
        <v>326.95</v>
      </c>
      <c r="G257" s="5">
        <f t="shared" si="5"/>
        <v>326.95</v>
      </c>
    </row>
    <row r="258">
      <c r="A258" s="60" t="s">
        <v>638</v>
      </c>
      <c r="B258" s="60" t="s">
        <v>639</v>
      </c>
      <c r="C258" s="4" t="s">
        <v>75</v>
      </c>
      <c r="D258" s="4" t="s">
        <v>53</v>
      </c>
      <c r="E258" s="63">
        <v>2247.92</v>
      </c>
      <c r="G258" s="5">
        <f t="shared" si="5"/>
        <v>2247.92</v>
      </c>
    </row>
    <row r="259">
      <c r="A259" s="60" t="s">
        <v>640</v>
      </c>
      <c r="B259" s="60" t="s">
        <v>641</v>
      </c>
      <c r="C259" s="4" t="s">
        <v>75</v>
      </c>
      <c r="D259" s="4" t="s">
        <v>53</v>
      </c>
      <c r="E259" s="63">
        <v>4262.95</v>
      </c>
      <c r="G259" s="5">
        <f t="shared" si="5"/>
        <v>4262.95</v>
      </c>
    </row>
    <row r="260">
      <c r="A260" s="60" t="s">
        <v>642</v>
      </c>
      <c r="B260" s="60" t="s">
        <v>643</v>
      </c>
      <c r="C260" s="4" t="s">
        <v>75</v>
      </c>
      <c r="D260" s="4" t="s">
        <v>53</v>
      </c>
      <c r="E260" s="63">
        <v>1734.68</v>
      </c>
      <c r="G260" s="5">
        <f t="shared" si="5"/>
        <v>1734.68</v>
      </c>
    </row>
    <row r="261">
      <c r="A261" s="60" t="s">
        <v>644</v>
      </c>
      <c r="B261" s="60" t="s">
        <v>645</v>
      </c>
      <c r="C261" s="4" t="s">
        <v>75</v>
      </c>
      <c r="D261" s="4" t="s">
        <v>53</v>
      </c>
      <c r="E261" s="63">
        <v>4495.83</v>
      </c>
      <c r="G261" s="5">
        <f t="shared" si="5"/>
        <v>4495.83</v>
      </c>
    </row>
    <row r="262">
      <c r="A262" s="60" t="s">
        <v>646</v>
      </c>
      <c r="B262" s="60" t="s">
        <v>647</v>
      </c>
      <c r="C262" s="4" t="s">
        <v>75</v>
      </c>
      <c r="D262" s="4" t="s">
        <v>53</v>
      </c>
      <c r="E262" s="63">
        <v>275.96</v>
      </c>
      <c r="G262" s="5">
        <f t="shared" si="5"/>
        <v>275.96</v>
      </c>
    </row>
    <row r="263">
      <c r="A263" s="60" t="s">
        <v>648</v>
      </c>
      <c r="B263" s="60" t="s">
        <v>649</v>
      </c>
      <c r="C263" s="4" t="s">
        <v>75</v>
      </c>
      <c r="D263" s="4" t="s">
        <v>53</v>
      </c>
      <c r="E263" s="63">
        <v>1917.15</v>
      </c>
      <c r="G263" s="5">
        <f t="shared" si="5"/>
        <v>1917.15</v>
      </c>
    </row>
    <row r="264">
      <c r="A264" s="60" t="s">
        <v>650</v>
      </c>
      <c r="B264" s="60" t="s">
        <v>651</v>
      </c>
      <c r="C264" s="4" t="s">
        <v>75</v>
      </c>
      <c r="D264" s="4" t="s">
        <v>53</v>
      </c>
      <c r="E264" s="63">
        <v>524.97</v>
      </c>
      <c r="G264" s="5">
        <f t="shared" si="5"/>
        <v>524.97</v>
      </c>
    </row>
    <row r="265">
      <c r="A265" s="60" t="s">
        <v>652</v>
      </c>
      <c r="B265" s="60" t="s">
        <v>653</v>
      </c>
      <c r="C265" s="4" t="s">
        <v>75</v>
      </c>
      <c r="D265" s="4" t="s">
        <v>53</v>
      </c>
      <c r="E265" s="63">
        <v>275.96</v>
      </c>
      <c r="G265" s="5">
        <f t="shared" si="5"/>
        <v>275.96</v>
      </c>
    </row>
    <row r="266">
      <c r="A266" s="60" t="s">
        <v>654</v>
      </c>
      <c r="B266" s="60" t="s">
        <v>655</v>
      </c>
      <c r="C266" s="4" t="s">
        <v>75</v>
      </c>
      <c r="D266" s="4" t="s">
        <v>53</v>
      </c>
      <c r="E266" s="63">
        <v>91.98</v>
      </c>
      <c r="G266" s="5">
        <f t="shared" si="5"/>
        <v>91.98</v>
      </c>
    </row>
    <row r="267">
      <c r="A267" s="60" t="s">
        <v>658</v>
      </c>
      <c r="B267" s="60" t="s">
        <v>659</v>
      </c>
      <c r="C267" s="4" t="s">
        <v>75</v>
      </c>
      <c r="D267" s="4" t="s">
        <v>53</v>
      </c>
      <c r="E267" s="63">
        <v>125.97</v>
      </c>
      <c r="G267" s="5">
        <f t="shared" si="5"/>
        <v>125.97</v>
      </c>
    </row>
    <row r="268">
      <c r="A268" s="60" t="s">
        <v>1427</v>
      </c>
      <c r="B268" s="60" t="s">
        <v>1428</v>
      </c>
      <c r="C268" s="4" t="s">
        <v>75</v>
      </c>
      <c r="D268" s="4" t="s">
        <v>53</v>
      </c>
      <c r="E268" s="63">
        <v>1286.14</v>
      </c>
      <c r="G268" s="5">
        <f t="shared" si="5"/>
        <v>1286.14</v>
      </c>
    </row>
    <row r="269">
      <c r="A269" s="60" t="s">
        <v>660</v>
      </c>
      <c r="B269" s="60" t="s">
        <v>661</v>
      </c>
      <c r="C269" s="4" t="s">
        <v>75</v>
      </c>
      <c r="D269" s="4" t="s">
        <v>53</v>
      </c>
      <c r="E269" s="63">
        <v>1092.68</v>
      </c>
      <c r="G269" s="5">
        <f t="shared" si="5"/>
        <v>1092.68</v>
      </c>
    </row>
    <row r="270">
      <c r="A270" s="60" t="s">
        <v>662</v>
      </c>
      <c r="B270" s="60" t="s">
        <v>663</v>
      </c>
      <c r="C270" s="4" t="s">
        <v>75</v>
      </c>
      <c r="D270" s="4" t="s">
        <v>53</v>
      </c>
      <c r="E270" s="63">
        <v>67.99</v>
      </c>
      <c r="G270" s="5">
        <f t="shared" si="5"/>
        <v>67.99</v>
      </c>
    </row>
    <row r="271">
      <c r="A271" s="60" t="s">
        <v>664</v>
      </c>
      <c r="B271" s="60" t="s">
        <v>665</v>
      </c>
      <c r="C271" s="4" t="s">
        <v>75</v>
      </c>
      <c r="D271" s="4" t="s">
        <v>53</v>
      </c>
      <c r="E271" s="63">
        <v>67.99</v>
      </c>
      <c r="G271" s="5">
        <f t="shared" si="5"/>
        <v>67.99</v>
      </c>
    </row>
    <row r="272">
      <c r="A272" s="60" t="s">
        <v>666</v>
      </c>
      <c r="B272" s="60" t="s">
        <v>667</v>
      </c>
      <c r="C272" s="4" t="s">
        <v>75</v>
      </c>
      <c r="D272" s="4" t="s">
        <v>53</v>
      </c>
      <c r="E272" s="63">
        <v>128.62</v>
      </c>
      <c r="G272" s="5">
        <f t="shared" si="5"/>
        <v>128.62</v>
      </c>
    </row>
    <row r="273">
      <c r="A273" s="60" t="s">
        <v>668</v>
      </c>
      <c r="B273" s="60" t="s">
        <v>669</v>
      </c>
      <c r="C273" s="4" t="s">
        <v>75</v>
      </c>
      <c r="D273" s="4" t="s">
        <v>53</v>
      </c>
      <c r="E273" s="63">
        <v>266.56</v>
      </c>
      <c r="G273" s="5">
        <f t="shared" si="5"/>
        <v>266.56</v>
      </c>
    </row>
    <row r="274">
      <c r="A274" s="60" t="s">
        <v>670</v>
      </c>
      <c r="B274" s="60" t="s">
        <v>671</v>
      </c>
      <c r="C274" s="4" t="s">
        <v>75</v>
      </c>
      <c r="D274" s="4" t="s">
        <v>53</v>
      </c>
      <c r="E274" s="63">
        <v>758.92</v>
      </c>
      <c r="G274" s="5">
        <f t="shared" si="5"/>
        <v>758.92</v>
      </c>
    </row>
    <row r="275">
      <c r="A275" s="60" t="s">
        <v>672</v>
      </c>
      <c r="B275" s="60" t="s">
        <v>673</v>
      </c>
      <c r="C275" s="4" t="s">
        <v>75</v>
      </c>
      <c r="D275" s="4" t="s">
        <v>53</v>
      </c>
      <c r="E275" s="63">
        <v>793.38</v>
      </c>
      <c r="G275" s="5">
        <f t="shared" si="5"/>
        <v>793.38</v>
      </c>
    </row>
    <row r="276">
      <c r="A276" s="60" t="s">
        <v>1429</v>
      </c>
      <c r="B276" s="60" t="s">
        <v>1430</v>
      </c>
      <c r="C276" s="4" t="s">
        <v>75</v>
      </c>
      <c r="D276" s="4" t="s">
        <v>53</v>
      </c>
      <c r="E276" s="63">
        <v>3490.78</v>
      </c>
      <c r="G276" s="5">
        <f t="shared" si="5"/>
        <v>3490.78</v>
      </c>
    </row>
    <row r="277">
      <c r="A277" s="60" t="s">
        <v>674</v>
      </c>
      <c r="B277" s="60" t="s">
        <v>675</v>
      </c>
      <c r="C277" s="4" t="s">
        <v>75</v>
      </c>
      <c r="D277" s="4" t="s">
        <v>53</v>
      </c>
      <c r="E277" s="63">
        <v>149.98</v>
      </c>
      <c r="G277" s="5">
        <f t="shared" si="5"/>
        <v>149.98</v>
      </c>
    </row>
    <row r="278">
      <c r="A278" s="60" t="s">
        <v>676</v>
      </c>
      <c r="B278" s="60" t="s">
        <v>677</v>
      </c>
      <c r="C278" s="4" t="s">
        <v>75</v>
      </c>
      <c r="D278" s="4" t="s">
        <v>53</v>
      </c>
      <c r="E278" s="63">
        <v>2214.36</v>
      </c>
      <c r="G278" s="5">
        <f t="shared" si="5"/>
        <v>2214.36</v>
      </c>
    </row>
    <row r="279">
      <c r="A279" s="60" t="s">
        <v>678</v>
      </c>
      <c r="B279" s="60" t="s">
        <v>679</v>
      </c>
      <c r="C279" s="4" t="s">
        <v>75</v>
      </c>
      <c r="D279" s="4" t="s">
        <v>53</v>
      </c>
      <c r="E279" s="63">
        <v>412.95</v>
      </c>
      <c r="G279" s="5">
        <f t="shared" si="5"/>
        <v>412.95</v>
      </c>
    </row>
    <row r="280">
      <c r="A280" s="60" t="s">
        <v>680</v>
      </c>
      <c r="B280" s="60" t="s">
        <v>681</v>
      </c>
      <c r="C280" s="4" t="s">
        <v>75</v>
      </c>
      <c r="D280" s="4" t="s">
        <v>53</v>
      </c>
      <c r="E280" s="63">
        <v>115.99</v>
      </c>
      <c r="G280" s="5">
        <f t="shared" si="5"/>
        <v>115.99</v>
      </c>
    </row>
    <row r="281">
      <c r="A281" s="60" t="s">
        <v>682</v>
      </c>
      <c r="B281" s="60" t="s">
        <v>683</v>
      </c>
      <c r="C281" s="4" t="s">
        <v>75</v>
      </c>
      <c r="D281" s="4" t="s">
        <v>53</v>
      </c>
      <c r="E281" s="63">
        <v>6693.51</v>
      </c>
      <c r="G281" s="5">
        <f t="shared" si="5"/>
        <v>6693.51</v>
      </c>
    </row>
    <row r="282">
      <c r="A282" s="60" t="s">
        <v>684</v>
      </c>
      <c r="B282" s="60" t="s">
        <v>685</v>
      </c>
      <c r="C282" s="4" t="s">
        <v>75</v>
      </c>
      <c r="D282" s="4" t="s">
        <v>53</v>
      </c>
      <c r="E282" s="63">
        <v>640.93</v>
      </c>
      <c r="G282" s="5">
        <f t="shared" si="5"/>
        <v>640.93</v>
      </c>
    </row>
    <row r="283">
      <c r="A283" s="60" t="s">
        <v>686</v>
      </c>
      <c r="B283" s="60" t="s">
        <v>687</v>
      </c>
      <c r="C283" s="4" t="s">
        <v>75</v>
      </c>
      <c r="D283" s="4" t="s">
        <v>53</v>
      </c>
      <c r="E283" s="63">
        <v>711.91</v>
      </c>
      <c r="G283" s="5">
        <f t="shared" si="5"/>
        <v>711.91</v>
      </c>
    </row>
    <row r="284">
      <c r="A284" s="60" t="s">
        <v>688</v>
      </c>
      <c r="B284" s="60" t="s">
        <v>689</v>
      </c>
      <c r="C284" s="4" t="s">
        <v>75</v>
      </c>
      <c r="D284" s="4" t="s">
        <v>53</v>
      </c>
      <c r="E284" s="63">
        <v>275.96</v>
      </c>
      <c r="G284" s="5">
        <f t="shared" si="5"/>
        <v>275.96</v>
      </c>
    </row>
    <row r="285">
      <c r="A285" s="60" t="s">
        <v>690</v>
      </c>
      <c r="B285" s="60" t="s">
        <v>691</v>
      </c>
      <c r="C285" s="4" t="s">
        <v>75</v>
      </c>
      <c r="D285" s="4" t="s">
        <v>53</v>
      </c>
      <c r="E285" s="63">
        <v>108.98</v>
      </c>
      <c r="G285" s="5">
        <f t="shared" si="5"/>
        <v>108.98</v>
      </c>
    </row>
    <row r="286">
      <c r="A286" s="60" t="s">
        <v>692</v>
      </c>
      <c r="B286" s="60" t="s">
        <v>693</v>
      </c>
      <c r="C286" s="4" t="s">
        <v>75</v>
      </c>
      <c r="D286" s="4" t="s">
        <v>53</v>
      </c>
      <c r="E286" s="63">
        <v>91.98</v>
      </c>
      <c r="G286" s="5">
        <f t="shared" si="5"/>
        <v>91.98</v>
      </c>
    </row>
    <row r="287">
      <c r="A287" s="60" t="s">
        <v>694</v>
      </c>
      <c r="B287" s="60" t="s">
        <v>695</v>
      </c>
      <c r="C287" s="4" t="s">
        <v>75</v>
      </c>
      <c r="D287" s="4" t="s">
        <v>53</v>
      </c>
      <c r="E287" s="63">
        <v>925.24</v>
      </c>
      <c r="G287" s="5">
        <f t="shared" si="5"/>
        <v>925.24</v>
      </c>
    </row>
    <row r="288">
      <c r="A288" s="60" t="s">
        <v>1431</v>
      </c>
      <c r="B288" s="60" t="s">
        <v>1432</v>
      </c>
      <c r="C288" s="4" t="s">
        <v>84</v>
      </c>
      <c r="D288" s="4" t="s">
        <v>58</v>
      </c>
      <c r="E288" s="63">
        <v>907.91</v>
      </c>
      <c r="G288" s="5">
        <f t="shared" si="5"/>
        <v>907.91</v>
      </c>
    </row>
    <row r="289">
      <c r="A289" s="60" t="s">
        <v>698</v>
      </c>
      <c r="B289" s="60" t="s">
        <v>699</v>
      </c>
      <c r="C289" s="4" t="s">
        <v>84</v>
      </c>
      <c r="D289" s="4" t="s">
        <v>58</v>
      </c>
      <c r="E289" s="63">
        <v>222.0</v>
      </c>
      <c r="G289" s="5">
        <f t="shared" si="5"/>
        <v>222</v>
      </c>
    </row>
    <row r="290">
      <c r="A290" s="60" t="s">
        <v>1433</v>
      </c>
      <c r="B290" s="60" t="s">
        <v>1434</v>
      </c>
      <c r="C290" s="4" t="s">
        <v>84</v>
      </c>
      <c r="D290" s="4" t="s">
        <v>58</v>
      </c>
      <c r="E290" s="63">
        <v>843.05</v>
      </c>
      <c r="G290" s="5">
        <f t="shared" si="5"/>
        <v>843.05</v>
      </c>
    </row>
    <row r="291">
      <c r="A291" s="60" t="s">
        <v>704</v>
      </c>
      <c r="B291" s="60" t="s">
        <v>705</v>
      </c>
      <c r="C291" s="4" t="s">
        <v>84</v>
      </c>
      <c r="D291" s="4" t="s">
        <v>58</v>
      </c>
      <c r="E291" s="63">
        <v>630.0</v>
      </c>
      <c r="G291" s="5">
        <f t="shared" si="5"/>
        <v>630</v>
      </c>
    </row>
    <row r="292">
      <c r="A292" s="60" t="s">
        <v>1435</v>
      </c>
      <c r="B292" s="60" t="s">
        <v>1436</v>
      </c>
      <c r="C292" s="4" t="s">
        <v>84</v>
      </c>
      <c r="D292" s="4" t="s">
        <v>58</v>
      </c>
      <c r="E292" s="63">
        <v>1115.0</v>
      </c>
      <c r="G292" s="5">
        <f t="shared" si="5"/>
        <v>1115</v>
      </c>
    </row>
    <row r="293">
      <c r="A293" s="60" t="s">
        <v>1437</v>
      </c>
      <c r="B293" s="60" t="s">
        <v>1438</v>
      </c>
      <c r="C293" s="4" t="s">
        <v>84</v>
      </c>
      <c r="D293" s="4" t="s">
        <v>58</v>
      </c>
      <c r="E293" s="63">
        <v>976.0</v>
      </c>
      <c r="G293" s="5">
        <f t="shared" si="5"/>
        <v>976</v>
      </c>
    </row>
    <row r="294">
      <c r="A294" s="60" t="s">
        <v>1439</v>
      </c>
      <c r="B294" s="60" t="s">
        <v>1440</v>
      </c>
      <c r="C294" s="4" t="s">
        <v>84</v>
      </c>
      <c r="D294" s="4" t="s">
        <v>58</v>
      </c>
      <c r="E294" s="63">
        <v>741.0</v>
      </c>
      <c r="G294" s="5">
        <f t="shared" si="5"/>
        <v>741</v>
      </c>
    </row>
    <row r="295">
      <c r="A295" s="60" t="s">
        <v>706</v>
      </c>
      <c r="B295" s="60" t="s">
        <v>707</v>
      </c>
      <c r="C295" s="4" t="s">
        <v>84</v>
      </c>
      <c r="D295" s="4" t="s">
        <v>58</v>
      </c>
      <c r="E295" s="63">
        <v>2520.6</v>
      </c>
      <c r="G295" s="5">
        <f t="shared" si="5"/>
        <v>2520.6</v>
      </c>
    </row>
    <row r="296">
      <c r="A296" s="60" t="s">
        <v>1441</v>
      </c>
      <c r="B296" s="60" t="s">
        <v>1442</v>
      </c>
      <c r="C296" s="4" t="s">
        <v>84</v>
      </c>
      <c r="D296" s="4" t="s">
        <v>58</v>
      </c>
      <c r="E296" s="63">
        <v>309.0</v>
      </c>
      <c r="G296" s="5">
        <f t="shared" si="5"/>
        <v>309</v>
      </c>
    </row>
    <row r="297">
      <c r="A297" s="60" t="s">
        <v>708</v>
      </c>
      <c r="B297" s="60" t="s">
        <v>709</v>
      </c>
      <c r="C297" s="4" t="s">
        <v>84</v>
      </c>
      <c r="D297" s="4" t="s">
        <v>58</v>
      </c>
      <c r="E297" s="63">
        <v>822.0</v>
      </c>
      <c r="G297" s="5">
        <f t="shared" si="5"/>
        <v>822</v>
      </c>
    </row>
    <row r="298">
      <c r="A298" s="60" t="s">
        <v>1443</v>
      </c>
      <c r="B298" s="60" t="s">
        <v>1444</v>
      </c>
      <c r="C298" s="4" t="s">
        <v>85</v>
      </c>
      <c r="D298" s="4" t="s">
        <v>51</v>
      </c>
      <c r="E298" s="63">
        <v>5007.35</v>
      </c>
      <c r="G298" s="5">
        <f t="shared" si="5"/>
        <v>5007.35</v>
      </c>
    </row>
    <row r="299">
      <c r="A299" s="60" t="s">
        <v>716</v>
      </c>
      <c r="B299" s="60" t="s">
        <v>717</v>
      </c>
      <c r="C299" s="4" t="s">
        <v>85</v>
      </c>
      <c r="D299" s="4" t="s">
        <v>51</v>
      </c>
      <c r="E299" s="63">
        <v>1839.85</v>
      </c>
      <c r="G299" s="5">
        <f t="shared" si="5"/>
        <v>1839.85</v>
      </c>
    </row>
    <row r="300">
      <c r="A300" s="60" t="s">
        <v>1445</v>
      </c>
      <c r="B300" s="60" t="s">
        <v>1446</v>
      </c>
      <c r="C300" s="4" t="s">
        <v>85</v>
      </c>
      <c r="D300" s="4" t="s">
        <v>51</v>
      </c>
      <c r="E300" s="63">
        <v>344.04</v>
      </c>
      <c r="G300" s="5">
        <f t="shared" si="5"/>
        <v>344.04</v>
      </c>
    </row>
    <row r="301">
      <c r="A301" s="60" t="s">
        <v>720</v>
      </c>
      <c r="B301" s="60" t="s">
        <v>721</v>
      </c>
      <c r="C301" s="4" t="s">
        <v>85</v>
      </c>
      <c r="D301" s="4" t="s">
        <v>51</v>
      </c>
      <c r="E301" s="63">
        <v>1258.01</v>
      </c>
      <c r="G301" s="5">
        <f t="shared" si="5"/>
        <v>1258.01</v>
      </c>
    </row>
    <row r="302">
      <c r="A302" s="60" t="s">
        <v>722</v>
      </c>
      <c r="B302" s="60" t="s">
        <v>723</v>
      </c>
      <c r="C302" s="4" t="s">
        <v>85</v>
      </c>
      <c r="D302" s="4" t="s">
        <v>51</v>
      </c>
      <c r="E302" s="63">
        <v>664.38</v>
      </c>
      <c r="G302" s="5">
        <f t="shared" si="5"/>
        <v>664.38</v>
      </c>
    </row>
    <row r="303">
      <c r="A303" s="60" t="s">
        <v>724</v>
      </c>
      <c r="B303" s="60" t="s">
        <v>725</v>
      </c>
      <c r="C303" s="4" t="s">
        <v>85</v>
      </c>
      <c r="D303" s="4" t="s">
        <v>51</v>
      </c>
      <c r="E303" s="63">
        <v>183.98</v>
      </c>
      <c r="G303" s="5">
        <f t="shared" si="5"/>
        <v>183.98</v>
      </c>
    </row>
    <row r="304">
      <c r="A304" s="60" t="s">
        <v>726</v>
      </c>
      <c r="B304" s="60" t="s">
        <v>727</v>
      </c>
      <c r="C304" s="4" t="s">
        <v>85</v>
      </c>
      <c r="D304" s="4" t="s">
        <v>51</v>
      </c>
      <c r="E304" s="63">
        <v>210.98</v>
      </c>
      <c r="G304" s="5">
        <f t="shared" si="5"/>
        <v>210.98</v>
      </c>
    </row>
    <row r="305">
      <c r="A305" s="60" t="s">
        <v>728</v>
      </c>
      <c r="B305" s="60" t="s">
        <v>729</v>
      </c>
      <c r="C305" s="4" t="s">
        <v>85</v>
      </c>
      <c r="D305" s="4" t="s">
        <v>51</v>
      </c>
      <c r="E305" s="63">
        <v>183.02</v>
      </c>
      <c r="G305" s="5">
        <f t="shared" si="5"/>
        <v>183.02</v>
      </c>
    </row>
    <row r="306">
      <c r="A306" s="60" t="s">
        <v>730</v>
      </c>
      <c r="B306" s="60" t="s">
        <v>731</v>
      </c>
      <c r="C306" s="4" t="s">
        <v>85</v>
      </c>
      <c r="D306" s="4" t="s">
        <v>51</v>
      </c>
      <c r="E306" s="63">
        <v>101.98</v>
      </c>
      <c r="G306" s="5">
        <f t="shared" si="5"/>
        <v>101.98</v>
      </c>
    </row>
    <row r="307">
      <c r="A307" s="60" t="s">
        <v>732</v>
      </c>
      <c r="B307" s="60" t="s">
        <v>733</v>
      </c>
      <c r="C307" s="4" t="s">
        <v>85</v>
      </c>
      <c r="D307" s="4" t="s">
        <v>51</v>
      </c>
      <c r="E307" s="63">
        <v>201.0</v>
      </c>
      <c r="G307" s="5">
        <f t="shared" si="5"/>
        <v>201</v>
      </c>
    </row>
    <row r="308">
      <c r="A308" s="60" t="s">
        <v>734</v>
      </c>
      <c r="B308" s="60" t="s">
        <v>735</v>
      </c>
      <c r="C308" s="4" t="s">
        <v>85</v>
      </c>
      <c r="D308" s="4" t="s">
        <v>51</v>
      </c>
      <c r="E308" s="63">
        <v>264.95</v>
      </c>
      <c r="G308" s="5">
        <f t="shared" si="5"/>
        <v>264.95</v>
      </c>
    </row>
    <row r="309">
      <c r="A309" s="60" t="s">
        <v>736</v>
      </c>
      <c r="B309" s="60" t="s">
        <v>737</v>
      </c>
      <c r="C309" s="4" t="s">
        <v>85</v>
      </c>
      <c r="D309" s="4" t="s">
        <v>51</v>
      </c>
      <c r="E309" s="63">
        <v>735.35</v>
      </c>
      <c r="G309" s="5">
        <f t="shared" si="5"/>
        <v>735.35</v>
      </c>
    </row>
    <row r="310">
      <c r="A310" s="60" t="s">
        <v>738</v>
      </c>
      <c r="B310" s="60" t="s">
        <v>739</v>
      </c>
      <c r="C310" s="4" t="s">
        <v>85</v>
      </c>
      <c r="D310" s="4" t="s">
        <v>51</v>
      </c>
      <c r="E310" s="63">
        <v>91.98</v>
      </c>
      <c r="G310" s="5">
        <f t="shared" si="5"/>
        <v>91.98</v>
      </c>
    </row>
    <row r="311">
      <c r="A311" s="60" t="s">
        <v>740</v>
      </c>
      <c r="B311" s="60" t="s">
        <v>741</v>
      </c>
      <c r="C311" s="4" t="s">
        <v>85</v>
      </c>
      <c r="D311" s="4" t="s">
        <v>51</v>
      </c>
      <c r="E311" s="63">
        <v>817.02</v>
      </c>
      <c r="G311" s="5">
        <f t="shared" si="5"/>
        <v>817.02</v>
      </c>
    </row>
    <row r="312">
      <c r="A312" s="60" t="s">
        <v>742</v>
      </c>
      <c r="B312" s="60" t="s">
        <v>743</v>
      </c>
      <c r="C312" s="4" t="s">
        <v>85</v>
      </c>
      <c r="D312" s="4" t="s">
        <v>51</v>
      </c>
      <c r="E312" s="63">
        <v>350.0</v>
      </c>
      <c r="G312" s="5">
        <f t="shared" si="5"/>
        <v>350</v>
      </c>
    </row>
    <row r="313">
      <c r="A313" s="60" t="s">
        <v>744</v>
      </c>
      <c r="B313" s="60" t="s">
        <v>745</v>
      </c>
      <c r="C313" s="4" t="s">
        <v>85</v>
      </c>
      <c r="D313" s="4" t="s">
        <v>51</v>
      </c>
      <c r="E313" s="63">
        <v>800.01</v>
      </c>
      <c r="G313" s="5">
        <f t="shared" si="5"/>
        <v>800.01</v>
      </c>
    </row>
    <row r="314">
      <c r="A314" s="60" t="s">
        <v>1447</v>
      </c>
      <c r="B314" s="60" t="s">
        <v>1448</v>
      </c>
      <c r="C314" s="4" t="s">
        <v>85</v>
      </c>
      <c r="D314" s="4" t="s">
        <v>51</v>
      </c>
      <c r="E314" s="63">
        <v>460.0</v>
      </c>
      <c r="G314" s="5">
        <f t="shared" si="5"/>
        <v>460</v>
      </c>
    </row>
    <row r="315">
      <c r="A315" s="60" t="s">
        <v>1449</v>
      </c>
      <c r="B315" s="60" t="s">
        <v>1450</v>
      </c>
      <c r="C315" s="4" t="s">
        <v>85</v>
      </c>
      <c r="D315" s="4" t="s">
        <v>51</v>
      </c>
      <c r="E315" s="63">
        <v>528.02</v>
      </c>
      <c r="G315" s="5">
        <f t="shared" si="5"/>
        <v>528.02</v>
      </c>
    </row>
    <row r="316">
      <c r="A316" s="60" t="s">
        <v>746</v>
      </c>
      <c r="B316" s="60" t="s">
        <v>747</v>
      </c>
      <c r="C316" s="4" t="s">
        <v>85</v>
      </c>
      <c r="D316" s="4" t="s">
        <v>51</v>
      </c>
      <c r="E316" s="63">
        <v>4379.62</v>
      </c>
      <c r="G316" s="5">
        <f t="shared" si="5"/>
        <v>4379.62</v>
      </c>
    </row>
    <row r="317">
      <c r="A317" s="60" t="s">
        <v>748</v>
      </c>
      <c r="B317" s="60" t="s">
        <v>749</v>
      </c>
      <c r="C317" s="4" t="s">
        <v>85</v>
      </c>
      <c r="D317" s="4" t="s">
        <v>51</v>
      </c>
      <c r="E317" s="63">
        <v>277.0</v>
      </c>
      <c r="G317" s="5">
        <f t="shared" si="5"/>
        <v>277</v>
      </c>
    </row>
    <row r="318">
      <c r="A318" s="60" t="s">
        <v>750</v>
      </c>
      <c r="B318" s="60" t="s">
        <v>751</v>
      </c>
      <c r="C318" s="4" t="s">
        <v>85</v>
      </c>
      <c r="D318" s="4" t="s">
        <v>51</v>
      </c>
      <c r="E318" s="63">
        <v>159.97</v>
      </c>
      <c r="G318" s="5">
        <f t="shared" si="5"/>
        <v>159.97</v>
      </c>
    </row>
    <row r="319">
      <c r="A319" s="60" t="s">
        <v>752</v>
      </c>
      <c r="B319" s="60" t="s">
        <v>753</v>
      </c>
      <c r="C319" s="4" t="s">
        <v>85</v>
      </c>
      <c r="D319" s="4" t="s">
        <v>51</v>
      </c>
      <c r="E319" s="63">
        <v>2730.22</v>
      </c>
      <c r="G319" s="5">
        <f t="shared" si="5"/>
        <v>2730.22</v>
      </c>
    </row>
    <row r="320">
      <c r="A320" s="60" t="s">
        <v>754</v>
      </c>
      <c r="B320" s="60" t="s">
        <v>755</v>
      </c>
      <c r="C320" s="4" t="s">
        <v>85</v>
      </c>
      <c r="D320" s="4" t="s">
        <v>51</v>
      </c>
      <c r="E320" s="63">
        <v>700.05</v>
      </c>
      <c r="G320" s="5">
        <f t="shared" si="5"/>
        <v>700.05</v>
      </c>
    </row>
    <row r="321">
      <c r="A321" s="60" t="s">
        <v>756</v>
      </c>
      <c r="B321" s="60" t="s">
        <v>757</v>
      </c>
      <c r="C321" s="4" t="s">
        <v>85</v>
      </c>
      <c r="D321" s="4" t="s">
        <v>51</v>
      </c>
      <c r="E321" s="63">
        <v>4577.26</v>
      </c>
      <c r="G321" s="5">
        <f t="shared" si="5"/>
        <v>4577.26</v>
      </c>
    </row>
    <row r="322">
      <c r="A322" s="60" t="s">
        <v>758</v>
      </c>
      <c r="B322" s="60" t="s">
        <v>759</v>
      </c>
      <c r="C322" s="4" t="s">
        <v>85</v>
      </c>
      <c r="D322" s="4" t="s">
        <v>51</v>
      </c>
      <c r="E322" s="63">
        <v>342.01</v>
      </c>
      <c r="G322" s="5">
        <f t="shared" si="5"/>
        <v>342.01</v>
      </c>
    </row>
    <row r="323">
      <c r="A323" s="60" t="s">
        <v>760</v>
      </c>
      <c r="B323" s="60" t="s">
        <v>761</v>
      </c>
      <c r="C323" s="4" t="s">
        <v>85</v>
      </c>
      <c r="D323" s="4" t="s">
        <v>51</v>
      </c>
      <c r="E323" s="63">
        <v>400.0</v>
      </c>
      <c r="G323" s="5">
        <f t="shared" si="5"/>
        <v>400</v>
      </c>
    </row>
    <row r="324">
      <c r="A324" s="60" t="s">
        <v>762</v>
      </c>
      <c r="B324" s="60" t="s">
        <v>763</v>
      </c>
      <c r="C324" s="4" t="s">
        <v>85</v>
      </c>
      <c r="D324" s="4" t="s">
        <v>51</v>
      </c>
      <c r="E324" s="63">
        <v>100.0</v>
      </c>
      <c r="G324" s="5">
        <f t="shared" si="5"/>
        <v>100</v>
      </c>
    </row>
    <row r="325">
      <c r="A325" s="60" t="s">
        <v>764</v>
      </c>
      <c r="B325" s="60" t="s">
        <v>765</v>
      </c>
      <c r="C325" s="4" t="s">
        <v>85</v>
      </c>
      <c r="D325" s="4" t="s">
        <v>51</v>
      </c>
      <c r="E325" s="63">
        <v>218.0</v>
      </c>
      <c r="G325" s="5">
        <f t="shared" si="5"/>
        <v>218</v>
      </c>
    </row>
    <row r="326">
      <c r="A326" s="82" t="s">
        <v>766</v>
      </c>
      <c r="B326" s="82" t="s">
        <v>767</v>
      </c>
      <c r="C326" s="4" t="s">
        <v>79</v>
      </c>
      <c r="D326" s="4" t="s">
        <v>49</v>
      </c>
      <c r="E326" s="31">
        <v>74282.0</v>
      </c>
      <c r="G326" s="62">
        <f t="shared" si="5"/>
        <v>74282</v>
      </c>
    </row>
    <row r="327">
      <c r="A327" s="82" t="s">
        <v>768</v>
      </c>
      <c r="B327" s="82" t="s">
        <v>769</v>
      </c>
      <c r="C327" s="4" t="s">
        <v>79</v>
      </c>
      <c r="D327" s="4" t="s">
        <v>49</v>
      </c>
      <c r="E327" s="31">
        <v>46409.3</v>
      </c>
      <c r="G327" s="62">
        <f t="shared" si="5"/>
        <v>46409.3</v>
      </c>
    </row>
    <row r="328">
      <c r="A328" s="82" t="s">
        <v>770</v>
      </c>
      <c r="B328" s="82" t="s">
        <v>771</v>
      </c>
      <c r="C328" s="4" t="s">
        <v>79</v>
      </c>
      <c r="D328" s="4" t="s">
        <v>49</v>
      </c>
      <c r="E328" s="31">
        <v>54510.0</v>
      </c>
      <c r="G328" s="62">
        <f t="shared" si="5"/>
        <v>54510</v>
      </c>
    </row>
    <row r="329">
      <c r="A329" s="82" t="s">
        <v>772</v>
      </c>
      <c r="B329" s="82" t="s">
        <v>773</v>
      </c>
      <c r="C329" s="4" t="s">
        <v>79</v>
      </c>
      <c r="D329" s="4" t="s">
        <v>49</v>
      </c>
      <c r="E329" s="31">
        <v>79536.07</v>
      </c>
      <c r="G329" s="62">
        <f t="shared" si="5"/>
        <v>79536.07</v>
      </c>
    </row>
    <row r="330">
      <c r="A330" s="82" t="s">
        <v>774</v>
      </c>
      <c r="B330" s="82" t="s">
        <v>775</v>
      </c>
      <c r="C330" s="4" t="s">
        <v>79</v>
      </c>
      <c r="D330" s="4" t="s">
        <v>49</v>
      </c>
      <c r="E330" s="31">
        <v>198988.25</v>
      </c>
      <c r="G330" s="62">
        <f t="shared" si="5"/>
        <v>198988.25</v>
      </c>
    </row>
    <row r="331">
      <c r="A331" s="82" t="s">
        <v>776</v>
      </c>
      <c r="B331" s="82" t="s">
        <v>777</v>
      </c>
      <c r="C331" s="4" t="s">
        <v>79</v>
      </c>
      <c r="D331" s="4" t="s">
        <v>49</v>
      </c>
      <c r="E331" s="31">
        <v>80500.0</v>
      </c>
      <c r="G331" s="62">
        <f t="shared" si="5"/>
        <v>80500</v>
      </c>
    </row>
    <row r="332">
      <c r="A332" s="82" t="s">
        <v>778</v>
      </c>
      <c r="B332" s="82" t="s">
        <v>779</v>
      </c>
      <c r="C332" s="4" t="s">
        <v>79</v>
      </c>
      <c r="D332" s="4" t="s">
        <v>49</v>
      </c>
      <c r="E332" s="31">
        <v>117989.91</v>
      </c>
      <c r="G332" s="62">
        <f t="shared" si="5"/>
        <v>117989.91</v>
      </c>
    </row>
    <row r="333">
      <c r="A333" s="82" t="s">
        <v>780</v>
      </c>
      <c r="B333" s="82" t="s">
        <v>781</v>
      </c>
      <c r="C333" s="4" t="s">
        <v>79</v>
      </c>
      <c r="D333" s="4" t="s">
        <v>49</v>
      </c>
      <c r="E333" s="83">
        <v>195.5</v>
      </c>
      <c r="G333" s="5">
        <f t="shared" si="5"/>
        <v>195.5</v>
      </c>
    </row>
    <row r="334">
      <c r="A334" s="82" t="s">
        <v>782</v>
      </c>
      <c r="B334" s="82" t="s">
        <v>783</v>
      </c>
      <c r="C334" s="4" t="s">
        <v>79</v>
      </c>
      <c r="D334" s="4" t="s">
        <v>49</v>
      </c>
      <c r="E334" s="83">
        <v>97.75</v>
      </c>
      <c r="G334" s="5">
        <f t="shared" si="5"/>
        <v>97.75</v>
      </c>
    </row>
    <row r="335">
      <c r="A335" s="82" t="s">
        <v>784</v>
      </c>
      <c r="B335" s="82" t="s">
        <v>785</v>
      </c>
      <c r="C335" s="4" t="s">
        <v>79</v>
      </c>
      <c r="D335" s="4" t="s">
        <v>49</v>
      </c>
      <c r="E335" s="31">
        <v>10583.21</v>
      </c>
      <c r="G335" s="62">
        <f t="shared" si="5"/>
        <v>10583.21</v>
      </c>
    </row>
    <row r="336">
      <c r="A336" s="82" t="s">
        <v>786</v>
      </c>
      <c r="B336" s="82" t="s">
        <v>787</v>
      </c>
      <c r="C336" s="4" t="s">
        <v>79</v>
      </c>
      <c r="D336" s="4" t="s">
        <v>49</v>
      </c>
      <c r="E336" s="83">
        <v>920.0</v>
      </c>
      <c r="G336" s="5">
        <f t="shared" si="5"/>
        <v>920</v>
      </c>
    </row>
    <row r="337">
      <c r="A337" s="82" t="s">
        <v>788</v>
      </c>
      <c r="B337" s="82" t="s">
        <v>789</v>
      </c>
      <c r="C337" s="4" t="s">
        <v>79</v>
      </c>
      <c r="D337" s="4" t="s">
        <v>49</v>
      </c>
      <c r="E337" s="31">
        <v>84496.25</v>
      </c>
      <c r="G337" s="62">
        <f t="shared" si="5"/>
        <v>84496.25</v>
      </c>
    </row>
    <row r="338">
      <c r="A338" s="82" t="s">
        <v>790</v>
      </c>
      <c r="B338" s="82" t="s">
        <v>791</v>
      </c>
      <c r="C338" s="4" t="s">
        <v>79</v>
      </c>
      <c r="D338" s="4" t="s">
        <v>49</v>
      </c>
      <c r="E338" s="31">
        <v>42050.0</v>
      </c>
      <c r="G338" s="62">
        <f t="shared" si="5"/>
        <v>42050</v>
      </c>
    </row>
    <row r="339">
      <c r="A339" s="82" t="s">
        <v>792</v>
      </c>
      <c r="B339" s="82" t="s">
        <v>793</v>
      </c>
      <c r="C339" s="4" t="s">
        <v>79</v>
      </c>
      <c r="D339" s="4" t="s">
        <v>49</v>
      </c>
      <c r="E339" s="31">
        <v>48300.0</v>
      </c>
      <c r="G339" s="62">
        <f t="shared" si="5"/>
        <v>48300</v>
      </c>
    </row>
    <row r="340">
      <c r="A340" s="82" t="s">
        <v>794</v>
      </c>
      <c r="B340" s="82" t="s">
        <v>795</v>
      </c>
      <c r="C340" s="4" t="s">
        <v>79</v>
      </c>
      <c r="D340" s="4" t="s">
        <v>49</v>
      </c>
      <c r="E340" s="31">
        <v>217711.19</v>
      </c>
      <c r="G340" s="62">
        <f t="shared" si="5"/>
        <v>217711.19</v>
      </c>
    </row>
    <row r="341">
      <c r="A341" s="60" t="s">
        <v>796</v>
      </c>
      <c r="B341" s="60" t="s">
        <v>797</v>
      </c>
      <c r="C341" s="4" t="s">
        <v>77</v>
      </c>
      <c r="D341" s="4" t="s">
        <v>47</v>
      </c>
      <c r="E341" s="61">
        <v>19450.32</v>
      </c>
      <c r="G341" s="62">
        <f t="shared" si="5"/>
        <v>19450.32</v>
      </c>
    </row>
    <row r="342">
      <c r="A342" s="60" t="s">
        <v>798</v>
      </c>
      <c r="B342" s="60" t="s">
        <v>799</v>
      </c>
      <c r="C342" s="4" t="s">
        <v>77</v>
      </c>
      <c r="D342" s="4" t="s">
        <v>47</v>
      </c>
      <c r="E342" s="61">
        <v>24313.94</v>
      </c>
      <c r="G342" s="62">
        <f t="shared" si="5"/>
        <v>24313.94</v>
      </c>
    </row>
    <row r="343">
      <c r="A343" s="60" t="s">
        <v>800</v>
      </c>
      <c r="B343" s="60" t="s">
        <v>801</v>
      </c>
      <c r="C343" s="4" t="s">
        <v>77</v>
      </c>
      <c r="D343" s="4" t="s">
        <v>47</v>
      </c>
      <c r="E343" s="61">
        <v>1278.81</v>
      </c>
      <c r="G343" s="62">
        <f t="shared" si="5"/>
        <v>1278.81</v>
      </c>
    </row>
    <row r="344">
      <c r="A344" s="60" t="s">
        <v>802</v>
      </c>
      <c r="B344" s="60" t="s">
        <v>803</v>
      </c>
      <c r="C344" s="4" t="s">
        <v>77</v>
      </c>
      <c r="D344" s="4" t="s">
        <v>47</v>
      </c>
      <c r="E344" s="61">
        <v>3605.0</v>
      </c>
      <c r="G344" s="62">
        <f t="shared" si="5"/>
        <v>3605</v>
      </c>
    </row>
    <row r="345">
      <c r="A345" s="60" t="s">
        <v>804</v>
      </c>
      <c r="B345" s="60" t="s">
        <v>805</v>
      </c>
      <c r="C345" s="4" t="s">
        <v>77</v>
      </c>
      <c r="D345" s="4" t="s">
        <v>47</v>
      </c>
      <c r="E345" s="61">
        <v>17130.41</v>
      </c>
      <c r="G345" s="62">
        <f t="shared" si="5"/>
        <v>17130.41</v>
      </c>
    </row>
    <row r="346">
      <c r="A346" s="60" t="s">
        <v>806</v>
      </c>
      <c r="B346" s="60" t="s">
        <v>807</v>
      </c>
      <c r="C346" s="4" t="s">
        <v>77</v>
      </c>
      <c r="D346" s="4" t="s">
        <v>47</v>
      </c>
      <c r="E346" s="61">
        <v>3947.0</v>
      </c>
      <c r="G346" s="62">
        <f t="shared" si="5"/>
        <v>3947</v>
      </c>
    </row>
    <row r="347">
      <c r="A347" s="60" t="s">
        <v>808</v>
      </c>
      <c r="B347" s="60" t="s">
        <v>809</v>
      </c>
      <c r="C347" s="4" t="s">
        <v>77</v>
      </c>
      <c r="D347" s="4" t="s">
        <v>47</v>
      </c>
      <c r="E347" s="61">
        <v>7734.0</v>
      </c>
      <c r="G347" s="62">
        <f t="shared" si="5"/>
        <v>7734</v>
      </c>
    </row>
    <row r="348">
      <c r="A348" s="60" t="s">
        <v>810</v>
      </c>
      <c r="B348" s="60" t="s">
        <v>811</v>
      </c>
      <c r="C348" s="4" t="s">
        <v>77</v>
      </c>
      <c r="D348" s="4" t="s">
        <v>47</v>
      </c>
      <c r="E348" s="61">
        <v>7729.87</v>
      </c>
      <c r="G348" s="62">
        <f t="shared" si="5"/>
        <v>7729.87</v>
      </c>
    </row>
    <row r="349">
      <c r="A349" s="60" t="s">
        <v>812</v>
      </c>
      <c r="B349" s="60" t="s">
        <v>813</v>
      </c>
      <c r="C349" s="4" t="s">
        <v>77</v>
      </c>
      <c r="D349" s="4" t="s">
        <v>47</v>
      </c>
      <c r="E349" s="61">
        <v>5855.01</v>
      </c>
      <c r="G349" s="62">
        <f t="shared" si="5"/>
        <v>5855.01</v>
      </c>
    </row>
    <row r="350">
      <c r="A350" s="60" t="s">
        <v>814</v>
      </c>
      <c r="B350" s="60" t="s">
        <v>815</v>
      </c>
      <c r="C350" s="4" t="s">
        <v>77</v>
      </c>
      <c r="D350" s="4" t="s">
        <v>47</v>
      </c>
      <c r="E350" s="61">
        <v>6393.0</v>
      </c>
      <c r="G350" s="62">
        <f t="shared" si="5"/>
        <v>6393</v>
      </c>
    </row>
    <row r="351">
      <c r="A351" s="60" t="s">
        <v>1451</v>
      </c>
      <c r="B351" s="60" t="s">
        <v>1452</v>
      </c>
      <c r="C351" s="4" t="s">
        <v>77</v>
      </c>
      <c r="D351" s="4" t="s">
        <v>47</v>
      </c>
      <c r="E351" s="61">
        <v>1891.59</v>
      </c>
      <c r="G351" s="62">
        <f t="shared" si="5"/>
        <v>1891.59</v>
      </c>
    </row>
    <row r="352">
      <c r="A352" s="60" t="s">
        <v>818</v>
      </c>
      <c r="B352" s="60" t="s">
        <v>819</v>
      </c>
      <c r="C352" s="4" t="s">
        <v>77</v>
      </c>
      <c r="D352" s="4" t="s">
        <v>47</v>
      </c>
      <c r="E352" s="61">
        <v>153013.94</v>
      </c>
      <c r="G352" s="62">
        <f t="shared" si="5"/>
        <v>153013.94</v>
      </c>
    </row>
    <row r="353">
      <c r="A353" s="60" t="s">
        <v>820</v>
      </c>
      <c r="B353" s="60" t="s">
        <v>821</v>
      </c>
      <c r="C353" s="4" t="s">
        <v>77</v>
      </c>
      <c r="D353" s="4" t="s">
        <v>47</v>
      </c>
      <c r="E353" s="61">
        <v>6501.0</v>
      </c>
      <c r="G353" s="62">
        <f t="shared" si="5"/>
        <v>6501</v>
      </c>
    </row>
    <row r="354">
      <c r="A354" s="60" t="s">
        <v>822</v>
      </c>
      <c r="B354" s="60" t="s">
        <v>823</v>
      </c>
      <c r="C354" s="4" t="s">
        <v>77</v>
      </c>
      <c r="D354" s="4" t="s">
        <v>47</v>
      </c>
      <c r="E354" s="63">
        <v>540.0</v>
      </c>
      <c r="G354" s="5">
        <f t="shared" si="5"/>
        <v>540</v>
      </c>
    </row>
    <row r="355">
      <c r="A355" s="60" t="s">
        <v>824</v>
      </c>
      <c r="B355" s="60" t="s">
        <v>825</v>
      </c>
      <c r="C355" s="4" t="s">
        <v>77</v>
      </c>
      <c r="D355" s="4" t="s">
        <v>47</v>
      </c>
      <c r="E355" s="63">
        <v>117.04</v>
      </c>
      <c r="G355" s="5">
        <f t="shared" si="5"/>
        <v>117.04</v>
      </c>
    </row>
    <row r="356">
      <c r="A356" s="60" t="s">
        <v>826</v>
      </c>
      <c r="B356" s="60" t="s">
        <v>827</v>
      </c>
      <c r="C356" s="4" t="s">
        <v>77</v>
      </c>
      <c r="D356" s="4" t="s">
        <v>47</v>
      </c>
      <c r="E356" s="61">
        <v>16800.0</v>
      </c>
      <c r="G356" s="62">
        <f t="shared" si="5"/>
        <v>16800</v>
      </c>
    </row>
    <row r="357">
      <c r="A357" s="60" t="s">
        <v>828</v>
      </c>
      <c r="B357" s="60" t="s">
        <v>829</v>
      </c>
      <c r="C357" s="4" t="s">
        <v>77</v>
      </c>
      <c r="D357" s="4" t="s">
        <v>47</v>
      </c>
      <c r="E357" s="61">
        <v>6565.87</v>
      </c>
      <c r="G357" s="62">
        <f t="shared" si="5"/>
        <v>6565.87</v>
      </c>
    </row>
    <row r="358">
      <c r="A358" s="60" t="s">
        <v>830</v>
      </c>
      <c r="B358" s="60" t="s">
        <v>831</v>
      </c>
      <c r="C358" s="4" t="s">
        <v>77</v>
      </c>
      <c r="D358" s="4" t="s">
        <v>47</v>
      </c>
      <c r="E358" s="61">
        <v>2701.0</v>
      </c>
      <c r="G358" s="62">
        <f t="shared" si="5"/>
        <v>2701</v>
      </c>
    </row>
    <row r="359">
      <c r="A359" s="60" t="s">
        <v>832</v>
      </c>
      <c r="B359" s="60" t="s">
        <v>833</v>
      </c>
      <c r="C359" s="4" t="s">
        <v>77</v>
      </c>
      <c r="D359" s="4" t="s">
        <v>47</v>
      </c>
      <c r="E359" s="61">
        <v>4121.9</v>
      </c>
      <c r="G359" s="62">
        <f t="shared" si="5"/>
        <v>4121.9</v>
      </c>
    </row>
    <row r="360">
      <c r="A360" s="60" t="s">
        <v>834</v>
      </c>
      <c r="B360" s="60" t="s">
        <v>835</v>
      </c>
      <c r="C360" s="4" t="s">
        <v>77</v>
      </c>
      <c r="D360" s="4" t="s">
        <v>47</v>
      </c>
      <c r="E360" s="61">
        <v>9195.0</v>
      </c>
      <c r="G360" s="62">
        <f t="shared" si="5"/>
        <v>9195</v>
      </c>
    </row>
    <row r="361">
      <c r="A361" s="60" t="s">
        <v>836</v>
      </c>
      <c r="B361" s="60" t="s">
        <v>837</v>
      </c>
      <c r="C361" s="4" t="s">
        <v>77</v>
      </c>
      <c r="D361" s="4" t="s">
        <v>47</v>
      </c>
      <c r="E361" s="61">
        <v>8016.0</v>
      </c>
      <c r="G361" s="62">
        <f t="shared" si="5"/>
        <v>8016</v>
      </c>
    </row>
    <row r="362">
      <c r="A362" s="60" t="s">
        <v>838</v>
      </c>
      <c r="B362" s="60" t="s">
        <v>839</v>
      </c>
      <c r="C362" s="4" t="s">
        <v>77</v>
      </c>
      <c r="D362" s="4" t="s">
        <v>47</v>
      </c>
      <c r="E362" s="61">
        <v>4099.27</v>
      </c>
      <c r="G362" s="62">
        <f t="shared" si="5"/>
        <v>4099.27</v>
      </c>
    </row>
    <row r="363">
      <c r="A363" s="60" t="s">
        <v>840</v>
      </c>
      <c r="B363" s="60" t="s">
        <v>841</v>
      </c>
      <c r="C363" s="4" t="s">
        <v>77</v>
      </c>
      <c r="D363" s="4" t="s">
        <v>47</v>
      </c>
      <c r="E363" s="61">
        <v>4379.0</v>
      </c>
      <c r="G363" s="62">
        <f t="shared" si="5"/>
        <v>4379</v>
      </c>
    </row>
    <row r="364">
      <c r="A364" s="60" t="s">
        <v>842</v>
      </c>
      <c r="B364" s="60" t="s">
        <v>843</v>
      </c>
      <c r="C364" s="4" t="s">
        <v>77</v>
      </c>
      <c r="D364" s="4" t="s">
        <v>47</v>
      </c>
      <c r="E364" s="61">
        <v>1092.0</v>
      </c>
      <c r="G364" s="62">
        <f t="shared" si="5"/>
        <v>1092</v>
      </c>
    </row>
    <row r="365">
      <c r="A365" s="60" t="s">
        <v>844</v>
      </c>
      <c r="B365" s="60" t="s">
        <v>845</v>
      </c>
      <c r="C365" s="4" t="s">
        <v>77</v>
      </c>
      <c r="D365" s="4" t="s">
        <v>47</v>
      </c>
      <c r="E365" s="61">
        <v>47371.86</v>
      </c>
      <c r="G365" s="62">
        <f t="shared" si="5"/>
        <v>47371.86</v>
      </c>
    </row>
    <row r="366">
      <c r="A366" s="60" t="s">
        <v>846</v>
      </c>
      <c r="B366" s="60" t="s">
        <v>847</v>
      </c>
      <c r="C366" s="4" t="s">
        <v>77</v>
      </c>
      <c r="D366" s="4" t="s">
        <v>47</v>
      </c>
      <c r="E366" s="61">
        <v>2701.0</v>
      </c>
      <c r="G366" s="62">
        <f t="shared" si="5"/>
        <v>2701</v>
      </c>
    </row>
    <row r="367">
      <c r="A367" s="60" t="s">
        <v>848</v>
      </c>
      <c r="B367" s="60" t="s">
        <v>849</v>
      </c>
      <c r="C367" s="4" t="s">
        <v>85</v>
      </c>
      <c r="D367" s="4" t="s">
        <v>50</v>
      </c>
      <c r="E367" s="63">
        <v>766.02</v>
      </c>
      <c r="G367" s="5">
        <f t="shared" si="5"/>
        <v>766.02</v>
      </c>
    </row>
    <row r="368">
      <c r="A368" s="60" t="s">
        <v>850</v>
      </c>
      <c r="B368" s="60" t="s">
        <v>851</v>
      </c>
      <c r="C368" s="4" t="s">
        <v>85</v>
      </c>
      <c r="D368" s="4" t="s">
        <v>50</v>
      </c>
      <c r="E368" s="63">
        <v>116.02</v>
      </c>
      <c r="G368" s="5">
        <f t="shared" si="5"/>
        <v>116.02</v>
      </c>
    </row>
    <row r="369">
      <c r="A369" s="60" t="s">
        <v>852</v>
      </c>
      <c r="B369" s="60" t="s">
        <v>853</v>
      </c>
      <c r="C369" s="4" t="s">
        <v>85</v>
      </c>
      <c r="D369" s="4" t="s">
        <v>50</v>
      </c>
      <c r="E369" s="63">
        <v>511.03</v>
      </c>
      <c r="G369" s="5">
        <f t="shared" si="5"/>
        <v>511.03</v>
      </c>
    </row>
    <row r="370">
      <c r="A370" s="60" t="s">
        <v>854</v>
      </c>
      <c r="B370" s="60" t="s">
        <v>855</v>
      </c>
      <c r="C370" s="4" t="s">
        <v>85</v>
      </c>
      <c r="D370" s="4" t="s">
        <v>50</v>
      </c>
      <c r="E370" s="63">
        <v>500.0</v>
      </c>
      <c r="G370" s="5">
        <f t="shared" si="5"/>
        <v>500</v>
      </c>
    </row>
    <row r="371">
      <c r="A371" s="60" t="s">
        <v>856</v>
      </c>
      <c r="B371" s="60" t="s">
        <v>857</v>
      </c>
      <c r="C371" s="4" t="s">
        <v>85</v>
      </c>
      <c r="D371" s="4" t="s">
        <v>50</v>
      </c>
      <c r="E371" s="63">
        <v>300.02</v>
      </c>
      <c r="G371" s="5">
        <f t="shared" si="5"/>
        <v>300.02</v>
      </c>
    </row>
    <row r="372">
      <c r="A372" s="60" t="s">
        <v>858</v>
      </c>
      <c r="B372" s="60" t="s">
        <v>859</v>
      </c>
      <c r="C372" s="4" t="s">
        <v>85</v>
      </c>
      <c r="D372" s="4" t="s">
        <v>50</v>
      </c>
      <c r="E372" s="63">
        <v>460.03</v>
      </c>
      <c r="G372" s="5">
        <f t="shared" si="5"/>
        <v>460.03</v>
      </c>
    </row>
    <row r="373">
      <c r="A373" s="60" t="s">
        <v>860</v>
      </c>
      <c r="B373" s="60" t="s">
        <v>861</v>
      </c>
      <c r="C373" s="4" t="s">
        <v>85</v>
      </c>
      <c r="D373" s="4" t="s">
        <v>50</v>
      </c>
      <c r="E373" s="63">
        <v>197.84</v>
      </c>
      <c r="G373" s="5">
        <f t="shared" si="5"/>
        <v>197.84</v>
      </c>
    </row>
    <row r="374">
      <c r="A374" s="60" t="s">
        <v>862</v>
      </c>
      <c r="B374" s="60" t="s">
        <v>863</v>
      </c>
      <c r="C374" s="4" t="s">
        <v>85</v>
      </c>
      <c r="D374" s="4" t="s">
        <v>50</v>
      </c>
      <c r="E374" s="63">
        <v>150.0</v>
      </c>
      <c r="G374" s="5">
        <f t="shared" si="5"/>
        <v>150</v>
      </c>
    </row>
    <row r="375">
      <c r="A375" s="60" t="s">
        <v>864</v>
      </c>
      <c r="B375" s="60" t="s">
        <v>865</v>
      </c>
      <c r="C375" s="4" t="s">
        <v>85</v>
      </c>
      <c r="D375" s="4" t="s">
        <v>50</v>
      </c>
      <c r="E375" s="63">
        <v>199.91</v>
      </c>
      <c r="G375" s="5">
        <f t="shared" si="5"/>
        <v>199.91</v>
      </c>
    </row>
    <row r="376">
      <c r="A376" s="60" t="s">
        <v>866</v>
      </c>
      <c r="B376" s="60" t="s">
        <v>867</v>
      </c>
      <c r="C376" s="4" t="s">
        <v>85</v>
      </c>
      <c r="D376" s="4" t="s">
        <v>50</v>
      </c>
      <c r="E376" s="63">
        <v>199.91</v>
      </c>
      <c r="G376" s="5">
        <f t="shared" si="5"/>
        <v>199.91</v>
      </c>
    </row>
    <row r="377">
      <c r="A377" s="60" t="s">
        <v>868</v>
      </c>
      <c r="B377" s="60" t="s">
        <v>869</v>
      </c>
      <c r="C377" s="4" t="s">
        <v>85</v>
      </c>
      <c r="D377" s="4" t="s">
        <v>50</v>
      </c>
      <c r="E377" s="63">
        <v>482.3</v>
      </c>
      <c r="G377" s="5">
        <f t="shared" si="5"/>
        <v>482.3</v>
      </c>
    </row>
    <row r="378">
      <c r="A378" s="60" t="s">
        <v>870</v>
      </c>
      <c r="B378" s="60" t="s">
        <v>871</v>
      </c>
      <c r="C378" s="4" t="s">
        <v>85</v>
      </c>
      <c r="D378" s="4" t="s">
        <v>50</v>
      </c>
      <c r="E378" s="63">
        <v>482.3</v>
      </c>
      <c r="G378" s="5">
        <f t="shared" si="5"/>
        <v>482.3</v>
      </c>
    </row>
    <row r="379">
      <c r="A379" s="60" t="s">
        <v>872</v>
      </c>
      <c r="B379" s="60" t="s">
        <v>873</v>
      </c>
      <c r="C379" s="4" t="s">
        <v>85</v>
      </c>
      <c r="D379" s="4" t="s">
        <v>50</v>
      </c>
      <c r="E379" s="63">
        <v>562.02</v>
      </c>
      <c r="G379" s="5">
        <f t="shared" si="5"/>
        <v>562.02</v>
      </c>
    </row>
    <row r="380">
      <c r="A380" s="60" t="s">
        <v>874</v>
      </c>
      <c r="B380" s="60" t="s">
        <v>875</v>
      </c>
      <c r="C380" s="4" t="s">
        <v>85</v>
      </c>
      <c r="D380" s="4" t="s">
        <v>50</v>
      </c>
      <c r="E380" s="63">
        <v>242.98</v>
      </c>
      <c r="G380" s="5">
        <f t="shared" si="5"/>
        <v>242.98</v>
      </c>
    </row>
    <row r="381">
      <c r="A381" s="60" t="s">
        <v>876</v>
      </c>
      <c r="B381" s="60" t="s">
        <v>877</v>
      </c>
      <c r="C381" s="4" t="s">
        <v>85</v>
      </c>
      <c r="D381" s="4" t="s">
        <v>50</v>
      </c>
      <c r="E381" s="63">
        <v>600.0</v>
      </c>
      <c r="G381" s="5">
        <f t="shared" si="5"/>
        <v>600</v>
      </c>
    </row>
    <row r="382">
      <c r="A382" s="60" t="s">
        <v>878</v>
      </c>
      <c r="B382" s="60" t="s">
        <v>879</v>
      </c>
      <c r="C382" s="4" t="s">
        <v>85</v>
      </c>
      <c r="D382" s="4" t="s">
        <v>50</v>
      </c>
      <c r="E382" s="63">
        <v>482.3</v>
      </c>
      <c r="G382" s="5">
        <f t="shared" si="5"/>
        <v>482.3</v>
      </c>
    </row>
    <row r="383">
      <c r="A383" s="60" t="s">
        <v>880</v>
      </c>
      <c r="B383" s="60" t="s">
        <v>881</v>
      </c>
      <c r="C383" s="4" t="s">
        <v>85</v>
      </c>
      <c r="D383" s="4" t="s">
        <v>50</v>
      </c>
      <c r="E383" s="63">
        <v>546.04</v>
      </c>
      <c r="G383" s="5">
        <f t="shared" si="5"/>
        <v>546.04</v>
      </c>
    </row>
    <row r="384">
      <c r="A384" s="60" t="s">
        <v>882</v>
      </c>
      <c r="B384" s="60" t="s">
        <v>883</v>
      </c>
      <c r="C384" s="4" t="s">
        <v>85</v>
      </c>
      <c r="D384" s="4" t="s">
        <v>50</v>
      </c>
      <c r="E384" s="63">
        <v>276.0</v>
      </c>
      <c r="G384" s="5">
        <f t="shared" si="5"/>
        <v>276</v>
      </c>
    </row>
    <row r="385">
      <c r="A385" s="60" t="s">
        <v>884</v>
      </c>
      <c r="B385" s="60" t="s">
        <v>885</v>
      </c>
      <c r="C385" s="4" t="s">
        <v>85</v>
      </c>
      <c r="D385" s="4" t="s">
        <v>50</v>
      </c>
      <c r="E385" s="63">
        <v>192.86</v>
      </c>
      <c r="G385" s="5">
        <f t="shared" si="5"/>
        <v>192.86</v>
      </c>
    </row>
    <row r="386">
      <c r="A386" s="60" t="s">
        <v>886</v>
      </c>
      <c r="B386" s="60" t="s">
        <v>887</v>
      </c>
      <c r="C386" s="4" t="s">
        <v>85</v>
      </c>
      <c r="D386" s="4" t="s">
        <v>50</v>
      </c>
      <c r="E386" s="63">
        <v>300.0</v>
      </c>
      <c r="G386" s="5">
        <f t="shared" si="5"/>
        <v>300</v>
      </c>
    </row>
    <row r="387">
      <c r="A387" s="60" t="s">
        <v>888</v>
      </c>
      <c r="B387" s="60" t="s">
        <v>889</v>
      </c>
      <c r="C387" s="4" t="s">
        <v>85</v>
      </c>
      <c r="D387" s="4" t="s">
        <v>50</v>
      </c>
      <c r="E387" s="63">
        <v>926.9</v>
      </c>
      <c r="G387" s="5">
        <f t="shared" si="5"/>
        <v>926.9</v>
      </c>
    </row>
    <row r="388">
      <c r="A388" s="60" t="s">
        <v>890</v>
      </c>
      <c r="B388" s="60" t="s">
        <v>891</v>
      </c>
      <c r="C388" s="4" t="s">
        <v>85</v>
      </c>
      <c r="D388" s="4" t="s">
        <v>50</v>
      </c>
      <c r="E388" s="63">
        <v>1328.03</v>
      </c>
      <c r="G388" s="5">
        <f t="shared" si="5"/>
        <v>1328.03</v>
      </c>
    </row>
    <row r="389">
      <c r="A389" s="60" t="s">
        <v>892</v>
      </c>
      <c r="B389" s="60" t="s">
        <v>893</v>
      </c>
      <c r="C389" s="4" t="s">
        <v>85</v>
      </c>
      <c r="D389" s="4" t="s">
        <v>50</v>
      </c>
      <c r="E389" s="63">
        <v>1116.65</v>
      </c>
      <c r="G389" s="5">
        <f t="shared" si="5"/>
        <v>1116.65</v>
      </c>
    </row>
    <row r="390">
      <c r="A390" s="60" t="s">
        <v>894</v>
      </c>
      <c r="B390" s="60" t="s">
        <v>895</v>
      </c>
      <c r="C390" s="4" t="s">
        <v>85</v>
      </c>
      <c r="D390" s="4" t="s">
        <v>50</v>
      </c>
      <c r="E390" s="63">
        <v>273.7</v>
      </c>
      <c r="G390" s="5">
        <f t="shared" si="5"/>
        <v>273.7</v>
      </c>
    </row>
    <row r="391">
      <c r="A391" s="60" t="s">
        <v>896</v>
      </c>
      <c r="B391" s="60" t="s">
        <v>897</v>
      </c>
      <c r="C391" s="4" t="s">
        <v>85</v>
      </c>
      <c r="D391" s="4" t="s">
        <v>50</v>
      </c>
      <c r="E391" s="63">
        <v>636.93</v>
      </c>
      <c r="G391" s="5">
        <f t="shared" si="5"/>
        <v>636.93</v>
      </c>
    </row>
    <row r="392">
      <c r="A392" s="60" t="s">
        <v>898</v>
      </c>
      <c r="B392" s="60" t="s">
        <v>899</v>
      </c>
      <c r="C392" s="4" t="s">
        <v>85</v>
      </c>
      <c r="D392" s="4" t="s">
        <v>50</v>
      </c>
      <c r="E392" s="63">
        <v>1134.05</v>
      </c>
      <c r="G392" s="5">
        <f t="shared" si="5"/>
        <v>1134.05</v>
      </c>
    </row>
    <row r="393">
      <c r="A393" s="60" t="s">
        <v>900</v>
      </c>
      <c r="B393" s="60" t="s">
        <v>901</v>
      </c>
      <c r="C393" s="4" t="s">
        <v>85</v>
      </c>
      <c r="D393" s="4" t="s">
        <v>50</v>
      </c>
      <c r="E393" s="63">
        <v>100.0</v>
      </c>
      <c r="G393" s="5">
        <f t="shared" si="5"/>
        <v>100</v>
      </c>
    </row>
    <row r="394">
      <c r="A394" s="60" t="s">
        <v>902</v>
      </c>
      <c r="B394" s="60" t="s">
        <v>903</v>
      </c>
      <c r="C394" s="4" t="s">
        <v>85</v>
      </c>
      <c r="D394" s="4" t="s">
        <v>50</v>
      </c>
      <c r="E394" s="63">
        <v>68.98</v>
      </c>
      <c r="G394" s="5">
        <f t="shared" si="5"/>
        <v>68.98</v>
      </c>
    </row>
    <row r="395">
      <c r="A395" s="60" t="s">
        <v>904</v>
      </c>
      <c r="B395" s="60" t="s">
        <v>905</v>
      </c>
      <c r="C395" s="4" t="s">
        <v>85</v>
      </c>
      <c r="D395" s="4" t="s">
        <v>50</v>
      </c>
      <c r="E395" s="63">
        <v>1144.79</v>
      </c>
      <c r="G395" s="5">
        <f t="shared" si="5"/>
        <v>1144.79</v>
      </c>
    </row>
    <row r="396">
      <c r="A396" s="60" t="s">
        <v>906</v>
      </c>
      <c r="B396" s="60" t="s">
        <v>907</v>
      </c>
      <c r="C396" s="4" t="s">
        <v>85</v>
      </c>
      <c r="D396" s="4" t="s">
        <v>50</v>
      </c>
      <c r="E396" s="63">
        <v>1267.01</v>
      </c>
      <c r="G396" s="5">
        <f t="shared" si="5"/>
        <v>1267.01</v>
      </c>
    </row>
    <row r="397">
      <c r="A397" s="60" t="s">
        <v>908</v>
      </c>
      <c r="B397" s="60" t="s">
        <v>909</v>
      </c>
      <c r="C397" s="4" t="s">
        <v>85</v>
      </c>
      <c r="D397" s="4" t="s">
        <v>50</v>
      </c>
      <c r="E397" s="63">
        <v>320.0</v>
      </c>
      <c r="G397" s="5">
        <f t="shared" si="5"/>
        <v>320</v>
      </c>
    </row>
    <row r="398">
      <c r="A398" s="60" t="s">
        <v>910</v>
      </c>
      <c r="B398" s="60" t="s">
        <v>911</v>
      </c>
      <c r="C398" s="4" t="s">
        <v>85</v>
      </c>
      <c r="D398" s="4" t="s">
        <v>50</v>
      </c>
      <c r="E398" s="63">
        <v>425.02</v>
      </c>
      <c r="G398" s="5">
        <f t="shared" si="5"/>
        <v>425.02</v>
      </c>
    </row>
    <row r="399">
      <c r="A399" s="60" t="s">
        <v>912</v>
      </c>
      <c r="B399" s="60" t="s">
        <v>913</v>
      </c>
      <c r="C399" s="4" t="s">
        <v>85</v>
      </c>
      <c r="D399" s="4" t="s">
        <v>50</v>
      </c>
      <c r="E399" s="63">
        <v>428.95</v>
      </c>
      <c r="G399" s="5">
        <f t="shared" si="5"/>
        <v>428.95</v>
      </c>
    </row>
    <row r="400">
      <c r="A400" s="60" t="s">
        <v>914</v>
      </c>
      <c r="B400" s="60" t="s">
        <v>915</v>
      </c>
      <c r="C400" s="4" t="s">
        <v>85</v>
      </c>
      <c r="D400" s="4" t="s">
        <v>50</v>
      </c>
      <c r="E400" s="63">
        <v>412.0</v>
      </c>
      <c r="G400" s="5">
        <f t="shared" si="5"/>
        <v>412</v>
      </c>
    </row>
    <row r="401">
      <c r="A401" s="60" t="s">
        <v>916</v>
      </c>
      <c r="B401" s="60" t="s">
        <v>917</v>
      </c>
      <c r="C401" s="4" t="s">
        <v>85</v>
      </c>
      <c r="D401" s="4" t="s">
        <v>50</v>
      </c>
      <c r="E401" s="63">
        <v>109.0</v>
      </c>
      <c r="G401" s="5">
        <f t="shared" si="5"/>
        <v>109</v>
      </c>
    </row>
    <row r="402">
      <c r="A402" s="60" t="s">
        <v>918</v>
      </c>
      <c r="B402" s="60" t="s">
        <v>919</v>
      </c>
      <c r="C402" s="4" t="s">
        <v>73</v>
      </c>
      <c r="D402" s="4" t="s">
        <v>45</v>
      </c>
      <c r="E402" s="63">
        <v>50.99</v>
      </c>
      <c r="G402" s="5">
        <f t="shared" si="5"/>
        <v>50.99</v>
      </c>
    </row>
    <row r="403">
      <c r="A403" s="60" t="s">
        <v>920</v>
      </c>
      <c r="B403" s="60" t="s">
        <v>921</v>
      </c>
      <c r="C403" s="4" t="s">
        <v>73</v>
      </c>
      <c r="D403" s="4" t="s">
        <v>45</v>
      </c>
      <c r="E403" s="63">
        <v>125.97</v>
      </c>
      <c r="G403" s="5">
        <f t="shared" si="5"/>
        <v>125.97</v>
      </c>
    </row>
    <row r="404">
      <c r="A404" s="60" t="s">
        <v>922</v>
      </c>
      <c r="B404" s="60" t="s">
        <v>923</v>
      </c>
      <c r="C404" s="4" t="s">
        <v>73</v>
      </c>
      <c r="D404" s="4" t="s">
        <v>45</v>
      </c>
      <c r="E404" s="63">
        <v>217.97</v>
      </c>
      <c r="G404" s="5">
        <f t="shared" si="5"/>
        <v>217.97</v>
      </c>
    </row>
    <row r="405">
      <c r="A405" s="60" t="s">
        <v>924</v>
      </c>
      <c r="B405" s="60" t="s">
        <v>925</v>
      </c>
      <c r="C405" s="4" t="s">
        <v>73</v>
      </c>
      <c r="D405" s="4" t="s">
        <v>45</v>
      </c>
      <c r="E405" s="63">
        <v>108.98</v>
      </c>
      <c r="G405" s="5">
        <f t="shared" si="5"/>
        <v>108.98</v>
      </c>
    </row>
    <row r="406">
      <c r="A406" s="60" t="s">
        <v>926</v>
      </c>
      <c r="B406" s="60" t="s">
        <v>927</v>
      </c>
      <c r="C406" s="4" t="s">
        <v>73</v>
      </c>
      <c r="D406" s="4" t="s">
        <v>45</v>
      </c>
      <c r="E406" s="63">
        <v>108.98</v>
      </c>
      <c r="G406" s="5">
        <f t="shared" si="5"/>
        <v>108.98</v>
      </c>
    </row>
    <row r="407">
      <c r="A407" s="60" t="s">
        <v>928</v>
      </c>
      <c r="B407" s="60" t="s">
        <v>929</v>
      </c>
      <c r="C407" s="4" t="s">
        <v>73</v>
      </c>
      <c r="D407" s="4" t="s">
        <v>45</v>
      </c>
      <c r="E407" s="63">
        <v>108.98</v>
      </c>
      <c r="G407" s="5">
        <f t="shared" si="5"/>
        <v>108.98</v>
      </c>
    </row>
    <row r="408">
      <c r="A408" s="60" t="s">
        <v>930</v>
      </c>
      <c r="B408" s="60" t="s">
        <v>931</v>
      </c>
      <c r="C408" s="4" t="s">
        <v>73</v>
      </c>
      <c r="D408" s="4" t="s">
        <v>45</v>
      </c>
      <c r="E408" s="63">
        <v>108.98</v>
      </c>
      <c r="G408" s="5">
        <f t="shared" si="5"/>
        <v>108.98</v>
      </c>
    </row>
    <row r="409">
      <c r="A409" s="60" t="s">
        <v>932</v>
      </c>
      <c r="B409" s="60" t="s">
        <v>933</v>
      </c>
      <c r="C409" s="4" t="s">
        <v>73</v>
      </c>
      <c r="D409" s="4" t="s">
        <v>45</v>
      </c>
      <c r="E409" s="63">
        <v>108.98</v>
      </c>
      <c r="G409" s="5">
        <f t="shared" si="5"/>
        <v>108.98</v>
      </c>
    </row>
    <row r="410">
      <c r="A410" s="60" t="s">
        <v>934</v>
      </c>
      <c r="B410" s="60" t="s">
        <v>935</v>
      </c>
      <c r="C410" s="4" t="s">
        <v>73</v>
      </c>
      <c r="D410" s="4" t="s">
        <v>45</v>
      </c>
      <c r="E410" s="63">
        <v>522.0</v>
      </c>
      <c r="G410" s="5">
        <f t="shared" si="5"/>
        <v>522</v>
      </c>
    </row>
    <row r="411">
      <c r="A411" s="60" t="s">
        <v>936</v>
      </c>
      <c r="B411" s="60" t="s">
        <v>937</v>
      </c>
      <c r="C411" s="4" t="s">
        <v>73</v>
      </c>
      <c r="D411" s="4" t="s">
        <v>45</v>
      </c>
      <c r="E411" s="63">
        <v>108.98</v>
      </c>
      <c r="G411" s="5">
        <f t="shared" si="5"/>
        <v>108.98</v>
      </c>
    </row>
    <row r="412">
      <c r="A412" s="60" t="s">
        <v>938</v>
      </c>
      <c r="B412" s="60" t="s">
        <v>939</v>
      </c>
      <c r="C412" s="4" t="s">
        <v>73</v>
      </c>
      <c r="D412" s="4" t="s">
        <v>45</v>
      </c>
      <c r="E412" s="63">
        <v>429.93</v>
      </c>
      <c r="G412" s="5">
        <f t="shared" si="5"/>
        <v>429.93</v>
      </c>
    </row>
    <row r="413">
      <c r="A413" s="60" t="s">
        <v>940</v>
      </c>
      <c r="B413" s="60" t="s">
        <v>941</v>
      </c>
      <c r="C413" s="4" t="s">
        <v>73</v>
      </c>
      <c r="D413" s="4" t="s">
        <v>45</v>
      </c>
      <c r="E413" s="61">
        <v>1529.91</v>
      </c>
      <c r="G413" s="62">
        <f t="shared" si="5"/>
        <v>1529.91</v>
      </c>
    </row>
    <row r="414">
      <c r="A414" s="60" t="s">
        <v>942</v>
      </c>
      <c r="B414" s="60" t="s">
        <v>943</v>
      </c>
      <c r="C414" s="4" t="s">
        <v>73</v>
      </c>
      <c r="D414" s="4" t="s">
        <v>45</v>
      </c>
      <c r="E414" s="63">
        <v>86.96</v>
      </c>
      <c r="G414" s="5">
        <f t="shared" si="5"/>
        <v>86.96</v>
      </c>
    </row>
    <row r="415">
      <c r="A415" s="60" t="s">
        <v>944</v>
      </c>
      <c r="B415" s="60" t="s">
        <v>945</v>
      </c>
      <c r="C415" s="4" t="s">
        <v>73</v>
      </c>
      <c r="D415" s="4" t="s">
        <v>45</v>
      </c>
      <c r="E415" s="63">
        <v>176.97</v>
      </c>
      <c r="G415" s="5">
        <f t="shared" si="5"/>
        <v>176.97</v>
      </c>
    </row>
    <row r="416">
      <c r="A416" s="60" t="s">
        <v>946</v>
      </c>
      <c r="B416" s="60" t="s">
        <v>947</v>
      </c>
      <c r="C416" s="4" t="s">
        <v>73</v>
      </c>
      <c r="D416" s="4" t="s">
        <v>45</v>
      </c>
      <c r="E416" s="63">
        <v>159.97</v>
      </c>
      <c r="G416" s="5">
        <f t="shared" si="5"/>
        <v>159.97</v>
      </c>
    </row>
    <row r="417">
      <c r="A417" s="60" t="s">
        <v>948</v>
      </c>
      <c r="B417" s="60" t="s">
        <v>949</v>
      </c>
      <c r="C417" s="4" t="s">
        <v>73</v>
      </c>
      <c r="D417" s="4" t="s">
        <v>45</v>
      </c>
      <c r="E417" s="63">
        <v>159.97</v>
      </c>
      <c r="G417" s="5">
        <f t="shared" si="5"/>
        <v>159.97</v>
      </c>
    </row>
    <row r="418">
      <c r="A418" s="60" t="s">
        <v>950</v>
      </c>
      <c r="B418" s="60" t="s">
        <v>951</v>
      </c>
      <c r="C418" s="4" t="s">
        <v>73</v>
      </c>
      <c r="D418" s="4" t="s">
        <v>45</v>
      </c>
      <c r="E418" s="63">
        <v>142.98</v>
      </c>
      <c r="G418" s="5">
        <f t="shared" si="5"/>
        <v>142.98</v>
      </c>
    </row>
    <row r="419">
      <c r="A419" s="60" t="s">
        <v>952</v>
      </c>
      <c r="B419" s="60" t="s">
        <v>953</v>
      </c>
      <c r="C419" s="4" t="s">
        <v>80</v>
      </c>
      <c r="D419" s="4" t="s">
        <v>46</v>
      </c>
      <c r="E419" s="63">
        <v>776.0</v>
      </c>
      <c r="G419" s="5">
        <f t="shared" si="5"/>
        <v>776</v>
      </c>
    </row>
    <row r="420">
      <c r="A420" s="60" t="s">
        <v>954</v>
      </c>
      <c r="B420" s="60" t="s">
        <v>955</v>
      </c>
      <c r="C420" s="4" t="s">
        <v>80</v>
      </c>
      <c r="D420" s="4" t="s">
        <v>46</v>
      </c>
      <c r="E420" s="61">
        <v>2344.03</v>
      </c>
      <c r="G420" s="62">
        <f t="shared" si="5"/>
        <v>2344.03</v>
      </c>
    </row>
    <row r="421">
      <c r="A421" s="60" t="s">
        <v>956</v>
      </c>
      <c r="B421" s="60" t="s">
        <v>957</v>
      </c>
      <c r="C421" s="4" t="s">
        <v>80</v>
      </c>
      <c r="D421" s="4" t="s">
        <v>46</v>
      </c>
      <c r="E421" s="61">
        <v>1210.05</v>
      </c>
      <c r="G421" s="62">
        <f t="shared" si="5"/>
        <v>1210.05</v>
      </c>
    </row>
    <row r="422">
      <c r="A422" s="60" t="s">
        <v>958</v>
      </c>
      <c r="B422" s="60" t="s">
        <v>959</v>
      </c>
      <c r="C422" s="4" t="s">
        <v>80</v>
      </c>
      <c r="D422" s="4" t="s">
        <v>46</v>
      </c>
      <c r="E422" s="61">
        <v>1016.05</v>
      </c>
      <c r="G422" s="62">
        <f t="shared" si="5"/>
        <v>1016.05</v>
      </c>
    </row>
    <row r="423">
      <c r="A423" s="60" t="s">
        <v>1453</v>
      </c>
      <c r="B423" s="60" t="s">
        <v>1454</v>
      </c>
      <c r="C423" s="4" t="s">
        <v>80</v>
      </c>
      <c r="D423" s="4" t="s">
        <v>46</v>
      </c>
      <c r="E423" s="63">
        <v>831.98</v>
      </c>
      <c r="G423" s="5">
        <f t="shared" si="5"/>
        <v>831.98</v>
      </c>
    </row>
    <row r="424">
      <c r="A424" s="60" t="s">
        <v>960</v>
      </c>
      <c r="B424" s="60" t="s">
        <v>961</v>
      </c>
      <c r="C424" s="4" t="s">
        <v>80</v>
      </c>
      <c r="D424" s="4" t="s">
        <v>46</v>
      </c>
      <c r="E424" s="61">
        <v>12224.88</v>
      </c>
      <c r="G424" s="62">
        <f t="shared" si="5"/>
        <v>12224.88</v>
      </c>
    </row>
    <row r="425">
      <c r="A425" s="60" t="s">
        <v>962</v>
      </c>
      <c r="B425" s="60" t="s">
        <v>963</v>
      </c>
      <c r="C425" s="4" t="s">
        <v>80</v>
      </c>
      <c r="D425" s="4" t="s">
        <v>46</v>
      </c>
      <c r="E425" s="61">
        <v>5030.0</v>
      </c>
      <c r="G425" s="62">
        <f t="shared" si="5"/>
        <v>5030</v>
      </c>
    </row>
    <row r="426">
      <c r="A426" s="60" t="s">
        <v>964</v>
      </c>
      <c r="B426" s="60" t="s">
        <v>965</v>
      </c>
      <c r="C426" s="4" t="s">
        <v>80</v>
      </c>
      <c r="D426" s="4" t="s">
        <v>46</v>
      </c>
      <c r="E426" s="63">
        <v>199.98</v>
      </c>
      <c r="G426" s="5">
        <f t="shared" si="5"/>
        <v>199.98</v>
      </c>
    </row>
    <row r="427">
      <c r="A427" s="60" t="s">
        <v>966</v>
      </c>
      <c r="B427" s="60" t="s">
        <v>967</v>
      </c>
      <c r="C427" s="4" t="s">
        <v>80</v>
      </c>
      <c r="D427" s="4" t="s">
        <v>46</v>
      </c>
      <c r="E427" s="61">
        <v>2134.81</v>
      </c>
      <c r="G427" s="62">
        <f t="shared" si="5"/>
        <v>2134.81</v>
      </c>
    </row>
    <row r="428">
      <c r="A428" s="60" t="s">
        <v>968</v>
      </c>
      <c r="B428" s="60" t="s">
        <v>969</v>
      </c>
      <c r="C428" s="4" t="s">
        <v>80</v>
      </c>
      <c r="D428" s="4" t="s">
        <v>46</v>
      </c>
      <c r="E428" s="63">
        <v>730.02</v>
      </c>
      <c r="G428" s="5">
        <f t="shared" si="5"/>
        <v>730.02</v>
      </c>
    </row>
    <row r="429">
      <c r="A429" s="60" t="s">
        <v>970</v>
      </c>
      <c r="B429" s="60" t="s">
        <v>971</v>
      </c>
      <c r="C429" s="4" t="s">
        <v>80</v>
      </c>
      <c r="D429" s="4" t="s">
        <v>46</v>
      </c>
      <c r="E429" s="63">
        <v>938.09</v>
      </c>
      <c r="G429" s="5">
        <f t="shared" si="5"/>
        <v>938.09</v>
      </c>
    </row>
    <row r="430">
      <c r="A430" s="60" t="s">
        <v>972</v>
      </c>
      <c r="B430" s="60" t="s">
        <v>973</v>
      </c>
      <c r="C430" s="4" t="s">
        <v>80</v>
      </c>
      <c r="D430" s="4" t="s">
        <v>46</v>
      </c>
      <c r="E430" s="61">
        <v>2283.98</v>
      </c>
      <c r="G430" s="62">
        <f t="shared" si="5"/>
        <v>2283.98</v>
      </c>
    </row>
    <row r="431">
      <c r="A431" s="60" t="s">
        <v>974</v>
      </c>
      <c r="B431" s="60" t="s">
        <v>975</v>
      </c>
      <c r="C431" s="4" t="s">
        <v>80</v>
      </c>
      <c r="D431" s="4" t="s">
        <v>46</v>
      </c>
      <c r="E431" s="63">
        <v>389.98</v>
      </c>
      <c r="G431" s="5">
        <f t="shared" si="5"/>
        <v>389.98</v>
      </c>
    </row>
    <row r="432">
      <c r="A432" s="60" t="s">
        <v>1455</v>
      </c>
      <c r="B432" s="60" t="s">
        <v>1456</v>
      </c>
      <c r="C432" s="4" t="s">
        <v>80</v>
      </c>
      <c r="D432" s="4" t="s">
        <v>46</v>
      </c>
      <c r="E432" s="61">
        <v>3243.93</v>
      </c>
      <c r="G432" s="62">
        <f t="shared" si="5"/>
        <v>3243.93</v>
      </c>
    </row>
    <row r="433">
      <c r="A433" s="60" t="s">
        <v>1457</v>
      </c>
      <c r="B433" s="60" t="s">
        <v>1458</v>
      </c>
      <c r="C433" s="4" t="s">
        <v>80</v>
      </c>
      <c r="D433" s="4" t="s">
        <v>46</v>
      </c>
      <c r="E433" s="61">
        <v>3243.93</v>
      </c>
      <c r="G433" s="62">
        <f t="shared" si="5"/>
        <v>3243.93</v>
      </c>
    </row>
    <row r="434">
      <c r="A434" s="60" t="s">
        <v>976</v>
      </c>
      <c r="B434" s="60" t="s">
        <v>977</v>
      </c>
      <c r="C434" s="4" t="s">
        <v>80</v>
      </c>
      <c r="D434" s="4" t="s">
        <v>46</v>
      </c>
      <c r="E434" s="63">
        <v>492.02</v>
      </c>
      <c r="G434" s="5">
        <f t="shared" si="5"/>
        <v>492.02</v>
      </c>
    </row>
    <row r="435">
      <c r="A435" s="60" t="s">
        <v>1459</v>
      </c>
      <c r="B435" s="60" t="s">
        <v>1460</v>
      </c>
      <c r="C435" s="4" t="s">
        <v>80</v>
      </c>
      <c r="D435" s="4" t="s">
        <v>46</v>
      </c>
      <c r="E435" s="61">
        <v>3244.11</v>
      </c>
      <c r="G435" s="62">
        <f t="shared" si="5"/>
        <v>3244.11</v>
      </c>
    </row>
    <row r="436">
      <c r="A436" s="60" t="s">
        <v>1461</v>
      </c>
      <c r="B436" s="60" t="s">
        <v>1462</v>
      </c>
      <c r="C436" s="4" t="s">
        <v>80</v>
      </c>
      <c r="D436" s="4" t="s">
        <v>46</v>
      </c>
      <c r="E436" s="61">
        <v>1177.06</v>
      </c>
      <c r="G436" s="62">
        <f t="shared" si="5"/>
        <v>1177.06</v>
      </c>
    </row>
    <row r="437">
      <c r="A437" s="60" t="s">
        <v>978</v>
      </c>
      <c r="B437" s="60" t="s">
        <v>979</v>
      </c>
      <c r="C437" s="4" t="s">
        <v>80</v>
      </c>
      <c r="D437" s="4" t="s">
        <v>46</v>
      </c>
      <c r="E437" s="61">
        <v>4284.11</v>
      </c>
      <c r="G437" s="62">
        <f t="shared" si="5"/>
        <v>4284.11</v>
      </c>
    </row>
    <row r="438">
      <c r="C438" s="5"/>
      <c r="D438" s="5"/>
      <c r="G438" s="5" t="str">
        <f t="shared" si="5"/>
        <v/>
      </c>
    </row>
    <row r="439">
      <c r="C439" s="5"/>
      <c r="D439" s="5"/>
      <c r="G439" s="5" t="str">
        <f t="shared" si="5"/>
        <v/>
      </c>
    </row>
    <row r="440">
      <c r="C440" s="5"/>
      <c r="D440" s="5"/>
      <c r="G440" s="5" t="str">
        <f t="shared" si="5"/>
        <v/>
      </c>
    </row>
    <row r="441">
      <c r="C441" s="5"/>
      <c r="D441" s="5"/>
      <c r="G441" s="5" t="str">
        <f t="shared" si="5"/>
        <v/>
      </c>
    </row>
    <row r="442">
      <c r="C442" s="5"/>
      <c r="D442" s="5"/>
      <c r="G442" s="5" t="str">
        <f t="shared" si="5"/>
        <v/>
      </c>
    </row>
    <row r="443">
      <c r="C443" s="5"/>
      <c r="D443" s="5"/>
      <c r="G443" s="5" t="str">
        <f t="shared" si="5"/>
        <v/>
      </c>
    </row>
    <row r="444">
      <c r="C444" s="5"/>
      <c r="D444" s="5"/>
      <c r="G444" s="5" t="str">
        <f t="shared" si="5"/>
        <v/>
      </c>
    </row>
    <row r="445">
      <c r="C445" s="5"/>
      <c r="D445" s="5"/>
      <c r="G445" s="5" t="str">
        <f t="shared" si="5"/>
        <v/>
      </c>
    </row>
    <row r="446">
      <c r="C446" s="5"/>
      <c r="D446" s="5"/>
      <c r="G446" s="5" t="str">
        <f t="shared" si="5"/>
        <v/>
      </c>
    </row>
    <row r="447">
      <c r="C447" s="5"/>
      <c r="D447" s="5"/>
      <c r="G447" s="5" t="str">
        <f t="shared" si="5"/>
        <v/>
      </c>
    </row>
    <row r="448">
      <c r="C448" s="5"/>
      <c r="D448" s="5"/>
      <c r="G448" s="5" t="str">
        <f t="shared" si="5"/>
        <v/>
      </c>
    </row>
    <row r="449">
      <c r="C449" s="5"/>
      <c r="D449" s="5"/>
      <c r="G449" s="5" t="str">
        <f t="shared" si="5"/>
        <v/>
      </c>
    </row>
    <row r="450">
      <c r="C450" s="5"/>
      <c r="D450" s="5"/>
      <c r="G450" s="5" t="str">
        <f t="shared" si="5"/>
        <v/>
      </c>
    </row>
    <row r="451">
      <c r="C451" s="5"/>
      <c r="D451" s="5"/>
      <c r="G451" s="5" t="str">
        <f t="shared" si="5"/>
        <v/>
      </c>
    </row>
    <row r="452">
      <c r="C452" s="5"/>
      <c r="D452" s="5"/>
      <c r="G452" s="5" t="str">
        <f t="shared" si="5"/>
        <v/>
      </c>
    </row>
    <row r="453">
      <c r="C453" s="5"/>
      <c r="D453" s="5"/>
      <c r="G453" s="5" t="str">
        <f t="shared" si="5"/>
        <v/>
      </c>
    </row>
    <row r="454">
      <c r="C454" s="5"/>
      <c r="D454" s="5"/>
      <c r="G454" s="5" t="str">
        <f t="shared" si="5"/>
        <v/>
      </c>
    </row>
    <row r="455">
      <c r="C455" s="5"/>
      <c r="D455" s="5"/>
      <c r="G455" s="5" t="str">
        <f t="shared" si="5"/>
        <v/>
      </c>
    </row>
    <row r="456">
      <c r="C456" s="5"/>
      <c r="D456" s="5"/>
      <c r="G456" s="5" t="str">
        <f t="shared" si="5"/>
        <v/>
      </c>
    </row>
    <row r="457">
      <c r="C457" s="5"/>
      <c r="D457" s="5"/>
      <c r="G457" s="5" t="str">
        <f t="shared" si="5"/>
        <v/>
      </c>
    </row>
    <row r="458">
      <c r="C458" s="5"/>
      <c r="D458" s="5"/>
      <c r="G458" s="5" t="str">
        <f t="shared" si="5"/>
        <v/>
      </c>
    </row>
    <row r="459">
      <c r="C459" s="5"/>
      <c r="D459" s="5"/>
      <c r="G459" s="5" t="str">
        <f t="shared" si="5"/>
        <v/>
      </c>
    </row>
    <row r="460">
      <c r="C460" s="5"/>
      <c r="D460" s="5"/>
      <c r="G460" s="5" t="str">
        <f t="shared" si="5"/>
        <v/>
      </c>
    </row>
    <row r="461">
      <c r="C461" s="5"/>
      <c r="D461" s="5"/>
      <c r="G461" s="5" t="str">
        <f t="shared" si="5"/>
        <v/>
      </c>
    </row>
    <row r="462">
      <c r="C462" s="5"/>
      <c r="D462" s="5"/>
      <c r="G462" s="5" t="str">
        <f t="shared" si="5"/>
        <v/>
      </c>
    </row>
    <row r="463">
      <c r="C463" s="5"/>
      <c r="D463" s="5"/>
      <c r="G463" s="5" t="str">
        <f t="shared" si="5"/>
        <v/>
      </c>
    </row>
    <row r="464">
      <c r="C464" s="5"/>
      <c r="D464" s="5"/>
      <c r="G464" s="5" t="str">
        <f t="shared" si="5"/>
        <v/>
      </c>
    </row>
    <row r="465">
      <c r="C465" s="5"/>
      <c r="D465" s="5"/>
      <c r="G465" s="5" t="str">
        <f t="shared" si="5"/>
        <v/>
      </c>
    </row>
    <row r="466">
      <c r="C466" s="5"/>
      <c r="D466" s="5"/>
      <c r="G466" s="5" t="str">
        <f t="shared" si="5"/>
        <v/>
      </c>
    </row>
    <row r="467">
      <c r="C467" s="5"/>
      <c r="D467" s="5"/>
      <c r="G467" s="5" t="str">
        <f t="shared" si="5"/>
        <v/>
      </c>
    </row>
    <row r="468">
      <c r="C468" s="5"/>
      <c r="D468" s="5"/>
      <c r="G468" s="5" t="str">
        <f t="shared" si="5"/>
        <v/>
      </c>
    </row>
    <row r="469">
      <c r="C469" s="5"/>
      <c r="D469" s="5"/>
      <c r="G469" s="5" t="str">
        <f t="shared" si="5"/>
        <v/>
      </c>
    </row>
    <row r="470">
      <c r="C470" s="5"/>
      <c r="D470" s="5"/>
      <c r="G470" s="5" t="str">
        <f t="shared" si="5"/>
        <v/>
      </c>
    </row>
    <row r="471">
      <c r="C471" s="5"/>
      <c r="D471" s="5"/>
      <c r="G471" s="5" t="str">
        <f t="shared" si="5"/>
        <v/>
      </c>
    </row>
    <row r="472">
      <c r="C472" s="5"/>
      <c r="D472" s="5"/>
      <c r="G472" s="5" t="str">
        <f t="shared" si="5"/>
        <v/>
      </c>
    </row>
    <row r="473">
      <c r="C473" s="5"/>
      <c r="D473" s="5"/>
      <c r="G473" s="5" t="str">
        <f t="shared" si="5"/>
        <v/>
      </c>
    </row>
    <row r="474">
      <c r="C474" s="5"/>
      <c r="D474" s="5"/>
      <c r="G474" s="5" t="str">
        <f t="shared" si="5"/>
        <v/>
      </c>
    </row>
    <row r="475">
      <c r="C475" s="5"/>
      <c r="D475" s="5"/>
      <c r="G475" s="5" t="str">
        <f t="shared" si="5"/>
        <v/>
      </c>
    </row>
    <row r="476">
      <c r="C476" s="5"/>
      <c r="D476" s="5"/>
      <c r="G476" s="5" t="str">
        <f t="shared" si="5"/>
        <v/>
      </c>
    </row>
    <row r="477">
      <c r="C477" s="5"/>
      <c r="D477" s="5"/>
      <c r="G477" s="5" t="str">
        <f t="shared" si="5"/>
        <v/>
      </c>
    </row>
    <row r="478">
      <c r="C478" s="5"/>
      <c r="D478" s="5"/>
      <c r="G478" s="5" t="str">
        <f t="shared" si="5"/>
        <v/>
      </c>
    </row>
    <row r="479">
      <c r="C479" s="5"/>
      <c r="D479" s="5"/>
      <c r="G479" s="5" t="str">
        <f t="shared" si="5"/>
        <v/>
      </c>
    </row>
    <row r="480">
      <c r="C480" s="5"/>
      <c r="D480" s="5"/>
      <c r="G480" s="5" t="str">
        <f t="shared" si="5"/>
        <v/>
      </c>
    </row>
    <row r="481">
      <c r="C481" s="5"/>
      <c r="D481" s="5"/>
      <c r="G481" s="5" t="str">
        <f t="shared" si="5"/>
        <v/>
      </c>
    </row>
    <row r="482">
      <c r="C482" s="5"/>
      <c r="D482" s="5"/>
      <c r="G482" s="5" t="str">
        <f t="shared" si="5"/>
        <v/>
      </c>
    </row>
    <row r="483">
      <c r="C483" s="5"/>
      <c r="D483" s="5"/>
      <c r="G483" s="5" t="str">
        <f t="shared" si="5"/>
        <v/>
      </c>
    </row>
    <row r="484">
      <c r="C484" s="5"/>
      <c r="D484" s="5"/>
      <c r="G484" s="5" t="str">
        <f t="shared" si="5"/>
        <v/>
      </c>
    </row>
    <row r="485">
      <c r="C485" s="5"/>
      <c r="D485" s="5"/>
      <c r="G485" s="5" t="str">
        <f t="shared" si="5"/>
        <v/>
      </c>
    </row>
    <row r="486">
      <c r="C486" s="5"/>
      <c r="D486" s="5"/>
      <c r="G486" s="5" t="str">
        <f t="shared" si="5"/>
        <v/>
      </c>
    </row>
    <row r="487">
      <c r="C487" s="5"/>
      <c r="D487" s="5"/>
      <c r="G487" s="5" t="str">
        <f t="shared" si="5"/>
        <v/>
      </c>
    </row>
    <row r="488">
      <c r="C488" s="5"/>
      <c r="D488" s="5"/>
      <c r="G488" s="5" t="str">
        <f t="shared" si="5"/>
        <v/>
      </c>
    </row>
    <row r="489">
      <c r="C489" s="5"/>
      <c r="D489" s="5"/>
      <c r="G489" s="5" t="str">
        <f t="shared" si="5"/>
        <v/>
      </c>
    </row>
    <row r="490">
      <c r="C490" s="5"/>
      <c r="D490" s="5"/>
      <c r="G490" s="5" t="str">
        <f t="shared" si="5"/>
        <v/>
      </c>
    </row>
    <row r="491">
      <c r="C491" s="5"/>
      <c r="D491" s="5"/>
      <c r="G491" s="5" t="str">
        <f t="shared" si="5"/>
        <v/>
      </c>
    </row>
    <row r="492">
      <c r="C492" s="5"/>
      <c r="D492" s="5"/>
      <c r="G492" s="5" t="str">
        <f t="shared" si="5"/>
        <v/>
      </c>
    </row>
    <row r="493">
      <c r="C493" s="5"/>
      <c r="D493" s="5"/>
      <c r="G493" s="5" t="str">
        <f t="shared" si="5"/>
        <v/>
      </c>
    </row>
    <row r="494">
      <c r="C494" s="5"/>
      <c r="D494" s="5"/>
      <c r="G494" s="5" t="str">
        <f t="shared" si="5"/>
        <v/>
      </c>
    </row>
    <row r="495">
      <c r="C495" s="5"/>
      <c r="D495" s="5"/>
      <c r="G495" s="5" t="str">
        <f t="shared" si="5"/>
        <v/>
      </c>
    </row>
    <row r="496">
      <c r="C496" s="5"/>
      <c r="D496" s="5"/>
      <c r="G496" s="5" t="str">
        <f t="shared" si="5"/>
        <v/>
      </c>
    </row>
    <row r="497">
      <c r="C497" s="5"/>
      <c r="D497" s="5"/>
      <c r="G497" s="5" t="str">
        <f t="shared" si="5"/>
        <v/>
      </c>
    </row>
    <row r="498">
      <c r="C498" s="5"/>
      <c r="D498" s="5"/>
      <c r="G498" s="5" t="str">
        <f t="shared" si="5"/>
        <v/>
      </c>
    </row>
    <row r="499">
      <c r="C499" s="5"/>
      <c r="D499" s="5"/>
      <c r="G499" s="5" t="str">
        <f t="shared" si="5"/>
        <v/>
      </c>
    </row>
    <row r="500">
      <c r="C500" s="5"/>
      <c r="D500" s="5"/>
      <c r="G500" s="5" t="str">
        <f t="shared" si="5"/>
        <v/>
      </c>
    </row>
    <row r="501">
      <c r="C501" s="5"/>
      <c r="D501" s="5"/>
      <c r="G501" s="5" t="str">
        <f t="shared" si="5"/>
        <v/>
      </c>
    </row>
    <row r="502">
      <c r="C502" s="5"/>
      <c r="D502" s="5"/>
      <c r="G502" s="5" t="str">
        <f t="shared" si="5"/>
        <v/>
      </c>
    </row>
    <row r="503">
      <c r="A503" s="25" t="s">
        <v>1018</v>
      </c>
      <c r="B503" s="64"/>
      <c r="C503" s="64"/>
      <c r="D503" s="64"/>
      <c r="E503" s="65">
        <f t="shared" ref="E503:G503" si="6">SUM(E19:E502)</f>
        <v>2063023.08</v>
      </c>
      <c r="F503" s="64">
        <f t="shared" si="6"/>
        <v>0</v>
      </c>
      <c r="G503" s="65">
        <f t="shared" si="6"/>
        <v>2063023.08</v>
      </c>
      <c r="H503" s="64"/>
    </row>
  </sheetData>
  <mergeCells count="1">
    <mergeCell ref="A1:H1"/>
  </mergeCells>
  <dataValidations>
    <dataValidation type="list" allowBlank="1" sqref="C19:C502">
      <formula1>Settings!$E$15:$E$38</formula1>
    </dataValidation>
    <dataValidation type="list" allowBlank="1" sqref="D19:D502">
      <formula1>Settings!$C$15:$C$30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4" width="18.88"/>
    <col customWidth="1" min="5" max="7" width="15.13"/>
  </cols>
  <sheetData>
    <row r="1">
      <c r="A1" s="22" t="s">
        <v>1463</v>
      </c>
    </row>
    <row r="3">
      <c r="A3" s="50" t="s">
        <v>110</v>
      </c>
      <c r="B3" s="51">
        <v>473840.39</v>
      </c>
      <c r="D3" s="50" t="s">
        <v>111</v>
      </c>
      <c r="E3" s="52">
        <f>163800.84+SUM(E7:E101)</f>
        <v>504511.39</v>
      </c>
    </row>
    <row r="5">
      <c r="A5" s="7" t="s">
        <v>112</v>
      </c>
    </row>
    <row r="6">
      <c r="A6" s="41" t="s">
        <v>113</v>
      </c>
      <c r="B6" s="41" t="s">
        <v>114</v>
      </c>
      <c r="C6" s="41" t="s">
        <v>115</v>
      </c>
      <c r="D6" s="41" t="s">
        <v>116</v>
      </c>
      <c r="E6" s="41" t="s">
        <v>117</v>
      </c>
      <c r="F6" s="41" t="s">
        <v>118</v>
      </c>
      <c r="G6" s="41" t="s">
        <v>119</v>
      </c>
    </row>
    <row r="7">
      <c r="A7" s="63" t="s">
        <v>1022</v>
      </c>
      <c r="B7" s="60" t="s">
        <v>1023</v>
      </c>
      <c r="C7" s="60" t="s">
        <v>1024</v>
      </c>
      <c r="D7" s="37"/>
      <c r="E7" s="68">
        <v>1500.0</v>
      </c>
      <c r="F7" s="36"/>
      <c r="G7" s="36">
        <f>IF(E7="","",B3+E7-F7)</f>
        <v>475340.39</v>
      </c>
    </row>
    <row r="8">
      <c r="A8" s="60" t="s">
        <v>1025</v>
      </c>
      <c r="B8" s="60" t="s">
        <v>1026</v>
      </c>
      <c r="C8" s="60" t="s">
        <v>1027</v>
      </c>
      <c r="D8" s="37"/>
      <c r="E8" s="68">
        <v>350.0</v>
      </c>
      <c r="F8" s="36"/>
      <c r="G8" s="36">
        <f t="shared" ref="G8:G100" si="1">IF(E8="","",G7+E8-F8)</f>
        <v>475690.39</v>
      </c>
    </row>
    <row r="9">
      <c r="A9" s="60" t="s">
        <v>1025</v>
      </c>
      <c r="B9" s="60" t="s">
        <v>1026</v>
      </c>
      <c r="C9" s="60" t="s">
        <v>1028</v>
      </c>
      <c r="D9" s="37"/>
      <c r="E9" s="68">
        <v>143.48</v>
      </c>
      <c r="F9" s="36"/>
      <c r="G9" s="36">
        <f t="shared" si="1"/>
        <v>475833.87</v>
      </c>
    </row>
    <row r="10">
      <c r="A10" s="60" t="s">
        <v>1025</v>
      </c>
      <c r="B10" s="60" t="s">
        <v>1026</v>
      </c>
      <c r="C10" s="60" t="s">
        <v>1028</v>
      </c>
      <c r="D10" s="37"/>
      <c r="E10" s="68">
        <v>600.0</v>
      </c>
      <c r="F10" s="36"/>
      <c r="G10" s="36">
        <f t="shared" si="1"/>
        <v>476433.87</v>
      </c>
    </row>
    <row r="11">
      <c r="A11" s="60" t="s">
        <v>1029</v>
      </c>
      <c r="B11" s="60" t="s">
        <v>1030</v>
      </c>
      <c r="C11" s="60" t="s">
        <v>1031</v>
      </c>
      <c r="D11" s="37"/>
      <c r="E11" s="68">
        <v>34000.0</v>
      </c>
      <c r="F11" s="36"/>
      <c r="G11" s="36">
        <f t="shared" si="1"/>
        <v>510433.87</v>
      </c>
    </row>
    <row r="12">
      <c r="A12" s="60" t="s">
        <v>1032</v>
      </c>
      <c r="B12" s="60" t="s">
        <v>1033</v>
      </c>
      <c r="C12" s="60" t="s">
        <v>1034</v>
      </c>
      <c r="D12" s="37"/>
      <c r="E12" s="68">
        <v>500.0</v>
      </c>
      <c r="F12" s="36"/>
      <c r="G12" s="36">
        <f t="shared" si="1"/>
        <v>510933.87</v>
      </c>
    </row>
    <row r="13">
      <c r="A13" s="69">
        <v>45298.0</v>
      </c>
      <c r="B13" s="60" t="s">
        <v>1035</v>
      </c>
      <c r="C13" s="60" t="s">
        <v>1036</v>
      </c>
      <c r="D13" s="37"/>
      <c r="E13" s="68">
        <v>4000.0</v>
      </c>
      <c r="F13" s="36"/>
      <c r="G13" s="36">
        <f t="shared" si="1"/>
        <v>514933.87</v>
      </c>
    </row>
    <row r="14">
      <c r="A14" s="69">
        <v>45450.0</v>
      </c>
      <c r="B14" s="60" t="s">
        <v>1037</v>
      </c>
      <c r="C14" s="60" t="s">
        <v>1038</v>
      </c>
      <c r="D14" s="37"/>
      <c r="E14" s="68">
        <v>2790.0</v>
      </c>
      <c r="F14" s="36"/>
      <c r="G14" s="36">
        <f t="shared" si="1"/>
        <v>517723.87</v>
      </c>
    </row>
    <row r="15">
      <c r="A15" s="60" t="s">
        <v>1039</v>
      </c>
      <c r="B15" s="60" t="s">
        <v>1040</v>
      </c>
      <c r="C15" s="60" t="s">
        <v>1041</v>
      </c>
      <c r="D15" s="37"/>
      <c r="E15" s="68">
        <v>74656.7</v>
      </c>
      <c r="F15" s="36"/>
      <c r="G15" s="36">
        <f t="shared" si="1"/>
        <v>592380.57</v>
      </c>
    </row>
    <row r="16">
      <c r="A16" s="60" t="s">
        <v>1039</v>
      </c>
      <c r="B16" s="60" t="s">
        <v>1042</v>
      </c>
      <c r="C16" s="60" t="s">
        <v>1043</v>
      </c>
      <c r="D16" s="37"/>
      <c r="E16" s="68">
        <v>25655.23</v>
      </c>
      <c r="F16" s="36"/>
      <c r="G16" s="36">
        <f t="shared" si="1"/>
        <v>618035.8</v>
      </c>
    </row>
    <row r="17">
      <c r="A17" s="60" t="s">
        <v>1044</v>
      </c>
      <c r="B17" s="60" t="s">
        <v>1045</v>
      </c>
      <c r="C17" s="60" t="s">
        <v>1046</v>
      </c>
      <c r="D17" s="37"/>
      <c r="E17" s="68">
        <v>5000.0</v>
      </c>
      <c r="F17" s="36"/>
      <c r="G17" s="36">
        <f t="shared" si="1"/>
        <v>623035.8</v>
      </c>
    </row>
    <row r="18">
      <c r="A18" s="60" t="s">
        <v>1047</v>
      </c>
      <c r="B18" s="60" t="s">
        <v>1048</v>
      </c>
      <c r="C18" s="60" t="s">
        <v>1049</v>
      </c>
      <c r="D18" s="37"/>
      <c r="E18" s="68">
        <v>4650.0</v>
      </c>
      <c r="F18" s="36"/>
      <c r="G18" s="36">
        <f t="shared" si="1"/>
        <v>627685.8</v>
      </c>
    </row>
    <row r="19">
      <c r="A19" s="60" t="s">
        <v>1050</v>
      </c>
      <c r="B19" s="60" t="s">
        <v>1051</v>
      </c>
      <c r="C19" s="60" t="s">
        <v>1052</v>
      </c>
      <c r="D19" s="37"/>
      <c r="E19" s="68">
        <v>500.0</v>
      </c>
      <c r="F19" s="36"/>
      <c r="G19" s="36">
        <f t="shared" si="1"/>
        <v>628185.8</v>
      </c>
    </row>
    <row r="20">
      <c r="A20" s="63" t="s">
        <v>1053</v>
      </c>
      <c r="B20" s="70"/>
      <c r="C20" s="60" t="s">
        <v>1054</v>
      </c>
      <c r="D20" s="37"/>
      <c r="E20" s="68">
        <v>16857.45</v>
      </c>
      <c r="F20" s="36"/>
      <c r="G20" s="36">
        <f t="shared" si="1"/>
        <v>645043.25</v>
      </c>
    </row>
    <row r="21">
      <c r="A21" s="69">
        <v>45546.0</v>
      </c>
      <c r="B21" s="60" t="s">
        <v>1055</v>
      </c>
      <c r="C21" s="60" t="s">
        <v>1056</v>
      </c>
      <c r="D21" s="37"/>
      <c r="E21" s="68">
        <v>4450.0</v>
      </c>
      <c r="F21" s="36"/>
      <c r="G21" s="36">
        <f t="shared" si="1"/>
        <v>649493.25</v>
      </c>
    </row>
    <row r="22">
      <c r="A22" s="71">
        <v>45637.0</v>
      </c>
      <c r="B22" s="60" t="s">
        <v>1057</v>
      </c>
      <c r="C22" s="60" t="s">
        <v>1058</v>
      </c>
      <c r="D22" s="37"/>
      <c r="E22" s="68">
        <v>80.0</v>
      </c>
      <c r="F22" s="36"/>
      <c r="G22" s="36">
        <f t="shared" si="1"/>
        <v>649573.25</v>
      </c>
    </row>
    <row r="23">
      <c r="A23" s="71">
        <v>45577.0</v>
      </c>
      <c r="B23" s="60" t="s">
        <v>1059</v>
      </c>
      <c r="C23" s="60" t="s">
        <v>1043</v>
      </c>
      <c r="D23" s="37"/>
      <c r="E23" s="68">
        <v>49001.48</v>
      </c>
      <c r="F23" s="36"/>
      <c r="G23" s="36">
        <f t="shared" si="1"/>
        <v>698574.73</v>
      </c>
    </row>
    <row r="24">
      <c r="A24" s="60" t="s">
        <v>1060</v>
      </c>
      <c r="B24" s="60" t="s">
        <v>1061</v>
      </c>
      <c r="C24" s="60" t="s">
        <v>1062</v>
      </c>
      <c r="D24" s="37"/>
      <c r="E24" s="68">
        <v>300.0</v>
      </c>
      <c r="F24" s="36"/>
      <c r="G24" s="36">
        <f t="shared" si="1"/>
        <v>698874.73</v>
      </c>
    </row>
    <row r="25">
      <c r="A25" s="60" t="s">
        <v>1063</v>
      </c>
      <c r="B25" s="60" t="s">
        <v>1064</v>
      </c>
      <c r="C25" s="60" t="s">
        <v>1065</v>
      </c>
      <c r="D25" s="37"/>
      <c r="E25" s="68">
        <v>150.0</v>
      </c>
      <c r="F25" s="36"/>
      <c r="G25" s="36">
        <f t="shared" si="1"/>
        <v>699024.73</v>
      </c>
    </row>
    <row r="26">
      <c r="A26" s="60" t="s">
        <v>1066</v>
      </c>
      <c r="B26" s="60" t="s">
        <v>1067</v>
      </c>
      <c r="C26" s="60" t="s">
        <v>1068</v>
      </c>
      <c r="D26" s="37"/>
      <c r="E26" s="68">
        <v>51310.45</v>
      </c>
      <c r="F26" s="36"/>
      <c r="G26" s="36">
        <f t="shared" si="1"/>
        <v>750335.18</v>
      </c>
    </row>
    <row r="27">
      <c r="A27" s="69">
        <v>45749.0</v>
      </c>
      <c r="B27" s="60" t="s">
        <v>1069</v>
      </c>
      <c r="C27" s="60" t="s">
        <v>1070</v>
      </c>
      <c r="D27" s="37"/>
      <c r="E27" s="68">
        <v>200.0</v>
      </c>
      <c r="F27" s="36"/>
      <c r="G27" s="36">
        <f t="shared" si="1"/>
        <v>750535.18</v>
      </c>
    </row>
    <row r="28">
      <c r="A28" s="60" t="s">
        <v>1071</v>
      </c>
      <c r="B28" s="60" t="s">
        <v>1072</v>
      </c>
      <c r="C28" s="60" t="s">
        <v>1073</v>
      </c>
      <c r="D28" s="37"/>
      <c r="E28" s="68">
        <v>334.8</v>
      </c>
      <c r="F28" s="36"/>
      <c r="G28" s="36">
        <f t="shared" si="1"/>
        <v>750869.98</v>
      </c>
    </row>
    <row r="29">
      <c r="A29" s="60" t="s">
        <v>1071</v>
      </c>
      <c r="B29" s="60" t="s">
        <v>1072</v>
      </c>
      <c r="C29" s="60" t="s">
        <v>1074</v>
      </c>
      <c r="D29" s="37"/>
      <c r="E29" s="68">
        <v>300.0</v>
      </c>
      <c r="F29" s="36"/>
      <c r="G29" s="36">
        <f t="shared" si="1"/>
        <v>751169.98</v>
      </c>
    </row>
    <row r="30">
      <c r="A30" s="60" t="s">
        <v>1071</v>
      </c>
      <c r="B30" s="60" t="s">
        <v>1072</v>
      </c>
      <c r="C30" s="60" t="s">
        <v>1073</v>
      </c>
      <c r="D30" s="37"/>
      <c r="E30" s="68">
        <v>350.0</v>
      </c>
      <c r="F30" s="36"/>
      <c r="G30" s="36">
        <f t="shared" si="1"/>
        <v>751519.98</v>
      </c>
    </row>
    <row r="31">
      <c r="A31" s="69">
        <v>45752.0</v>
      </c>
      <c r="B31" s="60" t="s">
        <v>1075</v>
      </c>
      <c r="C31" s="60" t="s">
        <v>1076</v>
      </c>
      <c r="D31" s="37"/>
      <c r="E31" s="68">
        <v>200.0</v>
      </c>
      <c r="F31" s="36"/>
      <c r="G31" s="36">
        <f t="shared" si="1"/>
        <v>751719.98</v>
      </c>
    </row>
    <row r="32">
      <c r="A32" s="60" t="s">
        <v>1077</v>
      </c>
      <c r="B32" s="60" t="s">
        <v>1078</v>
      </c>
      <c r="C32" s="60" t="s">
        <v>1079</v>
      </c>
      <c r="D32" s="37"/>
      <c r="E32" s="68">
        <v>170.0</v>
      </c>
      <c r="F32" s="36"/>
      <c r="G32" s="36">
        <f t="shared" si="1"/>
        <v>751889.98</v>
      </c>
    </row>
    <row r="33">
      <c r="A33" s="63" t="s">
        <v>1080</v>
      </c>
      <c r="B33" s="70"/>
      <c r="C33" s="60" t="s">
        <v>1081</v>
      </c>
      <c r="D33" s="37"/>
      <c r="E33" s="68">
        <v>219.0</v>
      </c>
      <c r="F33" s="36"/>
      <c r="G33" s="36">
        <f t="shared" si="1"/>
        <v>752108.98</v>
      </c>
    </row>
    <row r="34">
      <c r="A34" s="69">
        <v>45997.0</v>
      </c>
      <c r="B34" s="60" t="s">
        <v>1082</v>
      </c>
      <c r="C34" s="60" t="s">
        <v>1083</v>
      </c>
      <c r="D34" s="37"/>
      <c r="E34" s="68">
        <v>260.96</v>
      </c>
      <c r="F34" s="36"/>
      <c r="G34" s="36">
        <f t="shared" si="1"/>
        <v>752369.94</v>
      </c>
    </row>
    <row r="35">
      <c r="A35" s="60" t="s">
        <v>1084</v>
      </c>
      <c r="B35" s="60" t="s">
        <v>1085</v>
      </c>
      <c r="C35" s="60" t="s">
        <v>1086</v>
      </c>
      <c r="D35" s="37"/>
      <c r="E35" s="68">
        <v>9000.0</v>
      </c>
      <c r="F35" s="36"/>
      <c r="G35" s="36">
        <f t="shared" si="1"/>
        <v>761369.94</v>
      </c>
    </row>
    <row r="36">
      <c r="A36" s="63" t="s">
        <v>1087</v>
      </c>
      <c r="B36" s="60" t="s">
        <v>1088</v>
      </c>
      <c r="C36" s="60" t="s">
        <v>1089</v>
      </c>
      <c r="D36" s="37"/>
      <c r="E36" s="68">
        <v>100.0</v>
      </c>
      <c r="F36" s="36"/>
      <c r="G36" s="36">
        <f t="shared" si="1"/>
        <v>761469.94</v>
      </c>
    </row>
    <row r="37">
      <c r="A37" s="60" t="s">
        <v>1090</v>
      </c>
      <c r="B37" s="60" t="s">
        <v>1091</v>
      </c>
      <c r="C37" s="60" t="s">
        <v>1092</v>
      </c>
      <c r="D37" s="37"/>
      <c r="E37" s="68">
        <v>200.0</v>
      </c>
      <c r="F37" s="36"/>
      <c r="G37" s="36">
        <f t="shared" si="1"/>
        <v>761669.94</v>
      </c>
    </row>
    <row r="38">
      <c r="A38" s="60" t="s">
        <v>1464</v>
      </c>
      <c r="B38" s="60" t="s">
        <v>1465</v>
      </c>
      <c r="C38" s="60" t="s">
        <v>1466</v>
      </c>
      <c r="D38" s="37"/>
      <c r="E38" s="68">
        <v>5000.0</v>
      </c>
      <c r="F38" s="36"/>
      <c r="G38" s="36">
        <f t="shared" si="1"/>
        <v>766669.94</v>
      </c>
    </row>
    <row r="39">
      <c r="A39" s="60" t="s">
        <v>1093</v>
      </c>
      <c r="B39" s="60" t="s">
        <v>1094</v>
      </c>
      <c r="C39" s="60" t="s">
        <v>1095</v>
      </c>
      <c r="D39" s="37"/>
      <c r="E39" s="68">
        <v>1500.0</v>
      </c>
      <c r="F39" s="36"/>
      <c r="G39" s="36">
        <f t="shared" si="1"/>
        <v>768169.94</v>
      </c>
    </row>
    <row r="40">
      <c r="A40" s="60" t="s">
        <v>1093</v>
      </c>
      <c r="B40" s="60" t="s">
        <v>1094</v>
      </c>
      <c r="C40" s="60" t="s">
        <v>1096</v>
      </c>
      <c r="D40" s="37"/>
      <c r="E40" s="68">
        <v>450.0</v>
      </c>
      <c r="F40" s="36"/>
      <c r="G40" s="36">
        <f t="shared" si="1"/>
        <v>768619.94</v>
      </c>
    </row>
    <row r="41">
      <c r="A41" s="60" t="s">
        <v>1097</v>
      </c>
      <c r="B41" s="60" t="s">
        <v>1098</v>
      </c>
      <c r="C41" s="60" t="s">
        <v>1099</v>
      </c>
      <c r="D41" s="37"/>
      <c r="E41" s="68">
        <v>100.0</v>
      </c>
      <c r="F41" s="36"/>
      <c r="G41" s="36">
        <f t="shared" si="1"/>
        <v>768719.94</v>
      </c>
    </row>
    <row r="42">
      <c r="A42" s="69">
        <v>45939.0</v>
      </c>
      <c r="B42" s="60" t="s">
        <v>1100</v>
      </c>
      <c r="C42" s="60" t="s">
        <v>1101</v>
      </c>
      <c r="D42" s="37"/>
      <c r="E42" s="68">
        <v>15.0</v>
      </c>
      <c r="F42" s="36"/>
      <c r="G42" s="36">
        <f t="shared" si="1"/>
        <v>768734.94</v>
      </c>
    </row>
    <row r="43">
      <c r="A43" s="60" t="s">
        <v>1102</v>
      </c>
      <c r="B43" s="60" t="s">
        <v>1103</v>
      </c>
      <c r="C43" s="60" t="s">
        <v>1104</v>
      </c>
      <c r="D43" s="37"/>
      <c r="E43" s="68">
        <v>100.0</v>
      </c>
      <c r="F43" s="36"/>
      <c r="G43" s="36">
        <f t="shared" si="1"/>
        <v>768834.94</v>
      </c>
    </row>
    <row r="44">
      <c r="A44" s="60" t="s">
        <v>1105</v>
      </c>
      <c r="B44" s="60" t="s">
        <v>1106</v>
      </c>
      <c r="C44" s="60" t="s">
        <v>1107</v>
      </c>
      <c r="D44" s="37"/>
      <c r="E44" s="68">
        <v>700.0</v>
      </c>
      <c r="F44" s="36"/>
      <c r="G44" s="36">
        <f t="shared" si="1"/>
        <v>769534.94</v>
      </c>
    </row>
    <row r="45">
      <c r="A45" s="60" t="s">
        <v>1108</v>
      </c>
      <c r="B45" s="60" t="s">
        <v>1109</v>
      </c>
      <c r="C45" s="60" t="s">
        <v>1092</v>
      </c>
      <c r="D45" s="37"/>
      <c r="E45" s="68">
        <v>1000.0</v>
      </c>
      <c r="F45" s="36"/>
      <c r="G45" s="36">
        <f t="shared" si="1"/>
        <v>770534.94</v>
      </c>
    </row>
    <row r="46">
      <c r="A46" s="60" t="s">
        <v>1110</v>
      </c>
      <c r="B46" s="60" t="s">
        <v>1111</v>
      </c>
      <c r="C46" s="60" t="s">
        <v>1112</v>
      </c>
      <c r="D46" s="37"/>
      <c r="E46" s="68">
        <v>16000.0</v>
      </c>
      <c r="F46" s="36"/>
      <c r="G46" s="36">
        <f t="shared" si="1"/>
        <v>786534.94</v>
      </c>
    </row>
    <row r="47">
      <c r="A47" s="81" t="s">
        <v>1467</v>
      </c>
      <c r="B47" s="60" t="s">
        <v>1468</v>
      </c>
      <c r="C47" s="84" t="s">
        <v>1469</v>
      </c>
      <c r="D47" s="37"/>
      <c r="E47" s="68">
        <v>4297.0</v>
      </c>
      <c r="F47" s="36"/>
      <c r="G47" s="36">
        <f t="shared" si="1"/>
        <v>790831.94</v>
      </c>
    </row>
    <row r="48">
      <c r="A48" s="60" t="s">
        <v>1113</v>
      </c>
      <c r="B48" s="60" t="s">
        <v>1114</v>
      </c>
      <c r="C48" s="60" t="s">
        <v>1115</v>
      </c>
      <c r="D48" s="37"/>
      <c r="E48" s="68">
        <v>2000.0</v>
      </c>
      <c r="F48" s="36"/>
      <c r="G48" s="36">
        <f t="shared" si="1"/>
        <v>792831.94</v>
      </c>
    </row>
    <row r="49">
      <c r="A49" s="60" t="s">
        <v>1113</v>
      </c>
      <c r="B49" s="60" t="s">
        <v>1114</v>
      </c>
      <c r="C49" s="60" t="s">
        <v>1470</v>
      </c>
      <c r="D49" s="37"/>
      <c r="E49" s="68">
        <v>300.0</v>
      </c>
      <c r="F49" s="36"/>
      <c r="G49" s="36">
        <f t="shared" si="1"/>
        <v>793131.94</v>
      </c>
    </row>
    <row r="50">
      <c r="A50" s="60" t="s">
        <v>1113</v>
      </c>
      <c r="B50" s="60" t="s">
        <v>1114</v>
      </c>
      <c r="C50" s="60" t="s">
        <v>1092</v>
      </c>
      <c r="D50" s="37"/>
      <c r="E50" s="68">
        <v>4210.0</v>
      </c>
      <c r="F50" s="36"/>
      <c r="G50" s="36">
        <f t="shared" si="1"/>
        <v>797341.94</v>
      </c>
    </row>
    <row r="51">
      <c r="A51" s="60" t="s">
        <v>1116</v>
      </c>
      <c r="B51" s="60" t="s">
        <v>1117</v>
      </c>
      <c r="C51" s="60" t="s">
        <v>1118</v>
      </c>
      <c r="D51" s="37"/>
      <c r="E51" s="68">
        <v>16470.0</v>
      </c>
      <c r="F51" s="36"/>
      <c r="G51" s="36">
        <f t="shared" si="1"/>
        <v>813811.94</v>
      </c>
    </row>
    <row r="52">
      <c r="A52" s="60" t="s">
        <v>1116</v>
      </c>
      <c r="B52" s="60" t="s">
        <v>1117</v>
      </c>
      <c r="C52" s="60" t="s">
        <v>1119</v>
      </c>
      <c r="D52" s="37"/>
      <c r="E52" s="68">
        <v>64.0</v>
      </c>
      <c r="F52" s="36"/>
      <c r="G52" s="36">
        <f t="shared" si="1"/>
        <v>813875.94</v>
      </c>
    </row>
    <row r="53">
      <c r="A53" s="60" t="s">
        <v>1120</v>
      </c>
      <c r="B53" s="60" t="s">
        <v>1121</v>
      </c>
      <c r="C53" s="60" t="s">
        <v>1471</v>
      </c>
      <c r="D53" s="37"/>
      <c r="E53" s="68">
        <v>500.0</v>
      </c>
      <c r="F53" s="36"/>
      <c r="G53" s="36">
        <f t="shared" si="1"/>
        <v>814375.94</v>
      </c>
    </row>
    <row r="54">
      <c r="A54" s="60" t="s">
        <v>1120</v>
      </c>
      <c r="B54" s="60" t="s">
        <v>1121</v>
      </c>
      <c r="C54" s="60" t="s">
        <v>1122</v>
      </c>
      <c r="D54" s="37"/>
      <c r="E54" s="68">
        <v>140.0</v>
      </c>
      <c r="F54" s="36"/>
      <c r="G54" s="36">
        <f t="shared" si="1"/>
        <v>814515.94</v>
      </c>
    </row>
    <row r="55">
      <c r="A55" s="70"/>
      <c r="B55" s="70"/>
      <c r="C55" s="60" t="s">
        <v>1123</v>
      </c>
      <c r="D55" s="37"/>
      <c r="E55" s="68">
        <v>35.0</v>
      </c>
      <c r="F55" s="36"/>
      <c r="G55" s="36">
        <f t="shared" si="1"/>
        <v>814550.94</v>
      </c>
    </row>
    <row r="56">
      <c r="A56" s="37"/>
      <c r="B56" s="37"/>
      <c r="C56" s="37"/>
      <c r="D56" s="37"/>
      <c r="E56" s="36"/>
      <c r="F56" s="36"/>
      <c r="G56" s="36" t="str">
        <f t="shared" si="1"/>
        <v/>
      </c>
    </row>
    <row r="57">
      <c r="A57" s="37"/>
      <c r="B57" s="37"/>
      <c r="C57" s="37"/>
      <c r="D57" s="37"/>
      <c r="E57" s="36"/>
      <c r="F57" s="36"/>
      <c r="G57" s="36" t="str">
        <f t="shared" si="1"/>
        <v/>
      </c>
    </row>
    <row r="58">
      <c r="A58" s="37"/>
      <c r="B58" s="37"/>
      <c r="C58" s="37"/>
      <c r="D58" s="37"/>
      <c r="E58" s="36"/>
      <c r="F58" s="36"/>
      <c r="G58" s="36" t="str">
        <f t="shared" si="1"/>
        <v/>
      </c>
    </row>
    <row r="59">
      <c r="A59" s="37"/>
      <c r="B59" s="37"/>
      <c r="C59" s="37"/>
      <c r="D59" s="37"/>
      <c r="E59" s="36"/>
      <c r="F59" s="36"/>
      <c r="G59" s="36" t="str">
        <f t="shared" si="1"/>
        <v/>
      </c>
    </row>
    <row r="60">
      <c r="A60" s="37"/>
      <c r="B60" s="37"/>
      <c r="C60" s="37"/>
      <c r="D60" s="37"/>
      <c r="E60" s="36"/>
      <c r="F60" s="36"/>
      <c r="G60" s="36" t="str">
        <f t="shared" si="1"/>
        <v/>
      </c>
    </row>
    <row r="61">
      <c r="A61" s="37"/>
      <c r="B61" s="37"/>
      <c r="C61" s="37"/>
      <c r="D61" s="37"/>
      <c r="E61" s="36"/>
      <c r="F61" s="36"/>
      <c r="G61" s="36" t="str">
        <f t="shared" si="1"/>
        <v/>
      </c>
    </row>
    <row r="62">
      <c r="A62" s="37"/>
      <c r="B62" s="37"/>
      <c r="C62" s="37"/>
      <c r="D62" s="37"/>
      <c r="E62" s="36"/>
      <c r="F62" s="36"/>
      <c r="G62" s="36" t="str">
        <f t="shared" si="1"/>
        <v/>
      </c>
    </row>
    <row r="63">
      <c r="A63" s="37"/>
      <c r="B63" s="37"/>
      <c r="C63" s="37"/>
      <c r="D63" s="37"/>
      <c r="E63" s="36"/>
      <c r="F63" s="36"/>
      <c r="G63" s="36" t="str">
        <f t="shared" si="1"/>
        <v/>
      </c>
    </row>
    <row r="64">
      <c r="A64" s="37"/>
      <c r="B64" s="37"/>
      <c r="C64" s="37"/>
      <c r="D64" s="37"/>
      <c r="E64" s="36"/>
      <c r="F64" s="36"/>
      <c r="G64" s="36" t="str">
        <f t="shared" si="1"/>
        <v/>
      </c>
    </row>
    <row r="65">
      <c r="A65" s="37"/>
      <c r="B65" s="37"/>
      <c r="C65" s="37"/>
      <c r="D65" s="37"/>
      <c r="E65" s="36"/>
      <c r="F65" s="36"/>
      <c r="G65" s="36" t="str">
        <f t="shared" si="1"/>
        <v/>
      </c>
    </row>
    <row r="66">
      <c r="A66" s="37"/>
      <c r="B66" s="37"/>
      <c r="C66" s="37"/>
      <c r="D66" s="37"/>
      <c r="E66" s="36"/>
      <c r="F66" s="36"/>
      <c r="G66" s="36" t="str">
        <f t="shared" si="1"/>
        <v/>
      </c>
    </row>
    <row r="67">
      <c r="A67" s="37"/>
      <c r="B67" s="37"/>
      <c r="C67" s="37"/>
      <c r="D67" s="37"/>
      <c r="E67" s="36"/>
      <c r="F67" s="36"/>
      <c r="G67" s="36" t="str">
        <f t="shared" si="1"/>
        <v/>
      </c>
    </row>
    <row r="68">
      <c r="A68" s="37"/>
      <c r="B68" s="37"/>
      <c r="C68" s="37"/>
      <c r="D68" s="37"/>
      <c r="E68" s="36"/>
      <c r="F68" s="36"/>
      <c r="G68" s="36" t="str">
        <f t="shared" si="1"/>
        <v/>
      </c>
    </row>
    <row r="69">
      <c r="A69" s="37"/>
      <c r="B69" s="37"/>
      <c r="C69" s="37"/>
      <c r="D69" s="37"/>
      <c r="E69" s="36"/>
      <c r="F69" s="36"/>
      <c r="G69" s="36" t="str">
        <f t="shared" si="1"/>
        <v/>
      </c>
    </row>
    <row r="70">
      <c r="A70" s="37"/>
      <c r="B70" s="37"/>
      <c r="C70" s="37"/>
      <c r="D70" s="37"/>
      <c r="E70" s="36"/>
      <c r="F70" s="36"/>
      <c r="G70" s="36" t="str">
        <f t="shared" si="1"/>
        <v/>
      </c>
    </row>
    <row r="71">
      <c r="A71" s="37"/>
      <c r="B71" s="37"/>
      <c r="C71" s="37"/>
      <c r="D71" s="37"/>
      <c r="E71" s="36"/>
      <c r="F71" s="36"/>
      <c r="G71" s="36" t="str">
        <f t="shared" si="1"/>
        <v/>
      </c>
    </row>
    <row r="72">
      <c r="A72" s="37"/>
      <c r="B72" s="37"/>
      <c r="C72" s="37"/>
      <c r="D72" s="37"/>
      <c r="E72" s="36"/>
      <c r="F72" s="36"/>
      <c r="G72" s="36" t="str">
        <f t="shared" si="1"/>
        <v/>
      </c>
    </row>
    <row r="73">
      <c r="A73" s="37"/>
      <c r="B73" s="37"/>
      <c r="C73" s="37"/>
      <c r="D73" s="37"/>
      <c r="E73" s="36"/>
      <c r="F73" s="36"/>
      <c r="G73" s="36" t="str">
        <f t="shared" si="1"/>
        <v/>
      </c>
    </row>
    <row r="74">
      <c r="A74" s="37"/>
      <c r="B74" s="37"/>
      <c r="C74" s="37"/>
      <c r="D74" s="37"/>
      <c r="E74" s="36"/>
      <c r="F74" s="36"/>
      <c r="G74" s="36" t="str">
        <f t="shared" si="1"/>
        <v/>
      </c>
    </row>
    <row r="75">
      <c r="A75" s="37"/>
      <c r="B75" s="37"/>
      <c r="C75" s="37"/>
      <c r="D75" s="37"/>
      <c r="E75" s="36"/>
      <c r="F75" s="36"/>
      <c r="G75" s="36" t="str">
        <f t="shared" si="1"/>
        <v/>
      </c>
    </row>
    <row r="76">
      <c r="A76" s="37"/>
      <c r="B76" s="37"/>
      <c r="C76" s="37"/>
      <c r="D76" s="37"/>
      <c r="E76" s="36"/>
      <c r="F76" s="36"/>
      <c r="G76" s="36" t="str">
        <f t="shared" si="1"/>
        <v/>
      </c>
    </row>
    <row r="77">
      <c r="A77" s="37"/>
      <c r="B77" s="37"/>
      <c r="C77" s="37"/>
      <c r="D77" s="37"/>
      <c r="E77" s="36"/>
      <c r="F77" s="36"/>
      <c r="G77" s="36" t="str">
        <f t="shared" si="1"/>
        <v/>
      </c>
    </row>
    <row r="78">
      <c r="A78" s="37"/>
      <c r="B78" s="37"/>
      <c r="C78" s="37"/>
      <c r="D78" s="37"/>
      <c r="E78" s="36"/>
      <c r="F78" s="36"/>
      <c r="G78" s="36" t="str">
        <f t="shared" si="1"/>
        <v/>
      </c>
    </row>
    <row r="79">
      <c r="A79" s="37"/>
      <c r="B79" s="37"/>
      <c r="C79" s="37"/>
      <c r="D79" s="37"/>
      <c r="E79" s="36"/>
      <c r="F79" s="36"/>
      <c r="G79" s="36" t="str">
        <f t="shared" si="1"/>
        <v/>
      </c>
    </row>
    <row r="80">
      <c r="A80" s="37"/>
      <c r="B80" s="37"/>
      <c r="C80" s="37"/>
      <c r="D80" s="37"/>
      <c r="E80" s="36"/>
      <c r="F80" s="36"/>
      <c r="G80" s="36" t="str">
        <f t="shared" si="1"/>
        <v/>
      </c>
    </row>
    <row r="81">
      <c r="A81" s="37"/>
      <c r="B81" s="37"/>
      <c r="C81" s="37"/>
      <c r="D81" s="37"/>
      <c r="E81" s="36"/>
      <c r="F81" s="36"/>
      <c r="G81" s="36" t="str">
        <f t="shared" si="1"/>
        <v/>
      </c>
    </row>
    <row r="82">
      <c r="A82" s="37"/>
      <c r="B82" s="37"/>
      <c r="C82" s="37"/>
      <c r="D82" s="37"/>
      <c r="E82" s="36"/>
      <c r="F82" s="36"/>
      <c r="G82" s="36" t="str">
        <f t="shared" si="1"/>
        <v/>
      </c>
    </row>
    <row r="83">
      <c r="A83" s="37"/>
      <c r="B83" s="37"/>
      <c r="C83" s="37"/>
      <c r="D83" s="37"/>
      <c r="E83" s="36"/>
      <c r="F83" s="36"/>
      <c r="G83" s="36" t="str">
        <f t="shared" si="1"/>
        <v/>
      </c>
    </row>
    <row r="84">
      <c r="A84" s="37"/>
      <c r="B84" s="37"/>
      <c r="C84" s="37"/>
      <c r="D84" s="37"/>
      <c r="E84" s="36"/>
      <c r="F84" s="36"/>
      <c r="G84" s="36" t="str">
        <f t="shared" si="1"/>
        <v/>
      </c>
    </row>
    <row r="85">
      <c r="A85" s="37"/>
      <c r="B85" s="37"/>
      <c r="C85" s="37"/>
      <c r="D85" s="37"/>
      <c r="E85" s="36"/>
      <c r="F85" s="36"/>
      <c r="G85" s="36" t="str">
        <f t="shared" si="1"/>
        <v/>
      </c>
    </row>
    <row r="86">
      <c r="A86" s="37"/>
      <c r="B86" s="37"/>
      <c r="C86" s="37"/>
      <c r="D86" s="37"/>
      <c r="E86" s="36"/>
      <c r="F86" s="36"/>
      <c r="G86" s="36" t="str">
        <f t="shared" si="1"/>
        <v/>
      </c>
    </row>
    <row r="87">
      <c r="A87" s="37"/>
      <c r="B87" s="37"/>
      <c r="C87" s="37"/>
      <c r="D87" s="37"/>
      <c r="E87" s="36"/>
      <c r="F87" s="36"/>
      <c r="G87" s="36" t="str">
        <f t="shared" si="1"/>
        <v/>
      </c>
    </row>
    <row r="88">
      <c r="A88" s="37"/>
      <c r="B88" s="37"/>
      <c r="C88" s="37"/>
      <c r="D88" s="37"/>
      <c r="E88" s="36"/>
      <c r="F88" s="36"/>
      <c r="G88" s="36" t="str">
        <f t="shared" si="1"/>
        <v/>
      </c>
    </row>
    <row r="89">
      <c r="A89" s="37"/>
      <c r="B89" s="37"/>
      <c r="C89" s="37"/>
      <c r="D89" s="37"/>
      <c r="E89" s="36"/>
      <c r="F89" s="36"/>
      <c r="G89" s="36" t="str">
        <f t="shared" si="1"/>
        <v/>
      </c>
    </row>
    <row r="90">
      <c r="A90" s="37"/>
      <c r="B90" s="37"/>
      <c r="C90" s="37"/>
      <c r="D90" s="37"/>
      <c r="E90" s="36"/>
      <c r="F90" s="36"/>
      <c r="G90" s="36" t="str">
        <f t="shared" si="1"/>
        <v/>
      </c>
    </row>
    <row r="91">
      <c r="A91" s="37"/>
      <c r="B91" s="37"/>
      <c r="C91" s="37"/>
      <c r="D91" s="37"/>
      <c r="E91" s="36"/>
      <c r="F91" s="36"/>
      <c r="G91" s="36" t="str">
        <f t="shared" si="1"/>
        <v/>
      </c>
    </row>
    <row r="92">
      <c r="A92" s="37"/>
      <c r="B92" s="37"/>
      <c r="C92" s="37"/>
      <c r="D92" s="37"/>
      <c r="E92" s="36"/>
      <c r="F92" s="36"/>
      <c r="G92" s="36" t="str">
        <f t="shared" si="1"/>
        <v/>
      </c>
    </row>
    <row r="93">
      <c r="A93" s="37"/>
      <c r="B93" s="37"/>
      <c r="C93" s="37"/>
      <c r="D93" s="37"/>
      <c r="E93" s="36"/>
      <c r="F93" s="36"/>
      <c r="G93" s="36" t="str">
        <f t="shared" si="1"/>
        <v/>
      </c>
    </row>
    <row r="94">
      <c r="A94" s="37"/>
      <c r="B94" s="37"/>
      <c r="C94" s="37"/>
      <c r="D94" s="37"/>
      <c r="E94" s="36"/>
      <c r="F94" s="36"/>
      <c r="G94" s="36" t="str">
        <f t="shared" si="1"/>
        <v/>
      </c>
    </row>
    <row r="95">
      <c r="A95" s="37"/>
      <c r="B95" s="37"/>
      <c r="C95" s="37"/>
      <c r="D95" s="37"/>
      <c r="E95" s="36"/>
      <c r="F95" s="36"/>
      <c r="G95" s="36" t="str">
        <f t="shared" si="1"/>
        <v/>
      </c>
    </row>
    <row r="96">
      <c r="A96" s="37"/>
      <c r="B96" s="37"/>
      <c r="C96" s="37"/>
      <c r="D96" s="37"/>
      <c r="E96" s="36"/>
      <c r="F96" s="36"/>
      <c r="G96" s="36" t="str">
        <f t="shared" si="1"/>
        <v/>
      </c>
    </row>
    <row r="97">
      <c r="A97" s="37"/>
      <c r="B97" s="37"/>
      <c r="C97" s="37"/>
      <c r="D97" s="37"/>
      <c r="E97" s="36"/>
      <c r="F97" s="36"/>
      <c r="G97" s="36" t="str">
        <f t="shared" si="1"/>
        <v/>
      </c>
    </row>
    <row r="98">
      <c r="A98" s="37"/>
      <c r="B98" s="37"/>
      <c r="C98" s="37"/>
      <c r="D98" s="37"/>
      <c r="E98" s="36"/>
      <c r="F98" s="36"/>
      <c r="G98" s="36" t="str">
        <f t="shared" si="1"/>
        <v/>
      </c>
    </row>
    <row r="99">
      <c r="A99" s="37"/>
      <c r="B99" s="37"/>
      <c r="C99" s="37"/>
      <c r="D99" s="37"/>
      <c r="E99" s="36"/>
      <c r="F99" s="36"/>
      <c r="G99" s="36" t="str">
        <f t="shared" si="1"/>
        <v/>
      </c>
    </row>
    <row r="100">
      <c r="A100" s="37"/>
      <c r="B100" s="37"/>
      <c r="C100" s="37"/>
      <c r="D100" s="37"/>
      <c r="E100" s="36"/>
      <c r="F100" s="36"/>
      <c r="G100" s="36" t="str">
        <f t="shared" si="1"/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>
        <f t="shared" ref="E102:F102" si="2">SUM(E7:E101)</f>
        <v>340710.55</v>
      </c>
      <c r="F102" s="55">
        <f t="shared" si="2"/>
        <v>0</v>
      </c>
      <c r="G102" s="56"/>
    </row>
  </sheetData>
  <mergeCells count="2">
    <mergeCell ref="A1:G1"/>
    <mergeCell ref="A5:G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1472</v>
      </c>
    </row>
    <row r="3">
      <c r="A3" s="57" t="s">
        <v>110</v>
      </c>
      <c r="B3" s="58">
        <v>-22235.069999999992</v>
      </c>
      <c r="D3" s="57" t="s">
        <v>111</v>
      </c>
      <c r="E3" s="59">
        <f>-17267.64+SUM(E7:E1000)-SUM(F7:F1000)</f>
        <v>-59758.42</v>
      </c>
    </row>
    <row r="5">
      <c r="A5" s="7" t="s">
        <v>121</v>
      </c>
    </row>
    <row r="6">
      <c r="A6" s="41" t="s">
        <v>113</v>
      </c>
      <c r="B6" s="41" t="s">
        <v>122</v>
      </c>
      <c r="C6" s="41" t="s">
        <v>115</v>
      </c>
      <c r="D6" s="41" t="s">
        <v>123</v>
      </c>
      <c r="E6" s="41" t="s">
        <v>124</v>
      </c>
      <c r="F6" s="41" t="s">
        <v>125</v>
      </c>
      <c r="G6" s="41" t="s">
        <v>119</v>
      </c>
    </row>
    <row r="7">
      <c r="A7" s="72">
        <v>45295.0</v>
      </c>
      <c r="B7" s="73" t="s">
        <v>1139</v>
      </c>
      <c r="C7" s="73" t="s">
        <v>1140</v>
      </c>
      <c r="D7" s="37"/>
      <c r="E7" s="75">
        <v>24078.0</v>
      </c>
      <c r="F7" s="76"/>
      <c r="G7" s="36">
        <f>IF(AND(E7="",F7=""),"",B3+E7-F7)</f>
        <v>1842.93</v>
      </c>
    </row>
    <row r="8">
      <c r="A8" s="77">
        <v>45295.0</v>
      </c>
      <c r="B8" s="73" t="s">
        <v>1141</v>
      </c>
      <c r="C8" s="73" t="s">
        <v>1142</v>
      </c>
      <c r="D8" s="37"/>
      <c r="E8" s="75">
        <v>142.97</v>
      </c>
      <c r="F8" s="76"/>
      <c r="G8" s="36">
        <f t="shared" ref="G8:G100" si="1">IF(AND(E8="",F8=""),"",G7+E8-F8)</f>
        <v>1985.9</v>
      </c>
    </row>
    <row r="9">
      <c r="A9" s="77">
        <v>45326.0</v>
      </c>
      <c r="B9" s="73" t="s">
        <v>1143</v>
      </c>
      <c r="C9" s="73" t="s">
        <v>1144</v>
      </c>
      <c r="D9" s="37"/>
      <c r="E9" s="75">
        <v>159.97</v>
      </c>
      <c r="F9" s="76"/>
      <c r="G9" s="36">
        <f t="shared" si="1"/>
        <v>2145.87</v>
      </c>
    </row>
    <row r="10">
      <c r="A10" s="77">
        <v>45326.0</v>
      </c>
      <c r="B10" s="73" t="s">
        <v>1143</v>
      </c>
      <c r="C10" s="73" t="s">
        <v>1144</v>
      </c>
      <c r="D10" s="37"/>
      <c r="E10" s="75">
        <v>503.93</v>
      </c>
      <c r="F10" s="76"/>
      <c r="G10" s="36">
        <f t="shared" si="1"/>
        <v>2649.8</v>
      </c>
    </row>
    <row r="11">
      <c r="A11" s="77">
        <v>45326.0</v>
      </c>
      <c r="B11" s="73" t="s">
        <v>1143</v>
      </c>
      <c r="C11" s="73" t="s">
        <v>1144</v>
      </c>
      <c r="D11" s="37"/>
      <c r="E11" s="75">
        <v>476.93</v>
      </c>
      <c r="F11" s="76"/>
      <c r="G11" s="36">
        <f t="shared" si="1"/>
        <v>3126.73</v>
      </c>
    </row>
    <row r="12">
      <c r="A12" s="73" t="s">
        <v>1145</v>
      </c>
      <c r="B12" s="73" t="s">
        <v>1146</v>
      </c>
      <c r="C12" s="73" t="s">
        <v>1147</v>
      </c>
      <c r="D12" s="37"/>
      <c r="E12" s="75">
        <v>564.94</v>
      </c>
      <c r="F12" s="76"/>
      <c r="G12" s="36">
        <f t="shared" si="1"/>
        <v>3691.67</v>
      </c>
    </row>
    <row r="13">
      <c r="A13" s="77">
        <v>45355.0</v>
      </c>
      <c r="B13" s="73" t="s">
        <v>1148</v>
      </c>
      <c r="C13" s="73" t="s">
        <v>1149</v>
      </c>
      <c r="D13" s="37"/>
      <c r="E13" s="75">
        <v>0.0</v>
      </c>
      <c r="F13" s="75">
        <v>4450.57</v>
      </c>
      <c r="G13" s="36">
        <f t="shared" si="1"/>
        <v>-758.9</v>
      </c>
    </row>
    <row r="14">
      <c r="A14" s="60" t="s">
        <v>1150</v>
      </c>
      <c r="B14" s="60" t="s">
        <v>1151</v>
      </c>
      <c r="C14" s="60" t="s">
        <v>1152</v>
      </c>
      <c r="D14" s="37"/>
      <c r="E14" s="68">
        <v>4348.76</v>
      </c>
      <c r="F14" s="68">
        <v>0.0</v>
      </c>
      <c r="G14" s="36">
        <f t="shared" si="1"/>
        <v>3589.86</v>
      </c>
    </row>
    <row r="15">
      <c r="A15" s="60" t="s">
        <v>1153</v>
      </c>
      <c r="B15" s="60" t="s">
        <v>1154</v>
      </c>
      <c r="C15" s="60" t="s">
        <v>1155</v>
      </c>
      <c r="D15" s="37"/>
      <c r="E15" s="68">
        <v>0.0</v>
      </c>
      <c r="F15" s="68">
        <v>100.0</v>
      </c>
      <c r="G15" s="36">
        <f t="shared" si="1"/>
        <v>3489.86</v>
      </c>
    </row>
    <row r="16">
      <c r="A16" s="60" t="s">
        <v>1039</v>
      </c>
      <c r="B16" s="60" t="s">
        <v>1156</v>
      </c>
      <c r="C16" s="60" t="s">
        <v>1157</v>
      </c>
      <c r="D16" s="37"/>
      <c r="E16" s="68">
        <v>365.68</v>
      </c>
      <c r="F16" s="79"/>
      <c r="G16" s="36">
        <f t="shared" si="1"/>
        <v>3855.54</v>
      </c>
    </row>
    <row r="17">
      <c r="A17" s="60" t="s">
        <v>1158</v>
      </c>
      <c r="B17" s="60" t="s">
        <v>1159</v>
      </c>
      <c r="C17" s="60" t="s">
        <v>1160</v>
      </c>
      <c r="D17" s="37"/>
      <c r="E17" s="68">
        <v>0.0</v>
      </c>
      <c r="F17" s="68">
        <v>2175.71</v>
      </c>
      <c r="G17" s="36">
        <f t="shared" si="1"/>
        <v>1679.83</v>
      </c>
    </row>
    <row r="18">
      <c r="A18" s="60" t="s">
        <v>1161</v>
      </c>
      <c r="B18" s="60" t="s">
        <v>1162</v>
      </c>
      <c r="C18" s="60" t="s">
        <v>1163</v>
      </c>
      <c r="D18" s="37"/>
      <c r="E18" s="68">
        <v>0.0</v>
      </c>
      <c r="F18" s="68">
        <v>1.94</v>
      </c>
      <c r="G18" s="36">
        <f t="shared" si="1"/>
        <v>1677.89</v>
      </c>
    </row>
    <row r="19">
      <c r="A19" s="63" t="s">
        <v>1066</v>
      </c>
      <c r="B19" s="60" t="s">
        <v>1164</v>
      </c>
      <c r="C19" s="60" t="s">
        <v>1165</v>
      </c>
      <c r="D19" s="37"/>
      <c r="E19" s="68">
        <v>0.0</v>
      </c>
      <c r="F19" s="68">
        <v>1.0</v>
      </c>
      <c r="G19" s="36">
        <f t="shared" si="1"/>
        <v>1676.89</v>
      </c>
    </row>
    <row r="20">
      <c r="A20" s="60" t="s">
        <v>1166</v>
      </c>
      <c r="B20" s="60" t="s">
        <v>1167</v>
      </c>
      <c r="C20" s="60" t="s">
        <v>1168</v>
      </c>
      <c r="D20" s="37"/>
      <c r="E20" s="68">
        <v>0.0</v>
      </c>
      <c r="F20" s="68">
        <v>2550.0</v>
      </c>
      <c r="G20" s="36">
        <f t="shared" si="1"/>
        <v>-873.11</v>
      </c>
    </row>
    <row r="21">
      <c r="A21" s="69">
        <v>45690.0</v>
      </c>
      <c r="B21" s="60" t="s">
        <v>1169</v>
      </c>
      <c r="C21" s="60" t="s">
        <v>1160</v>
      </c>
      <c r="D21" s="37"/>
      <c r="E21" s="68">
        <v>0.0</v>
      </c>
      <c r="F21" s="68">
        <v>2500.0</v>
      </c>
      <c r="G21" s="36">
        <f t="shared" si="1"/>
        <v>-3373.11</v>
      </c>
    </row>
    <row r="22">
      <c r="A22" s="69">
        <v>45750.0</v>
      </c>
      <c r="B22" s="60" t="s">
        <v>1170</v>
      </c>
      <c r="C22" s="60" t="s">
        <v>1160</v>
      </c>
      <c r="D22" s="37"/>
      <c r="E22" s="68">
        <v>0.0</v>
      </c>
      <c r="F22" s="68">
        <v>2000.0</v>
      </c>
      <c r="G22" s="36">
        <f t="shared" si="1"/>
        <v>-5373.11</v>
      </c>
    </row>
    <row r="23">
      <c r="A23" s="63" t="s">
        <v>1171</v>
      </c>
      <c r="B23" s="70"/>
      <c r="C23" s="60" t="s">
        <v>1172</v>
      </c>
      <c r="D23" s="37"/>
      <c r="E23" s="68">
        <v>201.0</v>
      </c>
      <c r="F23" s="68">
        <v>0.0</v>
      </c>
      <c r="G23" s="36">
        <f t="shared" si="1"/>
        <v>-5172.11</v>
      </c>
    </row>
    <row r="24">
      <c r="A24" s="69">
        <v>45873.0</v>
      </c>
      <c r="B24" s="60" t="s">
        <v>1173</v>
      </c>
      <c r="C24" s="60" t="s">
        <v>1160</v>
      </c>
      <c r="D24" s="37"/>
      <c r="E24" s="68">
        <v>0.0</v>
      </c>
      <c r="F24" s="68">
        <v>1500.0</v>
      </c>
      <c r="G24" s="36">
        <f t="shared" si="1"/>
        <v>-6672.11</v>
      </c>
    </row>
    <row r="25">
      <c r="A25" s="69">
        <v>45965.0</v>
      </c>
      <c r="B25" s="60" t="s">
        <v>1174</v>
      </c>
      <c r="C25" s="60" t="s">
        <v>1175</v>
      </c>
      <c r="D25" s="37"/>
      <c r="E25" s="68">
        <v>0.0</v>
      </c>
      <c r="F25" s="68">
        <v>0.02</v>
      </c>
      <c r="G25" s="36">
        <f t="shared" si="1"/>
        <v>-6672.13</v>
      </c>
    </row>
    <row r="26">
      <c r="A26" s="60" t="s">
        <v>1176</v>
      </c>
      <c r="B26" s="60" t="s">
        <v>1177</v>
      </c>
      <c r="C26" s="60" t="s">
        <v>1160</v>
      </c>
      <c r="D26" s="37"/>
      <c r="E26" s="68">
        <v>0.0</v>
      </c>
      <c r="F26" s="68">
        <v>285.96</v>
      </c>
      <c r="G26" s="36">
        <f t="shared" si="1"/>
        <v>-6958.09</v>
      </c>
    </row>
    <row r="27">
      <c r="A27" s="60" t="s">
        <v>1176</v>
      </c>
      <c r="B27" s="60" t="s">
        <v>1178</v>
      </c>
      <c r="C27" s="60" t="s">
        <v>1160</v>
      </c>
      <c r="D27" s="37"/>
      <c r="E27" s="68">
        <v>0.0</v>
      </c>
      <c r="F27" s="68">
        <v>1380.0</v>
      </c>
      <c r="G27" s="36">
        <f t="shared" si="1"/>
        <v>-8338.09</v>
      </c>
    </row>
    <row r="28">
      <c r="A28" s="60" t="s">
        <v>1179</v>
      </c>
      <c r="B28" s="60" t="s">
        <v>1180</v>
      </c>
      <c r="C28" s="60" t="s">
        <v>1160</v>
      </c>
      <c r="D28" s="37"/>
      <c r="E28" s="68">
        <v>0.0</v>
      </c>
      <c r="F28" s="68">
        <v>1000.0</v>
      </c>
      <c r="G28" s="36">
        <f t="shared" si="1"/>
        <v>-9338.09</v>
      </c>
    </row>
    <row r="29">
      <c r="A29" s="80">
        <v>45301.0</v>
      </c>
      <c r="B29" s="60" t="s">
        <v>1181</v>
      </c>
      <c r="C29" s="60" t="s">
        <v>1182</v>
      </c>
      <c r="D29" s="37"/>
      <c r="E29" s="79"/>
      <c r="F29" s="68">
        <v>4000.0</v>
      </c>
      <c r="G29" s="36">
        <f t="shared" si="1"/>
        <v>-13338.09</v>
      </c>
    </row>
    <row r="30">
      <c r="A30" s="69">
        <v>45721.0</v>
      </c>
      <c r="B30" s="60" t="s">
        <v>1183</v>
      </c>
      <c r="C30" s="60" t="s">
        <v>1184</v>
      </c>
      <c r="D30" s="37"/>
      <c r="E30" s="68">
        <v>0.0</v>
      </c>
      <c r="F30" s="68">
        <v>0.01</v>
      </c>
      <c r="G30" s="36">
        <f t="shared" si="1"/>
        <v>-13338.1</v>
      </c>
    </row>
    <row r="31">
      <c r="A31" s="69">
        <v>45782.0</v>
      </c>
      <c r="B31" s="60" t="s">
        <v>1185</v>
      </c>
      <c r="C31" s="60" t="s">
        <v>1168</v>
      </c>
      <c r="D31" s="37"/>
      <c r="E31" s="68">
        <v>0.0</v>
      </c>
      <c r="F31" s="68">
        <v>1600.0</v>
      </c>
      <c r="G31" s="36">
        <f t="shared" si="1"/>
        <v>-14938.1</v>
      </c>
    </row>
    <row r="32">
      <c r="A32" s="69">
        <v>45996.0</v>
      </c>
      <c r="B32" s="60" t="s">
        <v>1186</v>
      </c>
      <c r="C32" s="60" t="s">
        <v>1168</v>
      </c>
      <c r="D32" s="37"/>
      <c r="E32" s="68">
        <v>0.0</v>
      </c>
      <c r="F32" s="68">
        <v>1000.0</v>
      </c>
      <c r="G32" s="36">
        <f t="shared" si="1"/>
        <v>-15938.1</v>
      </c>
    </row>
    <row r="33">
      <c r="A33" s="60" t="s">
        <v>1187</v>
      </c>
      <c r="B33" s="60" t="s">
        <v>1188</v>
      </c>
      <c r="C33" s="60" t="s">
        <v>1168</v>
      </c>
      <c r="D33" s="37"/>
      <c r="E33" s="68">
        <v>0.0</v>
      </c>
      <c r="F33" s="68">
        <v>1389.0</v>
      </c>
      <c r="G33" s="36">
        <f t="shared" si="1"/>
        <v>-17327.1</v>
      </c>
    </row>
    <row r="34">
      <c r="A34" s="60" t="s">
        <v>1189</v>
      </c>
      <c r="B34" s="60" t="s">
        <v>1190</v>
      </c>
      <c r="C34" s="60" t="s">
        <v>1191</v>
      </c>
      <c r="D34" s="37"/>
      <c r="E34" s="68">
        <v>0.0</v>
      </c>
      <c r="F34" s="68">
        <v>523.92</v>
      </c>
      <c r="G34" s="36">
        <f t="shared" si="1"/>
        <v>-17851.02</v>
      </c>
    </row>
    <row r="35">
      <c r="A35" s="60" t="s">
        <v>1192</v>
      </c>
      <c r="B35" s="60" t="s">
        <v>1193</v>
      </c>
      <c r="C35" s="60" t="s">
        <v>1168</v>
      </c>
      <c r="D35" s="37"/>
      <c r="E35" s="68">
        <v>0.0</v>
      </c>
      <c r="F35" s="68">
        <v>1000.0</v>
      </c>
      <c r="G35" s="36">
        <f t="shared" si="1"/>
        <v>-18851.02</v>
      </c>
    </row>
    <row r="36">
      <c r="A36" s="60" t="s">
        <v>1194</v>
      </c>
      <c r="B36" s="60" t="s">
        <v>1195</v>
      </c>
      <c r="C36" s="60" t="s">
        <v>1168</v>
      </c>
      <c r="D36" s="37"/>
      <c r="E36" s="68">
        <v>0.0</v>
      </c>
      <c r="F36" s="68">
        <v>1488.0</v>
      </c>
      <c r="G36" s="36">
        <f t="shared" si="1"/>
        <v>-20339.02</v>
      </c>
    </row>
    <row r="37">
      <c r="A37" s="69">
        <v>45783.0</v>
      </c>
      <c r="B37" s="60" t="s">
        <v>1196</v>
      </c>
      <c r="C37" s="60" t="s">
        <v>1160</v>
      </c>
      <c r="D37" s="37"/>
      <c r="E37" s="68">
        <v>0.0</v>
      </c>
      <c r="F37" s="68">
        <v>1005.88</v>
      </c>
      <c r="G37" s="36">
        <f t="shared" si="1"/>
        <v>-21344.9</v>
      </c>
    </row>
    <row r="38">
      <c r="A38" s="69">
        <v>45906.0</v>
      </c>
      <c r="B38" s="60" t="s">
        <v>1197</v>
      </c>
      <c r="C38" s="60" t="s">
        <v>1191</v>
      </c>
      <c r="D38" s="37"/>
      <c r="E38" s="68">
        <v>0.0</v>
      </c>
      <c r="F38" s="68">
        <v>108.98</v>
      </c>
      <c r="G38" s="36">
        <f t="shared" si="1"/>
        <v>-21453.88</v>
      </c>
    </row>
    <row r="39">
      <c r="A39" s="60" t="s">
        <v>1198</v>
      </c>
      <c r="B39" s="60" t="s">
        <v>1199</v>
      </c>
      <c r="C39" s="60" t="s">
        <v>1160</v>
      </c>
      <c r="D39" s="37"/>
      <c r="E39" s="68">
        <v>0.0</v>
      </c>
      <c r="F39" s="68">
        <v>1020.84</v>
      </c>
      <c r="G39" s="36">
        <f t="shared" si="1"/>
        <v>-22474.72</v>
      </c>
    </row>
    <row r="40">
      <c r="A40" s="60" t="s">
        <v>1200</v>
      </c>
      <c r="B40" s="60" t="s">
        <v>1201</v>
      </c>
      <c r="C40" s="60" t="s">
        <v>1202</v>
      </c>
      <c r="D40" s="37"/>
      <c r="E40" s="68">
        <v>0.0</v>
      </c>
      <c r="F40" s="68">
        <v>0.01</v>
      </c>
      <c r="G40" s="36">
        <f t="shared" si="1"/>
        <v>-22474.73</v>
      </c>
    </row>
    <row r="41">
      <c r="A41" s="63" t="s">
        <v>1084</v>
      </c>
      <c r="B41" s="60" t="s">
        <v>1203</v>
      </c>
      <c r="C41" s="60" t="s">
        <v>1160</v>
      </c>
      <c r="D41" s="37"/>
      <c r="E41" s="68">
        <v>0.0</v>
      </c>
      <c r="F41" s="68">
        <v>290.0</v>
      </c>
      <c r="G41" s="36">
        <f t="shared" si="1"/>
        <v>-22764.73</v>
      </c>
    </row>
    <row r="42">
      <c r="A42" s="63" t="s">
        <v>1204</v>
      </c>
      <c r="B42" s="70"/>
      <c r="C42" s="60" t="s">
        <v>1205</v>
      </c>
      <c r="D42" s="37"/>
      <c r="E42" s="68">
        <v>0.0</v>
      </c>
      <c r="F42" s="68">
        <v>29.0</v>
      </c>
      <c r="G42" s="36">
        <f t="shared" si="1"/>
        <v>-22793.73</v>
      </c>
    </row>
    <row r="43">
      <c r="A43" s="60" t="s">
        <v>1473</v>
      </c>
      <c r="B43" s="60" t="s">
        <v>1474</v>
      </c>
      <c r="C43" s="60" t="s">
        <v>1475</v>
      </c>
      <c r="D43" s="37"/>
      <c r="E43" s="68">
        <v>0.0</v>
      </c>
      <c r="F43" s="68">
        <v>613.0</v>
      </c>
      <c r="G43" s="36">
        <f t="shared" si="1"/>
        <v>-23406.73</v>
      </c>
    </row>
    <row r="44">
      <c r="A44" s="60" t="s">
        <v>1476</v>
      </c>
      <c r="B44" s="60" t="s">
        <v>1477</v>
      </c>
      <c r="C44" s="60" t="s">
        <v>1478</v>
      </c>
      <c r="D44" s="37"/>
      <c r="E44" s="68">
        <v>0.0</v>
      </c>
      <c r="F44" s="68">
        <v>3111.0</v>
      </c>
      <c r="G44" s="36">
        <f t="shared" si="1"/>
        <v>-26517.73</v>
      </c>
    </row>
    <row r="45">
      <c r="A45" s="60" t="s">
        <v>1206</v>
      </c>
      <c r="B45" s="60" t="s">
        <v>1207</v>
      </c>
      <c r="C45" s="60" t="s">
        <v>1208</v>
      </c>
      <c r="D45" s="37"/>
      <c r="E45" s="68">
        <v>3938.28</v>
      </c>
      <c r="F45" s="68">
        <v>0.0</v>
      </c>
      <c r="G45" s="36">
        <f t="shared" si="1"/>
        <v>-22579.45</v>
      </c>
    </row>
    <row r="46">
      <c r="A46" s="60" t="s">
        <v>1206</v>
      </c>
      <c r="B46" s="60" t="s">
        <v>1207</v>
      </c>
      <c r="C46" s="60" t="s">
        <v>1208</v>
      </c>
      <c r="D46" s="37"/>
      <c r="E46" s="68">
        <v>3938.28</v>
      </c>
      <c r="F46" s="68">
        <v>0.0</v>
      </c>
      <c r="G46" s="36">
        <f t="shared" si="1"/>
        <v>-18641.17</v>
      </c>
    </row>
    <row r="47">
      <c r="A47" s="63" t="s">
        <v>1479</v>
      </c>
      <c r="B47" s="60" t="s">
        <v>1480</v>
      </c>
      <c r="C47" s="60" t="s">
        <v>1478</v>
      </c>
      <c r="D47" s="37"/>
      <c r="E47" s="68">
        <v>0.0</v>
      </c>
      <c r="F47" s="68">
        <v>579.0</v>
      </c>
      <c r="G47" s="36">
        <f t="shared" si="1"/>
        <v>-19220.17</v>
      </c>
    </row>
    <row r="48">
      <c r="A48" s="69">
        <v>45999.0</v>
      </c>
      <c r="B48" s="60" t="s">
        <v>1481</v>
      </c>
      <c r="C48" s="60" t="s">
        <v>1160</v>
      </c>
      <c r="D48" s="37"/>
      <c r="E48" s="68">
        <v>0.0</v>
      </c>
      <c r="F48" s="68">
        <v>681.03</v>
      </c>
      <c r="G48" s="36">
        <f t="shared" si="1"/>
        <v>-19901.2</v>
      </c>
    </row>
    <row r="49">
      <c r="A49" s="69">
        <v>45999.0</v>
      </c>
      <c r="B49" s="60" t="s">
        <v>1482</v>
      </c>
      <c r="C49" s="60" t="s">
        <v>1160</v>
      </c>
      <c r="D49" s="37"/>
      <c r="E49" s="68">
        <v>0.0</v>
      </c>
      <c r="F49" s="68">
        <v>804.26</v>
      </c>
      <c r="G49" s="36">
        <f t="shared" si="1"/>
        <v>-20705.46</v>
      </c>
    </row>
    <row r="50">
      <c r="A50" s="60" t="s">
        <v>1093</v>
      </c>
      <c r="B50" s="60" t="s">
        <v>1483</v>
      </c>
      <c r="C50" s="60" t="s">
        <v>1484</v>
      </c>
      <c r="D50" s="37"/>
      <c r="E50" s="68">
        <v>0.0</v>
      </c>
      <c r="F50" s="68">
        <v>460.0</v>
      </c>
      <c r="G50" s="36">
        <f t="shared" si="1"/>
        <v>-21165.46</v>
      </c>
    </row>
    <row r="51">
      <c r="A51" s="60" t="s">
        <v>1485</v>
      </c>
      <c r="B51" s="60" t="s">
        <v>1486</v>
      </c>
      <c r="C51" s="60" t="s">
        <v>1478</v>
      </c>
      <c r="D51" s="37"/>
      <c r="E51" s="68">
        <v>0.0</v>
      </c>
      <c r="F51" s="68">
        <v>511.0</v>
      </c>
      <c r="G51" s="36">
        <f t="shared" si="1"/>
        <v>-21676.46</v>
      </c>
    </row>
    <row r="52">
      <c r="A52" s="60" t="s">
        <v>1487</v>
      </c>
      <c r="B52" s="60" t="s">
        <v>1488</v>
      </c>
      <c r="C52" s="60" t="s">
        <v>1478</v>
      </c>
      <c r="D52" s="37"/>
      <c r="E52" s="68">
        <v>0.0</v>
      </c>
      <c r="F52" s="68">
        <v>300.0</v>
      </c>
      <c r="G52" s="36">
        <f t="shared" si="1"/>
        <v>-21976.46</v>
      </c>
    </row>
    <row r="53">
      <c r="A53" s="60" t="s">
        <v>1489</v>
      </c>
      <c r="B53" s="60" t="s">
        <v>1490</v>
      </c>
      <c r="C53" s="60" t="s">
        <v>1160</v>
      </c>
      <c r="D53" s="37"/>
      <c r="E53" s="68">
        <v>0.0</v>
      </c>
      <c r="F53" s="68">
        <v>2237.16</v>
      </c>
      <c r="G53" s="36">
        <f t="shared" si="1"/>
        <v>-24213.62</v>
      </c>
    </row>
    <row r="54">
      <c r="A54" s="60" t="s">
        <v>1209</v>
      </c>
      <c r="B54" s="60" t="s">
        <v>1210</v>
      </c>
      <c r="C54" s="60" t="s">
        <v>1160</v>
      </c>
      <c r="D54" s="37"/>
      <c r="E54" s="68">
        <v>0.0</v>
      </c>
      <c r="F54" s="68">
        <v>607.92</v>
      </c>
      <c r="G54" s="36">
        <f t="shared" si="1"/>
        <v>-24821.54</v>
      </c>
    </row>
    <row r="55">
      <c r="A55" s="60" t="s">
        <v>1209</v>
      </c>
      <c r="B55" s="60" t="s">
        <v>1491</v>
      </c>
      <c r="C55" s="60" t="s">
        <v>1160</v>
      </c>
      <c r="D55" s="37"/>
      <c r="E55" s="68">
        <v>0.0</v>
      </c>
      <c r="F55" s="68">
        <v>494.02</v>
      </c>
      <c r="G55" s="36">
        <f t="shared" si="1"/>
        <v>-25315.56</v>
      </c>
    </row>
    <row r="56">
      <c r="A56" s="60" t="s">
        <v>1211</v>
      </c>
      <c r="B56" s="60" t="s">
        <v>1212</v>
      </c>
      <c r="C56" s="60" t="s">
        <v>1213</v>
      </c>
      <c r="D56" s="37"/>
      <c r="E56" s="68">
        <v>3938.28</v>
      </c>
      <c r="F56" s="68">
        <v>0.0</v>
      </c>
      <c r="G56" s="36">
        <f t="shared" si="1"/>
        <v>-21377.28</v>
      </c>
    </row>
    <row r="57">
      <c r="A57" s="60" t="s">
        <v>1211</v>
      </c>
      <c r="B57" s="60" t="s">
        <v>1212</v>
      </c>
      <c r="C57" s="60" t="s">
        <v>1214</v>
      </c>
      <c r="D57" s="37"/>
      <c r="E57" s="68">
        <v>3938.28</v>
      </c>
      <c r="F57" s="68">
        <v>0.0</v>
      </c>
      <c r="G57" s="36">
        <f t="shared" si="1"/>
        <v>-17439</v>
      </c>
    </row>
    <row r="58">
      <c r="A58" s="60" t="s">
        <v>1215</v>
      </c>
      <c r="B58" s="60" t="s">
        <v>1216</v>
      </c>
      <c r="C58" s="60" t="s">
        <v>1217</v>
      </c>
      <c r="D58" s="37"/>
      <c r="E58" s="68">
        <v>5000.0</v>
      </c>
      <c r="F58" s="68">
        <v>0.0</v>
      </c>
      <c r="G58" s="36">
        <f t="shared" si="1"/>
        <v>-12439</v>
      </c>
    </row>
    <row r="59">
      <c r="A59" s="60" t="s">
        <v>1215</v>
      </c>
      <c r="B59" s="60" t="s">
        <v>1492</v>
      </c>
      <c r="C59" s="60" t="s">
        <v>1493</v>
      </c>
      <c r="D59" s="37"/>
      <c r="E59" s="68">
        <v>0.0</v>
      </c>
      <c r="F59" s="68">
        <v>141.0</v>
      </c>
      <c r="G59" s="36">
        <f t="shared" si="1"/>
        <v>-12580</v>
      </c>
    </row>
    <row r="60">
      <c r="A60" s="63" t="s">
        <v>1215</v>
      </c>
      <c r="B60" s="70"/>
      <c r="C60" s="60" t="s">
        <v>1218</v>
      </c>
      <c r="D60" s="37"/>
      <c r="E60" s="66">
        <v>345.0</v>
      </c>
      <c r="F60" s="79"/>
      <c r="G60" s="36">
        <f t="shared" si="1"/>
        <v>-12235</v>
      </c>
    </row>
    <row r="61">
      <c r="A61" s="80">
        <v>45666.0</v>
      </c>
      <c r="B61" s="60" t="s">
        <v>1494</v>
      </c>
      <c r="C61" s="60" t="s">
        <v>1495</v>
      </c>
      <c r="D61" s="37"/>
      <c r="E61" s="68">
        <v>0.0</v>
      </c>
      <c r="F61" s="68">
        <v>242.0</v>
      </c>
      <c r="G61" s="36">
        <f t="shared" si="1"/>
        <v>-12477</v>
      </c>
    </row>
    <row r="62">
      <c r="A62" s="69">
        <v>45666.0</v>
      </c>
      <c r="B62" s="60" t="s">
        <v>1219</v>
      </c>
      <c r="C62" s="60" t="s">
        <v>1220</v>
      </c>
      <c r="D62" s="37"/>
      <c r="E62" s="68">
        <v>0.0</v>
      </c>
      <c r="F62" s="68">
        <v>351.0</v>
      </c>
      <c r="G62" s="36">
        <f t="shared" si="1"/>
        <v>-12828</v>
      </c>
    </row>
    <row r="63">
      <c r="A63" s="69">
        <v>45666.0</v>
      </c>
      <c r="B63" s="60" t="s">
        <v>1219</v>
      </c>
      <c r="C63" s="60" t="s">
        <v>1220</v>
      </c>
      <c r="D63" s="37"/>
      <c r="E63" s="68">
        <v>0.0</v>
      </c>
      <c r="F63" s="68">
        <v>75.0</v>
      </c>
      <c r="G63" s="36">
        <f t="shared" si="1"/>
        <v>-12903</v>
      </c>
    </row>
    <row r="64">
      <c r="A64" s="69">
        <v>45666.0</v>
      </c>
      <c r="B64" s="60" t="s">
        <v>1221</v>
      </c>
      <c r="C64" s="60" t="s">
        <v>1220</v>
      </c>
      <c r="D64" s="37"/>
      <c r="E64" s="68">
        <v>0.0</v>
      </c>
      <c r="F64" s="68">
        <v>195.22</v>
      </c>
      <c r="G64" s="36">
        <f t="shared" si="1"/>
        <v>-13098.22</v>
      </c>
    </row>
    <row r="65">
      <c r="A65" s="69">
        <v>45697.0</v>
      </c>
      <c r="B65" s="60" t="s">
        <v>1496</v>
      </c>
      <c r="C65" s="60" t="s">
        <v>1223</v>
      </c>
      <c r="D65" s="37"/>
      <c r="E65" s="68">
        <v>0.0</v>
      </c>
      <c r="F65" s="68">
        <v>232.53</v>
      </c>
      <c r="G65" s="36">
        <f t="shared" si="1"/>
        <v>-13330.75</v>
      </c>
    </row>
    <row r="66">
      <c r="A66" s="69">
        <v>45756.0</v>
      </c>
      <c r="B66" s="60" t="s">
        <v>1497</v>
      </c>
      <c r="C66" s="60" t="s">
        <v>1495</v>
      </c>
      <c r="D66" s="37"/>
      <c r="E66" s="68">
        <v>0.0</v>
      </c>
      <c r="F66" s="68">
        <v>289.97</v>
      </c>
      <c r="G66" s="36">
        <f t="shared" si="1"/>
        <v>-13620.72</v>
      </c>
    </row>
    <row r="67">
      <c r="A67" s="69">
        <v>45756.0</v>
      </c>
      <c r="B67" s="60" t="s">
        <v>1498</v>
      </c>
      <c r="C67" s="60" t="s">
        <v>1499</v>
      </c>
      <c r="D67" s="37"/>
      <c r="E67" s="68">
        <v>0.0</v>
      </c>
      <c r="F67" s="68">
        <v>3488.68</v>
      </c>
      <c r="G67" s="36">
        <f t="shared" si="1"/>
        <v>-17109.4</v>
      </c>
    </row>
    <row r="68">
      <c r="A68" s="69">
        <v>45786.0</v>
      </c>
      <c r="B68" s="60" t="s">
        <v>1500</v>
      </c>
      <c r="C68" s="60" t="s">
        <v>1223</v>
      </c>
      <c r="D68" s="37"/>
      <c r="E68" s="68">
        <v>0.0</v>
      </c>
      <c r="F68" s="68">
        <v>401.98</v>
      </c>
      <c r="G68" s="36">
        <f t="shared" si="1"/>
        <v>-17511.38</v>
      </c>
    </row>
    <row r="69">
      <c r="A69" s="69">
        <v>45817.0</v>
      </c>
      <c r="B69" s="60" t="s">
        <v>1501</v>
      </c>
      <c r="C69" s="60" t="s">
        <v>1499</v>
      </c>
      <c r="D69" s="37"/>
      <c r="E69" s="68">
        <v>0.0</v>
      </c>
      <c r="F69" s="68">
        <v>1192.0</v>
      </c>
      <c r="G69" s="36">
        <f t="shared" si="1"/>
        <v>-18703.38</v>
      </c>
    </row>
    <row r="70">
      <c r="A70" s="69">
        <v>45817.0</v>
      </c>
      <c r="B70" s="60" t="s">
        <v>1502</v>
      </c>
      <c r="C70" s="60" t="s">
        <v>1503</v>
      </c>
      <c r="D70" s="37"/>
      <c r="E70" s="68">
        <v>0.0</v>
      </c>
      <c r="F70" s="68">
        <v>1991.84</v>
      </c>
      <c r="G70" s="36">
        <f t="shared" si="1"/>
        <v>-20695.22</v>
      </c>
    </row>
    <row r="71">
      <c r="A71" s="69">
        <v>45847.0</v>
      </c>
      <c r="B71" s="60" t="s">
        <v>1504</v>
      </c>
      <c r="C71" s="60" t="s">
        <v>1499</v>
      </c>
      <c r="D71" s="37"/>
      <c r="E71" s="68">
        <v>0.0</v>
      </c>
      <c r="F71" s="68">
        <v>476.0</v>
      </c>
      <c r="G71" s="36">
        <f t="shared" si="1"/>
        <v>-21171.22</v>
      </c>
    </row>
    <row r="72">
      <c r="A72" s="69">
        <v>45847.0</v>
      </c>
      <c r="B72" s="60" t="s">
        <v>1505</v>
      </c>
      <c r="C72" s="60" t="s">
        <v>1506</v>
      </c>
      <c r="D72" s="37"/>
      <c r="E72" s="68">
        <v>0.0</v>
      </c>
      <c r="F72" s="68">
        <v>3794.0</v>
      </c>
      <c r="G72" s="36">
        <f t="shared" si="1"/>
        <v>-24965.22</v>
      </c>
    </row>
    <row r="73">
      <c r="A73" s="69">
        <v>45878.0</v>
      </c>
      <c r="B73" s="60" t="s">
        <v>1507</v>
      </c>
      <c r="C73" s="60" t="s">
        <v>1508</v>
      </c>
      <c r="D73" s="37"/>
      <c r="E73" s="68">
        <v>0.0</v>
      </c>
      <c r="F73" s="68">
        <v>179.0</v>
      </c>
      <c r="G73" s="36">
        <f t="shared" si="1"/>
        <v>-25144.22</v>
      </c>
    </row>
    <row r="74">
      <c r="A74" s="69">
        <v>45909.0</v>
      </c>
      <c r="B74" s="60" t="s">
        <v>1509</v>
      </c>
      <c r="C74" s="60" t="s">
        <v>1508</v>
      </c>
      <c r="D74" s="37"/>
      <c r="E74" s="68">
        <v>0.0</v>
      </c>
      <c r="F74" s="68">
        <v>511.0</v>
      </c>
      <c r="G74" s="36">
        <f t="shared" si="1"/>
        <v>-25655.22</v>
      </c>
    </row>
    <row r="75">
      <c r="A75" s="69">
        <v>45939.0</v>
      </c>
      <c r="B75" s="60" t="s">
        <v>1510</v>
      </c>
      <c r="C75" s="60" t="s">
        <v>1223</v>
      </c>
      <c r="D75" s="37"/>
      <c r="E75" s="68">
        <v>0.0</v>
      </c>
      <c r="F75" s="68">
        <v>476.93</v>
      </c>
      <c r="G75" s="36">
        <f t="shared" si="1"/>
        <v>-26132.15</v>
      </c>
    </row>
    <row r="76">
      <c r="A76" s="69">
        <v>45970.0</v>
      </c>
      <c r="B76" s="60" t="s">
        <v>1511</v>
      </c>
      <c r="C76" s="60" t="s">
        <v>1495</v>
      </c>
      <c r="D76" s="37"/>
      <c r="E76" s="68">
        <v>0.0</v>
      </c>
      <c r="F76" s="68">
        <v>2633.75</v>
      </c>
      <c r="G76" s="36">
        <f t="shared" si="1"/>
        <v>-28765.9</v>
      </c>
    </row>
    <row r="77">
      <c r="A77" s="69">
        <v>45970.0</v>
      </c>
      <c r="B77" s="60" t="s">
        <v>1512</v>
      </c>
      <c r="C77" s="60" t="s">
        <v>1478</v>
      </c>
      <c r="D77" s="37"/>
      <c r="E77" s="68">
        <v>0.0</v>
      </c>
      <c r="F77" s="68">
        <v>562.0</v>
      </c>
      <c r="G77" s="36">
        <f t="shared" si="1"/>
        <v>-29327.9</v>
      </c>
    </row>
    <row r="78">
      <c r="A78" s="69">
        <v>45970.0</v>
      </c>
      <c r="B78" s="60" t="s">
        <v>1513</v>
      </c>
      <c r="C78" s="60" t="s">
        <v>1514</v>
      </c>
      <c r="D78" s="37"/>
      <c r="E78" s="68">
        <v>0.0</v>
      </c>
      <c r="F78" s="68">
        <v>1186.0</v>
      </c>
      <c r="G78" s="36">
        <f t="shared" si="1"/>
        <v>-30513.9</v>
      </c>
    </row>
    <row r="79">
      <c r="A79" s="69">
        <v>45970.0</v>
      </c>
      <c r="B79" s="60" t="s">
        <v>1515</v>
      </c>
      <c r="C79" s="60" t="s">
        <v>1499</v>
      </c>
      <c r="D79" s="37"/>
      <c r="E79" s="68">
        <v>0.0</v>
      </c>
      <c r="F79" s="68">
        <v>1175.0</v>
      </c>
      <c r="G79" s="36">
        <f t="shared" si="1"/>
        <v>-31688.9</v>
      </c>
    </row>
    <row r="80">
      <c r="A80" s="60" t="s">
        <v>1102</v>
      </c>
      <c r="B80" s="60" t="s">
        <v>1222</v>
      </c>
      <c r="C80" s="60" t="s">
        <v>1223</v>
      </c>
      <c r="D80" s="37"/>
      <c r="E80" s="68">
        <v>0.0</v>
      </c>
      <c r="F80" s="68">
        <v>293.0</v>
      </c>
      <c r="G80" s="36">
        <f t="shared" si="1"/>
        <v>-31981.9</v>
      </c>
    </row>
    <row r="81">
      <c r="A81" s="60" t="s">
        <v>1102</v>
      </c>
      <c r="B81" s="60" t="s">
        <v>1222</v>
      </c>
      <c r="C81" s="60" t="s">
        <v>1223</v>
      </c>
      <c r="D81" s="37"/>
      <c r="E81" s="68">
        <v>0.0</v>
      </c>
      <c r="F81" s="68">
        <v>108.98</v>
      </c>
      <c r="G81" s="36">
        <f t="shared" si="1"/>
        <v>-32090.88</v>
      </c>
    </row>
    <row r="82">
      <c r="A82" s="60" t="s">
        <v>1105</v>
      </c>
      <c r="B82" s="60" t="s">
        <v>1516</v>
      </c>
      <c r="C82" s="60" t="s">
        <v>1495</v>
      </c>
      <c r="D82" s="37"/>
      <c r="E82" s="68">
        <v>0.0</v>
      </c>
      <c r="F82" s="68">
        <v>4128.0</v>
      </c>
      <c r="G82" s="36">
        <f t="shared" si="1"/>
        <v>-36218.88</v>
      </c>
    </row>
    <row r="83">
      <c r="A83" s="60" t="s">
        <v>1105</v>
      </c>
      <c r="B83" s="60" t="s">
        <v>1517</v>
      </c>
      <c r="C83" s="60" t="s">
        <v>1508</v>
      </c>
      <c r="D83" s="37"/>
      <c r="E83" s="68">
        <v>0.0</v>
      </c>
      <c r="F83" s="68">
        <v>1145.0</v>
      </c>
      <c r="G83" s="36">
        <f t="shared" si="1"/>
        <v>-37363.88</v>
      </c>
    </row>
    <row r="84">
      <c r="A84" s="60" t="s">
        <v>1518</v>
      </c>
      <c r="B84" s="60" t="s">
        <v>1519</v>
      </c>
      <c r="C84" s="60" t="s">
        <v>1499</v>
      </c>
      <c r="D84" s="37"/>
      <c r="E84" s="68">
        <v>0.0</v>
      </c>
      <c r="F84" s="68">
        <v>223.73</v>
      </c>
      <c r="G84" s="36">
        <f t="shared" si="1"/>
        <v>-37587.61</v>
      </c>
    </row>
    <row r="85">
      <c r="A85" s="60" t="s">
        <v>1518</v>
      </c>
      <c r="B85" s="60" t="s">
        <v>1520</v>
      </c>
      <c r="C85" s="60" t="s">
        <v>1503</v>
      </c>
      <c r="D85" s="37"/>
      <c r="E85" s="68">
        <v>0.0</v>
      </c>
      <c r="F85" s="68">
        <v>2449.9</v>
      </c>
      <c r="G85" s="36">
        <f t="shared" si="1"/>
        <v>-40037.51</v>
      </c>
    </row>
    <row r="86">
      <c r="A86" s="60" t="s">
        <v>1518</v>
      </c>
      <c r="B86" s="60" t="s">
        <v>1521</v>
      </c>
      <c r="C86" s="60" t="s">
        <v>1495</v>
      </c>
      <c r="D86" s="37"/>
      <c r="E86" s="68">
        <v>0.0</v>
      </c>
      <c r="F86" s="68">
        <v>460.0</v>
      </c>
      <c r="G86" s="36">
        <f t="shared" si="1"/>
        <v>-40497.51</v>
      </c>
    </row>
    <row r="87">
      <c r="A87" s="60" t="s">
        <v>1522</v>
      </c>
      <c r="B87" s="60" t="s">
        <v>1523</v>
      </c>
      <c r="C87" s="60" t="s">
        <v>1223</v>
      </c>
      <c r="D87" s="37"/>
      <c r="E87" s="68">
        <v>0.0</v>
      </c>
      <c r="F87" s="68">
        <v>126.0</v>
      </c>
      <c r="G87" s="36">
        <f t="shared" si="1"/>
        <v>-40623.51</v>
      </c>
    </row>
    <row r="88">
      <c r="A88" s="60" t="s">
        <v>1522</v>
      </c>
      <c r="B88" s="60" t="s">
        <v>1524</v>
      </c>
      <c r="C88" s="60" t="s">
        <v>1495</v>
      </c>
      <c r="D88" s="37"/>
      <c r="E88" s="68">
        <v>0.0</v>
      </c>
      <c r="F88" s="68">
        <v>2762.0</v>
      </c>
      <c r="G88" s="36">
        <f t="shared" si="1"/>
        <v>-43385.51</v>
      </c>
    </row>
    <row r="89">
      <c r="A89" s="60" t="s">
        <v>1522</v>
      </c>
      <c r="B89" s="60" t="s">
        <v>1525</v>
      </c>
      <c r="C89" s="60" t="s">
        <v>1495</v>
      </c>
      <c r="D89" s="37"/>
      <c r="E89" s="68">
        <v>0.0</v>
      </c>
      <c r="F89" s="68">
        <v>263.0</v>
      </c>
      <c r="G89" s="36">
        <f t="shared" si="1"/>
        <v>-43648.51</v>
      </c>
    </row>
    <row r="90">
      <c r="A90" s="60" t="s">
        <v>1522</v>
      </c>
      <c r="B90" s="60" t="s">
        <v>1526</v>
      </c>
      <c r="C90" s="60" t="s">
        <v>1478</v>
      </c>
      <c r="D90" s="37"/>
      <c r="E90" s="68">
        <v>0.0</v>
      </c>
      <c r="F90" s="68">
        <v>1067.0</v>
      </c>
      <c r="G90" s="36">
        <f t="shared" si="1"/>
        <v>-44715.51</v>
      </c>
    </row>
    <row r="91">
      <c r="A91" s="60" t="s">
        <v>1527</v>
      </c>
      <c r="B91" s="60" t="s">
        <v>1528</v>
      </c>
      <c r="C91" s="60" t="s">
        <v>1503</v>
      </c>
      <c r="D91" s="37"/>
      <c r="E91" s="68">
        <v>0.0</v>
      </c>
      <c r="F91" s="68">
        <v>385.0</v>
      </c>
      <c r="G91" s="36">
        <f t="shared" si="1"/>
        <v>-45100.51</v>
      </c>
    </row>
    <row r="92">
      <c r="A92" s="60" t="s">
        <v>1527</v>
      </c>
      <c r="B92" s="60" t="s">
        <v>1529</v>
      </c>
      <c r="C92" s="60" t="s">
        <v>1530</v>
      </c>
      <c r="D92" s="37"/>
      <c r="E92" s="68">
        <v>0.0</v>
      </c>
      <c r="F92" s="68">
        <v>664.0</v>
      </c>
      <c r="G92" s="36">
        <f t="shared" si="1"/>
        <v>-45764.51</v>
      </c>
    </row>
    <row r="93">
      <c r="A93" s="60" t="s">
        <v>1527</v>
      </c>
      <c r="B93" s="60" t="s">
        <v>1531</v>
      </c>
      <c r="C93" s="60" t="s">
        <v>1499</v>
      </c>
      <c r="D93" s="37"/>
      <c r="E93" s="68">
        <v>0.0</v>
      </c>
      <c r="F93" s="68">
        <v>294.29</v>
      </c>
      <c r="G93" s="36">
        <f t="shared" si="1"/>
        <v>-46058.8</v>
      </c>
    </row>
    <row r="94">
      <c r="A94" s="60" t="s">
        <v>1527</v>
      </c>
      <c r="B94" s="60" t="s">
        <v>1532</v>
      </c>
      <c r="C94" s="60" t="s">
        <v>1508</v>
      </c>
      <c r="D94" s="37"/>
      <c r="E94" s="68">
        <v>0.0</v>
      </c>
      <c r="F94" s="68">
        <v>48.0</v>
      </c>
      <c r="G94" s="36">
        <f t="shared" si="1"/>
        <v>-46106.8</v>
      </c>
    </row>
    <row r="95">
      <c r="A95" s="60" t="s">
        <v>1533</v>
      </c>
      <c r="B95" s="60" t="s">
        <v>1534</v>
      </c>
      <c r="C95" s="60" t="s">
        <v>1499</v>
      </c>
      <c r="D95" s="37"/>
      <c r="E95" s="68">
        <v>0.0</v>
      </c>
      <c r="F95" s="68">
        <v>3526.82</v>
      </c>
      <c r="G95" s="36">
        <f t="shared" si="1"/>
        <v>-49633.62</v>
      </c>
    </row>
    <row r="96">
      <c r="A96" s="60" t="s">
        <v>1533</v>
      </c>
      <c r="B96" s="60" t="s">
        <v>1535</v>
      </c>
      <c r="C96" s="60" t="s">
        <v>1223</v>
      </c>
      <c r="D96" s="37"/>
      <c r="E96" s="68">
        <v>0.0</v>
      </c>
      <c r="F96" s="68">
        <v>439.97</v>
      </c>
      <c r="G96" s="36">
        <f t="shared" si="1"/>
        <v>-50073.59</v>
      </c>
    </row>
    <row r="97">
      <c r="A97" s="60" t="s">
        <v>1536</v>
      </c>
      <c r="B97" s="60" t="s">
        <v>1537</v>
      </c>
      <c r="C97" s="60" t="s">
        <v>1223</v>
      </c>
      <c r="D97" s="37"/>
      <c r="E97" s="68">
        <v>0.0</v>
      </c>
      <c r="F97" s="68">
        <v>1357.95</v>
      </c>
      <c r="G97" s="36">
        <f t="shared" si="1"/>
        <v>-51431.54</v>
      </c>
    </row>
    <row r="98">
      <c r="A98" s="60" t="s">
        <v>1538</v>
      </c>
      <c r="B98" s="60" t="s">
        <v>1539</v>
      </c>
      <c r="C98" s="60" t="s">
        <v>1495</v>
      </c>
      <c r="D98" s="37"/>
      <c r="E98" s="68">
        <v>0.0</v>
      </c>
      <c r="F98" s="68">
        <v>1000.0</v>
      </c>
      <c r="G98" s="36">
        <f t="shared" si="1"/>
        <v>-52431.54</v>
      </c>
    </row>
    <row r="99">
      <c r="A99" s="60" t="s">
        <v>1538</v>
      </c>
      <c r="B99" s="60" t="s">
        <v>1540</v>
      </c>
      <c r="C99" s="60" t="s">
        <v>1508</v>
      </c>
      <c r="D99" s="37"/>
      <c r="E99" s="68">
        <v>0.0</v>
      </c>
      <c r="F99" s="68">
        <v>646.0</v>
      </c>
      <c r="G99" s="36">
        <f t="shared" si="1"/>
        <v>-53077.54</v>
      </c>
    </row>
    <row r="100">
      <c r="A100" s="60" t="s">
        <v>1538</v>
      </c>
      <c r="B100" s="60" t="s">
        <v>1541</v>
      </c>
      <c r="C100" s="60" t="s">
        <v>1493</v>
      </c>
      <c r="D100" s="37"/>
      <c r="E100" s="68">
        <v>0.0</v>
      </c>
      <c r="F100" s="68">
        <v>874.88</v>
      </c>
      <c r="G100" s="36">
        <f t="shared" si="1"/>
        <v>-53952.42</v>
      </c>
    </row>
    <row r="101">
      <c r="A101" s="60" t="s">
        <v>1108</v>
      </c>
      <c r="B101" s="60" t="s">
        <v>1542</v>
      </c>
      <c r="C101" s="60" t="s">
        <v>1495</v>
      </c>
      <c r="D101" s="37"/>
      <c r="E101" s="68">
        <v>0.0</v>
      </c>
      <c r="F101" s="68">
        <v>327.0</v>
      </c>
      <c r="G101" s="36"/>
    </row>
    <row r="102">
      <c r="A102" s="60" t="s">
        <v>1108</v>
      </c>
      <c r="B102" s="60" t="s">
        <v>1543</v>
      </c>
      <c r="C102" s="60" t="s">
        <v>1495</v>
      </c>
      <c r="D102" s="54"/>
      <c r="E102" s="68">
        <v>0.0</v>
      </c>
      <c r="F102" s="68">
        <v>562.0</v>
      </c>
      <c r="G102" s="39"/>
    </row>
    <row r="103">
      <c r="A103" s="60" t="s">
        <v>1108</v>
      </c>
      <c r="B103" s="60" t="s">
        <v>1544</v>
      </c>
      <c r="C103" s="60" t="s">
        <v>1530</v>
      </c>
      <c r="E103" s="63">
        <v>0.0</v>
      </c>
      <c r="F103" s="63">
        <v>913.0</v>
      </c>
      <c r="G103" s="37"/>
    </row>
    <row r="104">
      <c r="A104" s="60" t="s">
        <v>1110</v>
      </c>
      <c r="B104" s="60" t="s">
        <v>1545</v>
      </c>
      <c r="C104" s="60" t="s">
        <v>1478</v>
      </c>
      <c r="E104" s="63">
        <v>0.0</v>
      </c>
      <c r="F104" s="63">
        <v>300.0</v>
      </c>
      <c r="G104" s="37"/>
    </row>
    <row r="105">
      <c r="A105" s="60" t="s">
        <v>1110</v>
      </c>
      <c r="B105" s="60" t="s">
        <v>1546</v>
      </c>
      <c r="C105" s="60" t="s">
        <v>1495</v>
      </c>
      <c r="E105" s="63">
        <v>0.0</v>
      </c>
      <c r="F105" s="61">
        <v>2112.0</v>
      </c>
      <c r="G105" s="37"/>
    </row>
    <row r="106">
      <c r="A106" s="60" t="s">
        <v>1110</v>
      </c>
      <c r="B106" s="60" t="s">
        <v>1547</v>
      </c>
      <c r="C106" s="60" t="s">
        <v>1548</v>
      </c>
      <c r="E106" s="63">
        <v>0.0</v>
      </c>
      <c r="F106" s="63">
        <v>225.0</v>
      </c>
      <c r="G106" s="37"/>
    </row>
    <row r="107">
      <c r="A107" s="60" t="s">
        <v>1110</v>
      </c>
      <c r="B107" s="60" t="s">
        <v>1549</v>
      </c>
      <c r="C107" s="60" t="s">
        <v>1548</v>
      </c>
      <c r="E107" s="63">
        <v>0.0</v>
      </c>
      <c r="F107" s="61">
        <v>2190.15</v>
      </c>
      <c r="G107" s="37"/>
    </row>
    <row r="108">
      <c r="A108" s="60" t="s">
        <v>1550</v>
      </c>
      <c r="B108" s="60" t="s">
        <v>1551</v>
      </c>
      <c r="C108" s="60" t="s">
        <v>1530</v>
      </c>
      <c r="E108" s="63">
        <v>0.0</v>
      </c>
      <c r="F108" s="63">
        <v>128.0</v>
      </c>
      <c r="G108" s="37"/>
    </row>
    <row r="109">
      <c r="A109" s="60" t="s">
        <v>1550</v>
      </c>
      <c r="B109" s="60" t="s">
        <v>1552</v>
      </c>
      <c r="C109" s="60" t="s">
        <v>1514</v>
      </c>
      <c r="E109" s="63">
        <v>0.0</v>
      </c>
      <c r="F109" s="63">
        <v>953.06</v>
      </c>
      <c r="G109" s="37"/>
    </row>
    <row r="110">
      <c r="A110" s="60" t="s">
        <v>1550</v>
      </c>
      <c r="B110" s="60" t="s">
        <v>1553</v>
      </c>
      <c r="C110" s="60" t="s">
        <v>1495</v>
      </c>
      <c r="E110" s="63">
        <v>0.0</v>
      </c>
      <c r="F110" s="63">
        <v>459.94</v>
      </c>
      <c r="G110" s="37"/>
    </row>
    <row r="111">
      <c r="A111" s="60" t="s">
        <v>1554</v>
      </c>
      <c r="B111" s="60" t="s">
        <v>1555</v>
      </c>
      <c r="C111" s="60" t="s">
        <v>1514</v>
      </c>
      <c r="E111" s="63">
        <v>0.0</v>
      </c>
      <c r="F111" s="63">
        <v>320.0</v>
      </c>
      <c r="G111" s="37"/>
    </row>
    <row r="112">
      <c r="A112" s="60" t="s">
        <v>1467</v>
      </c>
      <c r="B112" s="60" t="s">
        <v>1556</v>
      </c>
      <c r="C112" s="60" t="s">
        <v>1557</v>
      </c>
      <c r="E112" s="61">
        <v>1939.88</v>
      </c>
      <c r="F112" s="63">
        <v>0.0</v>
      </c>
      <c r="G112" s="37"/>
    </row>
    <row r="113">
      <c r="A113" s="60" t="s">
        <v>1467</v>
      </c>
      <c r="B113" s="60" t="s">
        <v>1558</v>
      </c>
      <c r="C113" s="60" t="s">
        <v>1559</v>
      </c>
      <c r="E113" s="63">
        <v>0.0</v>
      </c>
      <c r="F113" s="63">
        <v>155.0</v>
      </c>
      <c r="G113" s="37"/>
    </row>
    <row r="114">
      <c r="A114" s="60" t="s">
        <v>1467</v>
      </c>
      <c r="B114" s="60" t="s">
        <v>1560</v>
      </c>
      <c r="C114" s="60" t="s">
        <v>1503</v>
      </c>
      <c r="E114" s="63">
        <v>0.0</v>
      </c>
      <c r="F114" s="61">
        <v>1200.0</v>
      </c>
      <c r="G114" s="37"/>
    </row>
    <row r="115">
      <c r="A115" s="60" t="s">
        <v>1467</v>
      </c>
      <c r="B115" s="60" t="s">
        <v>1561</v>
      </c>
      <c r="C115" s="60" t="s">
        <v>1493</v>
      </c>
      <c r="E115" s="63">
        <v>0.0</v>
      </c>
      <c r="F115" s="63">
        <v>131.98</v>
      </c>
      <c r="G115" s="37"/>
    </row>
    <row r="116">
      <c r="A116" s="60" t="s">
        <v>1467</v>
      </c>
      <c r="B116" s="60" t="s">
        <v>1562</v>
      </c>
      <c r="C116" s="60" t="s">
        <v>1548</v>
      </c>
      <c r="E116" s="63">
        <v>0.0</v>
      </c>
      <c r="F116" s="63">
        <v>176.0</v>
      </c>
      <c r="G116" s="37"/>
    </row>
    <row r="117">
      <c r="A117" s="60" t="s">
        <v>1224</v>
      </c>
      <c r="B117" s="60" t="s">
        <v>1225</v>
      </c>
      <c r="C117" s="60" t="s">
        <v>1226</v>
      </c>
      <c r="E117" s="63">
        <v>0.0</v>
      </c>
      <c r="F117" s="63">
        <v>630.0</v>
      </c>
      <c r="G117" s="37"/>
    </row>
    <row r="118">
      <c r="A118" s="60" t="s">
        <v>1224</v>
      </c>
      <c r="B118" s="60" t="s">
        <v>1563</v>
      </c>
      <c r="C118" s="60" t="s">
        <v>1530</v>
      </c>
      <c r="E118" s="63">
        <v>0.0</v>
      </c>
      <c r="F118" s="63">
        <v>607.0</v>
      </c>
      <c r="G118" s="37"/>
    </row>
    <row r="119">
      <c r="A119" s="60" t="s">
        <v>1224</v>
      </c>
      <c r="B119" s="60" t="s">
        <v>1564</v>
      </c>
      <c r="C119" s="60" t="s">
        <v>1508</v>
      </c>
      <c r="E119" s="63">
        <v>0.0</v>
      </c>
      <c r="F119" s="61">
        <v>1500.0</v>
      </c>
      <c r="G119" s="37"/>
    </row>
    <row r="120">
      <c r="A120" s="60" t="s">
        <v>1113</v>
      </c>
      <c r="B120" s="60" t="s">
        <v>1565</v>
      </c>
      <c r="C120" s="60" t="s">
        <v>1493</v>
      </c>
      <c r="E120" s="63">
        <v>0.0</v>
      </c>
      <c r="F120" s="63">
        <v>199.98</v>
      </c>
      <c r="G120" s="37"/>
    </row>
    <row r="121">
      <c r="A121" s="60" t="s">
        <v>1113</v>
      </c>
      <c r="B121" s="60" t="s">
        <v>1566</v>
      </c>
      <c r="C121" s="60" t="s">
        <v>1495</v>
      </c>
      <c r="E121" s="63">
        <v>0.0</v>
      </c>
      <c r="F121" s="61">
        <v>2842.0</v>
      </c>
      <c r="G121" s="37"/>
    </row>
    <row r="122">
      <c r="A122" s="60" t="s">
        <v>1113</v>
      </c>
      <c r="B122" s="60" t="s">
        <v>1567</v>
      </c>
      <c r="C122" s="60" t="s">
        <v>1557</v>
      </c>
      <c r="E122" s="61">
        <v>12925.0</v>
      </c>
      <c r="F122" s="63">
        <v>0.0</v>
      </c>
      <c r="G122" s="37"/>
    </row>
    <row r="123">
      <c r="A123" s="60" t="s">
        <v>1113</v>
      </c>
      <c r="B123" s="60" t="s">
        <v>1568</v>
      </c>
      <c r="C123" s="60" t="s">
        <v>1569</v>
      </c>
      <c r="E123" s="63">
        <v>0.0</v>
      </c>
      <c r="F123" s="63">
        <v>143.98</v>
      </c>
      <c r="G123" s="37"/>
    </row>
    <row r="124">
      <c r="A124" s="60" t="s">
        <v>1116</v>
      </c>
      <c r="B124" s="60" t="s">
        <v>1570</v>
      </c>
      <c r="C124" s="60" t="s">
        <v>1569</v>
      </c>
      <c r="E124" s="63">
        <v>0.0</v>
      </c>
      <c r="F124" s="63">
        <v>95.98</v>
      </c>
      <c r="G124" s="37"/>
    </row>
    <row r="125">
      <c r="A125" s="60" t="s">
        <v>1116</v>
      </c>
      <c r="B125" s="60" t="s">
        <v>1571</v>
      </c>
      <c r="C125" s="60" t="s">
        <v>1495</v>
      </c>
      <c r="E125" s="63">
        <v>0.0</v>
      </c>
      <c r="F125" s="63">
        <v>417.0</v>
      </c>
      <c r="G125" s="37"/>
    </row>
    <row r="126">
      <c r="A126" s="60" t="s">
        <v>1116</v>
      </c>
      <c r="B126" s="60" t="s">
        <v>1572</v>
      </c>
      <c r="C126" s="60" t="s">
        <v>1530</v>
      </c>
      <c r="E126" s="63">
        <v>0.0</v>
      </c>
      <c r="F126" s="63">
        <v>297.0</v>
      </c>
      <c r="G126" s="37"/>
    </row>
    <row r="127">
      <c r="A127" s="60" t="s">
        <v>1116</v>
      </c>
      <c r="B127" s="60" t="s">
        <v>1573</v>
      </c>
      <c r="C127" s="60" t="s">
        <v>1503</v>
      </c>
      <c r="E127" s="63">
        <v>0.0</v>
      </c>
      <c r="F127" s="63">
        <v>310.0</v>
      </c>
      <c r="G127" s="37"/>
    </row>
    <row r="128">
      <c r="A128" s="60" t="s">
        <v>1116</v>
      </c>
      <c r="B128" s="60" t="s">
        <v>1574</v>
      </c>
      <c r="C128" s="60" t="s">
        <v>1499</v>
      </c>
      <c r="E128" s="63">
        <v>0.0</v>
      </c>
      <c r="F128" s="61">
        <v>2921.59</v>
      </c>
      <c r="G128" s="37"/>
    </row>
    <row r="129">
      <c r="A129" s="60" t="s">
        <v>1227</v>
      </c>
      <c r="B129" s="60" t="s">
        <v>1575</v>
      </c>
      <c r="C129" s="60" t="s">
        <v>1508</v>
      </c>
      <c r="E129" s="63">
        <v>0.0</v>
      </c>
      <c r="F129" s="63">
        <v>326.0</v>
      </c>
      <c r="G129" s="37"/>
    </row>
    <row r="130">
      <c r="A130" s="60" t="s">
        <v>1227</v>
      </c>
      <c r="B130" s="60" t="s">
        <v>1576</v>
      </c>
      <c r="C130" s="60" t="s">
        <v>1503</v>
      </c>
      <c r="E130" s="63">
        <v>0.0</v>
      </c>
      <c r="F130" s="63">
        <v>739.0</v>
      </c>
      <c r="G130" s="37"/>
    </row>
    <row r="131">
      <c r="A131" s="60" t="s">
        <v>1227</v>
      </c>
      <c r="B131" s="60" t="s">
        <v>1228</v>
      </c>
      <c r="C131" s="60" t="s">
        <v>1229</v>
      </c>
      <c r="E131" s="61">
        <v>3938.28</v>
      </c>
      <c r="F131" s="63">
        <v>0.0</v>
      </c>
      <c r="G131" s="37"/>
    </row>
    <row r="132">
      <c r="A132" s="60" t="s">
        <v>1227</v>
      </c>
      <c r="B132" s="60" t="s">
        <v>1228</v>
      </c>
      <c r="C132" s="60" t="s">
        <v>1230</v>
      </c>
      <c r="E132" s="61">
        <v>3938.28</v>
      </c>
      <c r="F132" s="63">
        <v>0.0</v>
      </c>
      <c r="G132" s="37"/>
    </row>
    <row r="133">
      <c r="A133" s="60" t="s">
        <v>1227</v>
      </c>
      <c r="B133" s="60" t="s">
        <v>1577</v>
      </c>
      <c r="C133" s="60" t="s">
        <v>1315</v>
      </c>
      <c r="E133" s="63">
        <v>0.0</v>
      </c>
      <c r="F133" s="63">
        <v>217.88</v>
      </c>
      <c r="G133" s="37"/>
    </row>
    <row r="134">
      <c r="A134" s="60" t="s">
        <v>1227</v>
      </c>
      <c r="B134" s="60" t="s">
        <v>1578</v>
      </c>
      <c r="C134" s="60" t="s">
        <v>1579</v>
      </c>
      <c r="E134" s="63">
        <v>0.0</v>
      </c>
      <c r="F134" s="63">
        <v>407.93</v>
      </c>
      <c r="G134" s="37"/>
    </row>
    <row r="135">
      <c r="A135" s="60" t="s">
        <v>1120</v>
      </c>
      <c r="B135" s="60" t="s">
        <v>1580</v>
      </c>
      <c r="C135" s="60" t="s">
        <v>1315</v>
      </c>
      <c r="E135" s="63">
        <v>0.0</v>
      </c>
      <c r="F135" s="61">
        <v>2585.59</v>
      </c>
      <c r="G135" s="37"/>
    </row>
    <row r="136">
      <c r="A136" s="60" t="s">
        <v>1120</v>
      </c>
      <c r="B136" s="60" t="s">
        <v>1581</v>
      </c>
      <c r="C136" s="60" t="s">
        <v>1315</v>
      </c>
      <c r="E136" s="63">
        <v>0.0</v>
      </c>
      <c r="F136" s="61">
        <v>1465.8</v>
      </c>
      <c r="G136" s="37"/>
    </row>
    <row r="137">
      <c r="A137" s="60" t="s">
        <v>1120</v>
      </c>
      <c r="B137" s="60" t="s">
        <v>1582</v>
      </c>
      <c r="C137" s="60" t="s">
        <v>1583</v>
      </c>
      <c r="E137" s="63">
        <v>0.0</v>
      </c>
      <c r="F137" s="61">
        <v>1638.4</v>
      </c>
      <c r="G137" s="37"/>
    </row>
    <row r="138">
      <c r="A138" s="60" t="s">
        <v>1120</v>
      </c>
      <c r="B138" s="60" t="s">
        <v>1584</v>
      </c>
      <c r="C138" s="60" t="s">
        <v>1495</v>
      </c>
      <c r="E138" s="63">
        <v>0.0</v>
      </c>
      <c r="F138" s="61">
        <v>1124.0</v>
      </c>
      <c r="G138" s="37"/>
    </row>
    <row r="139">
      <c r="A139" s="60" t="s">
        <v>1120</v>
      </c>
      <c r="B139" s="60" t="s">
        <v>1585</v>
      </c>
      <c r="C139" s="60" t="s">
        <v>1559</v>
      </c>
      <c r="E139" s="63">
        <v>0.0</v>
      </c>
      <c r="F139" s="63">
        <v>105.86</v>
      </c>
      <c r="G139" s="37"/>
    </row>
    <row r="140">
      <c r="A140" s="60" t="s">
        <v>1120</v>
      </c>
      <c r="B140" s="60" t="s">
        <v>1586</v>
      </c>
      <c r="C140" s="60" t="s">
        <v>1503</v>
      </c>
      <c r="E140" s="63">
        <v>0.0</v>
      </c>
      <c r="F140" s="61">
        <v>2000.0</v>
      </c>
      <c r="G140" s="37"/>
    </row>
    <row r="141">
      <c r="A141" s="60" t="s">
        <v>1120</v>
      </c>
      <c r="B141" s="60" t="s">
        <v>1587</v>
      </c>
      <c r="C141" s="60" t="s">
        <v>1493</v>
      </c>
      <c r="E141" s="63">
        <v>0.0</v>
      </c>
      <c r="F141" s="63">
        <v>100.0</v>
      </c>
      <c r="G141" s="37"/>
    </row>
    <row r="142">
      <c r="A142" s="60" t="s">
        <v>1120</v>
      </c>
      <c r="B142" s="60" t="s">
        <v>1588</v>
      </c>
      <c r="C142" s="60" t="s">
        <v>1386</v>
      </c>
      <c r="E142" s="63">
        <v>0.0</v>
      </c>
      <c r="F142" s="63">
        <v>200.0</v>
      </c>
      <c r="G142" s="37"/>
    </row>
    <row r="143">
      <c r="A143" s="60" t="s">
        <v>1120</v>
      </c>
      <c r="B143" s="60" t="s">
        <v>1589</v>
      </c>
      <c r="C143" s="60" t="s">
        <v>1315</v>
      </c>
      <c r="E143" s="63">
        <v>0.0</v>
      </c>
      <c r="F143" s="63">
        <v>731.88</v>
      </c>
      <c r="G143" s="37"/>
    </row>
    <row r="144">
      <c r="A144" s="60" t="s">
        <v>1120</v>
      </c>
      <c r="B144" s="60" t="s">
        <v>1590</v>
      </c>
      <c r="C144" s="60" t="s">
        <v>1372</v>
      </c>
      <c r="E144" s="63">
        <v>0.0</v>
      </c>
      <c r="F144" s="61">
        <v>1011.87</v>
      </c>
      <c r="G144" s="37"/>
    </row>
    <row r="145">
      <c r="A145" s="60" t="s">
        <v>1120</v>
      </c>
      <c r="B145" s="60" t="s">
        <v>1591</v>
      </c>
      <c r="C145" s="60" t="s">
        <v>1499</v>
      </c>
      <c r="E145" s="63">
        <v>0.0</v>
      </c>
      <c r="F145" s="63">
        <v>900.0</v>
      </c>
      <c r="G145" s="37"/>
    </row>
    <row r="146">
      <c r="A146" s="70"/>
      <c r="B146" s="70"/>
      <c r="C146" s="60" t="s">
        <v>1231</v>
      </c>
      <c r="E146" s="81">
        <v>109.0</v>
      </c>
      <c r="F146" s="70"/>
      <c r="G146" s="37"/>
    </row>
    <row r="147">
      <c r="A147" s="70"/>
      <c r="B147" s="70"/>
      <c r="C147" s="60" t="s">
        <v>1205</v>
      </c>
      <c r="E147" s="81">
        <v>48.0</v>
      </c>
      <c r="F147" s="70"/>
      <c r="G147" s="37"/>
    </row>
  </sheetData>
  <mergeCells count="2">
    <mergeCell ref="A1:G1"/>
    <mergeCell ref="A5:G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8.0" topLeftCell="A19" activePane="bottomLeft" state="frozen"/>
      <selection activeCell="B20" sqref="B20" pane="bottomLeft"/>
    </sheetView>
  </sheetViews>
  <sheetFormatPr customHeight="1" defaultColWidth="12.63" defaultRowHeight="15.75"/>
  <sheetData>
    <row r="1">
      <c r="A1" s="24" t="s">
        <v>1592</v>
      </c>
    </row>
    <row r="3">
      <c r="A3" s="15" t="s">
        <v>41</v>
      </c>
      <c r="B3" s="15" t="s">
        <v>127</v>
      </c>
      <c r="C3" s="15" t="s">
        <v>128</v>
      </c>
      <c r="D3" s="15" t="s">
        <v>129</v>
      </c>
    </row>
    <row r="4">
      <c r="A4" s="4" t="s">
        <v>1391</v>
      </c>
      <c r="B4" s="6">
        <f t="shared" ref="B4:B15" si="1">SUMIF($D$19:$D$502,A4,$G$19:$G$502)</f>
        <v>72379.87</v>
      </c>
      <c r="C4" s="6">
        <f t="shared" ref="C4:C15" si="2">COUNTIF($D$19:$D$502,A4)</f>
        <v>47</v>
      </c>
      <c r="D4" s="6">
        <f t="shared" ref="D4:D16" si="3">IFERROR(B4/C4,0)</f>
        <v>1539.997234</v>
      </c>
    </row>
    <row r="5">
      <c r="A5" s="4" t="s">
        <v>1392</v>
      </c>
      <c r="B5" s="6">
        <f t="shared" si="1"/>
        <v>23755.49</v>
      </c>
      <c r="C5" s="6">
        <f t="shared" si="2"/>
        <v>21</v>
      </c>
      <c r="D5" s="6">
        <f t="shared" si="3"/>
        <v>1131.21381</v>
      </c>
    </row>
    <row r="6">
      <c r="A6" s="4" t="s">
        <v>1393</v>
      </c>
      <c r="B6" s="6">
        <f t="shared" si="1"/>
        <v>24945</v>
      </c>
      <c r="C6" s="6">
        <f t="shared" si="2"/>
        <v>17</v>
      </c>
      <c r="D6" s="6">
        <f t="shared" si="3"/>
        <v>1467.352941</v>
      </c>
    </row>
    <row r="7">
      <c r="A7" s="4" t="s">
        <v>46</v>
      </c>
      <c r="B7" s="6">
        <f t="shared" si="1"/>
        <v>54291.15</v>
      </c>
      <c r="C7" s="6">
        <f t="shared" si="2"/>
        <v>23</v>
      </c>
      <c r="D7" s="6">
        <f t="shared" si="3"/>
        <v>2360.484783</v>
      </c>
    </row>
    <row r="8">
      <c r="A8" s="4" t="s">
        <v>47</v>
      </c>
      <c r="B8" s="6">
        <f t="shared" si="1"/>
        <v>343351.34</v>
      </c>
      <c r="C8" s="6">
        <f t="shared" si="2"/>
        <v>29</v>
      </c>
      <c r="D8" s="6">
        <f t="shared" si="3"/>
        <v>11839.70138</v>
      </c>
    </row>
    <row r="9">
      <c r="A9" s="4" t="s">
        <v>48</v>
      </c>
      <c r="B9" s="6">
        <f t="shared" si="1"/>
        <v>77103.34</v>
      </c>
      <c r="C9" s="6">
        <f t="shared" si="2"/>
        <v>61</v>
      </c>
      <c r="D9" s="6">
        <f t="shared" si="3"/>
        <v>1263.98918</v>
      </c>
    </row>
    <row r="10">
      <c r="A10" s="4" t="s">
        <v>49</v>
      </c>
      <c r="B10" s="6">
        <f t="shared" si="1"/>
        <v>1068473.29</v>
      </c>
      <c r="C10" s="6">
        <f t="shared" si="2"/>
        <v>15</v>
      </c>
      <c r="D10" s="6">
        <f t="shared" si="3"/>
        <v>71231.55267</v>
      </c>
    </row>
    <row r="11">
      <c r="A11" s="4" t="s">
        <v>50</v>
      </c>
      <c r="B11" s="6">
        <f t="shared" si="1"/>
        <v>17862.18</v>
      </c>
      <c r="C11" s="6">
        <f t="shared" si="2"/>
        <v>35</v>
      </c>
      <c r="D11" s="6">
        <f t="shared" si="3"/>
        <v>510.348</v>
      </c>
    </row>
    <row r="12">
      <c r="A12" s="4" t="s">
        <v>51</v>
      </c>
      <c r="B12" s="6">
        <f t="shared" si="1"/>
        <v>15423.13</v>
      </c>
      <c r="C12" s="6">
        <f t="shared" si="2"/>
        <v>21</v>
      </c>
      <c r="D12" s="6">
        <f t="shared" si="3"/>
        <v>734.4347619</v>
      </c>
    </row>
    <row r="13">
      <c r="A13" s="4" t="s">
        <v>52</v>
      </c>
      <c r="B13" s="6">
        <f t="shared" si="1"/>
        <v>235777.05</v>
      </c>
      <c r="C13" s="6">
        <f t="shared" si="2"/>
        <v>21</v>
      </c>
      <c r="D13" s="6">
        <f t="shared" si="3"/>
        <v>11227.47857</v>
      </c>
    </row>
    <row r="14">
      <c r="A14" s="4" t="s">
        <v>1593</v>
      </c>
      <c r="B14" s="6">
        <f t="shared" si="1"/>
        <v>0</v>
      </c>
      <c r="C14" s="6">
        <f t="shared" si="2"/>
        <v>0</v>
      </c>
      <c r="D14" s="6">
        <f t="shared" si="3"/>
        <v>0</v>
      </c>
    </row>
    <row r="15">
      <c r="A15" s="4" t="s">
        <v>58</v>
      </c>
      <c r="B15" s="6">
        <f t="shared" si="1"/>
        <v>5260</v>
      </c>
      <c r="C15" s="6">
        <f t="shared" si="2"/>
        <v>7</v>
      </c>
      <c r="D15" s="6">
        <f t="shared" si="3"/>
        <v>751.4285714</v>
      </c>
    </row>
    <row r="16">
      <c r="A16" s="25" t="s">
        <v>59</v>
      </c>
      <c r="B16" s="6">
        <f t="shared" ref="B16:C16" si="4">SUM(B4:B15)</f>
        <v>1938621.84</v>
      </c>
      <c r="C16" s="6">
        <f t="shared" si="4"/>
        <v>297</v>
      </c>
      <c r="D16" s="6">
        <f t="shared" si="3"/>
        <v>6527.346263</v>
      </c>
    </row>
    <row r="18">
      <c r="A18" s="15" t="s">
        <v>130</v>
      </c>
      <c r="B18" s="15" t="s">
        <v>131</v>
      </c>
      <c r="C18" s="15" t="s">
        <v>132</v>
      </c>
      <c r="D18" s="15" t="s">
        <v>41</v>
      </c>
      <c r="E18" s="15" t="s">
        <v>133</v>
      </c>
      <c r="F18" s="15" t="s">
        <v>134</v>
      </c>
      <c r="G18" s="15" t="s">
        <v>104</v>
      </c>
      <c r="H18" s="15" t="s">
        <v>135</v>
      </c>
    </row>
    <row r="19">
      <c r="A19" s="60" t="s">
        <v>136</v>
      </c>
      <c r="B19" s="60" t="s">
        <v>137</v>
      </c>
      <c r="C19" s="4" t="s">
        <v>83</v>
      </c>
      <c r="D19" s="4" t="s">
        <v>1392</v>
      </c>
      <c r="E19" s="61">
        <v>2241.7</v>
      </c>
      <c r="G19" s="62">
        <f t="shared" ref="G19:G502" si="5">IF(E19="","",E19-F19)</f>
        <v>2241.7</v>
      </c>
    </row>
    <row r="20">
      <c r="A20" s="60" t="s">
        <v>1594</v>
      </c>
      <c r="B20" s="60" t="s">
        <v>1595</v>
      </c>
      <c r="C20" s="4" t="s">
        <v>83</v>
      </c>
      <c r="D20" s="4" t="s">
        <v>1392</v>
      </c>
      <c r="E20" s="61">
        <v>1003.85</v>
      </c>
      <c r="G20" s="62">
        <f t="shared" si="5"/>
        <v>1003.85</v>
      </c>
    </row>
    <row r="21">
      <c r="A21" s="60" t="s">
        <v>138</v>
      </c>
      <c r="B21" s="60" t="s">
        <v>139</v>
      </c>
      <c r="C21" s="4" t="s">
        <v>83</v>
      </c>
      <c r="D21" s="4" t="s">
        <v>1392</v>
      </c>
      <c r="E21" s="61">
        <v>1939.7</v>
      </c>
      <c r="G21" s="62">
        <f t="shared" si="5"/>
        <v>1939.7</v>
      </c>
    </row>
    <row r="22">
      <c r="A22" s="60" t="s">
        <v>1596</v>
      </c>
      <c r="B22" s="60" t="s">
        <v>1597</v>
      </c>
      <c r="C22" s="4" t="s">
        <v>83</v>
      </c>
      <c r="D22" s="4" t="s">
        <v>1392</v>
      </c>
      <c r="E22" s="63">
        <v>91.98</v>
      </c>
      <c r="G22" s="5">
        <f t="shared" si="5"/>
        <v>91.98</v>
      </c>
    </row>
    <row r="23">
      <c r="A23" s="60" t="s">
        <v>142</v>
      </c>
      <c r="B23" s="60" t="s">
        <v>143</v>
      </c>
      <c r="C23" s="4" t="s">
        <v>83</v>
      </c>
      <c r="D23" s="4" t="s">
        <v>1392</v>
      </c>
      <c r="E23" s="61">
        <v>1460.78</v>
      </c>
      <c r="G23" s="62">
        <f t="shared" si="5"/>
        <v>1460.78</v>
      </c>
    </row>
    <row r="24">
      <c r="A24" s="60" t="s">
        <v>1395</v>
      </c>
      <c r="B24" s="60" t="s">
        <v>1396</v>
      </c>
      <c r="C24" s="4" t="s">
        <v>83</v>
      </c>
      <c r="D24" s="4" t="s">
        <v>1392</v>
      </c>
      <c r="E24" s="63">
        <v>953.87</v>
      </c>
      <c r="G24" s="5">
        <f t="shared" si="5"/>
        <v>953.87</v>
      </c>
    </row>
    <row r="25">
      <c r="A25" s="60" t="s">
        <v>1598</v>
      </c>
      <c r="B25" s="60" t="s">
        <v>1599</v>
      </c>
      <c r="C25" s="4" t="s">
        <v>83</v>
      </c>
      <c r="D25" s="4" t="s">
        <v>1392</v>
      </c>
      <c r="E25" s="63">
        <v>123.97</v>
      </c>
      <c r="G25" s="5">
        <f t="shared" si="5"/>
        <v>123.97</v>
      </c>
    </row>
    <row r="26">
      <c r="A26" s="60" t="s">
        <v>1600</v>
      </c>
      <c r="B26" s="60" t="s">
        <v>1601</v>
      </c>
      <c r="C26" s="4" t="s">
        <v>83</v>
      </c>
      <c r="D26" s="4" t="s">
        <v>1392</v>
      </c>
      <c r="E26" s="61">
        <v>1225.82</v>
      </c>
      <c r="G26" s="62">
        <f t="shared" si="5"/>
        <v>1225.82</v>
      </c>
    </row>
    <row r="27">
      <c r="A27" s="60" t="s">
        <v>144</v>
      </c>
      <c r="B27" s="60" t="s">
        <v>145</v>
      </c>
      <c r="C27" s="4" t="s">
        <v>83</v>
      </c>
      <c r="D27" s="4" t="s">
        <v>1392</v>
      </c>
      <c r="E27" s="63">
        <v>284.96</v>
      </c>
      <c r="G27" s="5">
        <f t="shared" si="5"/>
        <v>284.96</v>
      </c>
    </row>
    <row r="28">
      <c r="A28" s="60" t="s">
        <v>1397</v>
      </c>
      <c r="B28" s="60" t="s">
        <v>1398</v>
      </c>
      <c r="C28" s="4" t="s">
        <v>83</v>
      </c>
      <c r="D28" s="4" t="s">
        <v>1392</v>
      </c>
      <c r="E28" s="63">
        <v>609.91</v>
      </c>
      <c r="G28" s="5">
        <f t="shared" si="5"/>
        <v>609.91</v>
      </c>
    </row>
    <row r="29">
      <c r="A29" s="60" t="s">
        <v>1602</v>
      </c>
      <c r="B29" s="60" t="s">
        <v>1603</v>
      </c>
      <c r="C29" s="4" t="s">
        <v>83</v>
      </c>
      <c r="D29" s="4" t="s">
        <v>1392</v>
      </c>
      <c r="E29" s="61">
        <v>1001.86</v>
      </c>
      <c r="G29" s="62">
        <f t="shared" si="5"/>
        <v>1001.86</v>
      </c>
    </row>
    <row r="30">
      <c r="A30" s="60" t="s">
        <v>1604</v>
      </c>
      <c r="B30" s="60" t="s">
        <v>1605</v>
      </c>
      <c r="C30" s="4" t="s">
        <v>83</v>
      </c>
      <c r="D30" s="4" t="s">
        <v>1392</v>
      </c>
      <c r="E30" s="63">
        <v>324.94</v>
      </c>
      <c r="G30" s="5">
        <f t="shared" si="5"/>
        <v>324.94</v>
      </c>
    </row>
    <row r="31">
      <c r="A31" s="60" t="s">
        <v>148</v>
      </c>
      <c r="B31" s="60" t="s">
        <v>149</v>
      </c>
      <c r="C31" s="4" t="s">
        <v>83</v>
      </c>
      <c r="D31" s="4" t="s">
        <v>1392</v>
      </c>
      <c r="E31" s="63">
        <v>875.84</v>
      </c>
      <c r="G31" s="5">
        <f t="shared" si="5"/>
        <v>875.84</v>
      </c>
    </row>
    <row r="32">
      <c r="A32" s="60" t="s">
        <v>150</v>
      </c>
      <c r="B32" s="60" t="s">
        <v>151</v>
      </c>
      <c r="C32" s="4" t="s">
        <v>83</v>
      </c>
      <c r="D32" s="4" t="s">
        <v>1392</v>
      </c>
      <c r="E32" s="61">
        <v>1953.7</v>
      </c>
      <c r="G32" s="62">
        <f t="shared" si="5"/>
        <v>1953.7</v>
      </c>
    </row>
    <row r="33">
      <c r="A33" s="60" t="s">
        <v>152</v>
      </c>
      <c r="B33" s="60" t="s">
        <v>153</v>
      </c>
      <c r="C33" s="4" t="s">
        <v>83</v>
      </c>
      <c r="D33" s="4" t="s">
        <v>1392</v>
      </c>
      <c r="E33" s="61">
        <v>4321.44</v>
      </c>
      <c r="G33" s="62">
        <f t="shared" si="5"/>
        <v>4321.44</v>
      </c>
    </row>
    <row r="34">
      <c r="A34" s="60" t="s">
        <v>154</v>
      </c>
      <c r="B34" s="60" t="s">
        <v>155</v>
      </c>
      <c r="C34" s="4" t="s">
        <v>83</v>
      </c>
      <c r="D34" s="4" t="s">
        <v>1392</v>
      </c>
      <c r="E34" s="61">
        <v>1139.85</v>
      </c>
      <c r="G34" s="62">
        <f t="shared" si="5"/>
        <v>1139.85</v>
      </c>
    </row>
    <row r="35">
      <c r="A35" s="60" t="s">
        <v>1606</v>
      </c>
      <c r="B35" s="60" t="s">
        <v>1607</v>
      </c>
      <c r="C35" s="4" t="s">
        <v>83</v>
      </c>
      <c r="D35" s="4" t="s">
        <v>1392</v>
      </c>
      <c r="E35" s="63">
        <v>567.92</v>
      </c>
      <c r="G35" s="5">
        <f t="shared" si="5"/>
        <v>567.92</v>
      </c>
    </row>
    <row r="36">
      <c r="A36" s="60" t="s">
        <v>156</v>
      </c>
      <c r="B36" s="60" t="s">
        <v>157</v>
      </c>
      <c r="C36" s="4" t="s">
        <v>83</v>
      </c>
      <c r="D36" s="4" t="s">
        <v>1392</v>
      </c>
      <c r="E36" s="63">
        <v>599.85</v>
      </c>
      <c r="G36" s="5">
        <f t="shared" si="5"/>
        <v>599.85</v>
      </c>
    </row>
    <row r="37">
      <c r="A37" s="60" t="s">
        <v>158</v>
      </c>
      <c r="B37" s="60" t="s">
        <v>159</v>
      </c>
      <c r="C37" s="4" t="s">
        <v>83</v>
      </c>
      <c r="D37" s="4" t="s">
        <v>1392</v>
      </c>
      <c r="E37" s="61">
        <v>1133.83</v>
      </c>
      <c r="G37" s="62">
        <f t="shared" si="5"/>
        <v>1133.83</v>
      </c>
    </row>
    <row r="38">
      <c r="A38" s="60" t="s">
        <v>160</v>
      </c>
      <c r="B38" s="60" t="s">
        <v>161</v>
      </c>
      <c r="C38" s="4" t="s">
        <v>83</v>
      </c>
      <c r="D38" s="4" t="s">
        <v>1392</v>
      </c>
      <c r="E38" s="61">
        <v>1219.82</v>
      </c>
      <c r="G38" s="62">
        <f t="shared" si="5"/>
        <v>1219.82</v>
      </c>
    </row>
    <row r="39">
      <c r="A39" s="60" t="s">
        <v>162</v>
      </c>
      <c r="B39" s="60" t="s">
        <v>163</v>
      </c>
      <c r="C39" s="4" t="s">
        <v>83</v>
      </c>
      <c r="D39" s="4" t="s">
        <v>1392</v>
      </c>
      <c r="E39" s="63">
        <v>679.9</v>
      </c>
      <c r="G39" s="5">
        <f t="shared" si="5"/>
        <v>679.9</v>
      </c>
    </row>
    <row r="40">
      <c r="A40" s="60" t="s">
        <v>170</v>
      </c>
      <c r="B40" s="60" t="s">
        <v>171</v>
      </c>
      <c r="C40" s="4" t="s">
        <v>81</v>
      </c>
      <c r="D40" s="4" t="s">
        <v>1391</v>
      </c>
      <c r="E40" s="63">
        <v>135.97</v>
      </c>
      <c r="G40" s="5">
        <f t="shared" si="5"/>
        <v>135.97</v>
      </c>
    </row>
    <row r="41">
      <c r="A41" s="60" t="s">
        <v>174</v>
      </c>
      <c r="B41" s="60" t="s">
        <v>175</v>
      </c>
      <c r="C41" s="4" t="s">
        <v>81</v>
      </c>
      <c r="D41" s="4" t="s">
        <v>1391</v>
      </c>
      <c r="E41" s="61">
        <v>1000.81</v>
      </c>
      <c r="G41" s="62">
        <f t="shared" si="5"/>
        <v>1000.81</v>
      </c>
    </row>
    <row r="42">
      <c r="A42" s="60" t="s">
        <v>176</v>
      </c>
      <c r="B42" s="60" t="s">
        <v>177</v>
      </c>
      <c r="C42" s="4" t="s">
        <v>81</v>
      </c>
      <c r="D42" s="4" t="s">
        <v>1391</v>
      </c>
      <c r="E42" s="61">
        <v>1363.86</v>
      </c>
      <c r="G42" s="62">
        <f t="shared" si="5"/>
        <v>1363.86</v>
      </c>
    </row>
    <row r="43">
      <c r="A43" s="60" t="s">
        <v>178</v>
      </c>
      <c r="B43" s="60" t="s">
        <v>179</v>
      </c>
      <c r="C43" s="4" t="s">
        <v>81</v>
      </c>
      <c r="D43" s="4" t="s">
        <v>1391</v>
      </c>
      <c r="E43" s="63">
        <v>671.88</v>
      </c>
      <c r="G43" s="5">
        <f t="shared" si="5"/>
        <v>671.88</v>
      </c>
    </row>
    <row r="44">
      <c r="A44" s="60" t="s">
        <v>182</v>
      </c>
      <c r="B44" s="60" t="s">
        <v>183</v>
      </c>
      <c r="C44" s="4" t="s">
        <v>81</v>
      </c>
      <c r="D44" s="4" t="s">
        <v>1391</v>
      </c>
      <c r="E44" s="61">
        <v>1395.8</v>
      </c>
      <c r="G44" s="62">
        <f t="shared" si="5"/>
        <v>1395.8</v>
      </c>
    </row>
    <row r="45">
      <c r="A45" s="60" t="s">
        <v>184</v>
      </c>
      <c r="B45" s="60" t="s">
        <v>185</v>
      </c>
      <c r="C45" s="4" t="s">
        <v>81</v>
      </c>
      <c r="D45" s="4" t="s">
        <v>1391</v>
      </c>
      <c r="E45" s="61">
        <v>1416.81</v>
      </c>
      <c r="G45" s="62">
        <f t="shared" si="5"/>
        <v>1416.81</v>
      </c>
    </row>
    <row r="46">
      <c r="A46" s="60" t="s">
        <v>186</v>
      </c>
      <c r="B46" s="60" t="s">
        <v>187</v>
      </c>
      <c r="C46" s="4" t="s">
        <v>81</v>
      </c>
      <c r="D46" s="4" t="s">
        <v>1391</v>
      </c>
      <c r="E46" s="63">
        <v>741.89</v>
      </c>
      <c r="G46" s="5">
        <f t="shared" si="5"/>
        <v>741.89</v>
      </c>
    </row>
    <row r="47">
      <c r="A47" s="60" t="s">
        <v>1608</v>
      </c>
      <c r="B47" s="60" t="s">
        <v>1609</v>
      </c>
      <c r="C47" s="4" t="s">
        <v>81</v>
      </c>
      <c r="D47" s="4" t="s">
        <v>1391</v>
      </c>
      <c r="E47" s="63">
        <v>813.88</v>
      </c>
      <c r="G47" s="5">
        <f t="shared" si="5"/>
        <v>813.88</v>
      </c>
    </row>
    <row r="48">
      <c r="A48" s="60" t="s">
        <v>190</v>
      </c>
      <c r="B48" s="60" t="s">
        <v>191</v>
      </c>
      <c r="C48" s="4" t="s">
        <v>81</v>
      </c>
      <c r="D48" s="4" t="s">
        <v>1391</v>
      </c>
      <c r="E48" s="61">
        <v>1533.78</v>
      </c>
      <c r="G48" s="62">
        <f t="shared" si="5"/>
        <v>1533.78</v>
      </c>
    </row>
    <row r="49">
      <c r="A49" s="60" t="s">
        <v>192</v>
      </c>
      <c r="B49" s="60" t="s">
        <v>193</v>
      </c>
      <c r="C49" s="4" t="s">
        <v>81</v>
      </c>
      <c r="D49" s="4" t="s">
        <v>1391</v>
      </c>
      <c r="E49" s="61">
        <v>2628.56</v>
      </c>
      <c r="G49" s="62">
        <f t="shared" si="5"/>
        <v>2628.56</v>
      </c>
    </row>
    <row r="50">
      <c r="A50" s="60" t="s">
        <v>194</v>
      </c>
      <c r="B50" s="60" t="s">
        <v>195</v>
      </c>
      <c r="C50" s="4" t="s">
        <v>81</v>
      </c>
      <c r="D50" s="4" t="s">
        <v>1391</v>
      </c>
      <c r="E50" s="61">
        <v>1123.68</v>
      </c>
      <c r="G50" s="62">
        <f t="shared" si="5"/>
        <v>1123.68</v>
      </c>
    </row>
    <row r="51">
      <c r="A51" s="60" t="s">
        <v>196</v>
      </c>
      <c r="B51" s="60" t="s">
        <v>197</v>
      </c>
      <c r="C51" s="4" t="s">
        <v>81</v>
      </c>
      <c r="D51" s="4" t="s">
        <v>1391</v>
      </c>
      <c r="E51" s="63">
        <v>480.0</v>
      </c>
      <c r="G51" s="5">
        <f t="shared" si="5"/>
        <v>480</v>
      </c>
    </row>
    <row r="52">
      <c r="A52" s="60" t="s">
        <v>198</v>
      </c>
      <c r="B52" s="60" t="s">
        <v>199</v>
      </c>
      <c r="C52" s="4" t="s">
        <v>81</v>
      </c>
      <c r="D52" s="4" t="s">
        <v>1391</v>
      </c>
      <c r="E52" s="61">
        <v>1263.56</v>
      </c>
      <c r="G52" s="62">
        <f t="shared" si="5"/>
        <v>1263.56</v>
      </c>
    </row>
    <row r="53">
      <c r="A53" s="60" t="s">
        <v>200</v>
      </c>
      <c r="B53" s="60" t="s">
        <v>201</v>
      </c>
      <c r="C53" s="4" t="s">
        <v>81</v>
      </c>
      <c r="D53" s="4" t="s">
        <v>1391</v>
      </c>
      <c r="E53" s="61">
        <v>1021.87</v>
      </c>
      <c r="G53" s="62">
        <f t="shared" si="5"/>
        <v>1021.87</v>
      </c>
    </row>
    <row r="54">
      <c r="A54" s="60" t="s">
        <v>202</v>
      </c>
      <c r="B54" s="60" t="s">
        <v>203</v>
      </c>
      <c r="C54" s="4" t="s">
        <v>81</v>
      </c>
      <c r="D54" s="4" t="s">
        <v>1391</v>
      </c>
      <c r="E54" s="63">
        <v>384.95</v>
      </c>
      <c r="G54" s="5">
        <f t="shared" si="5"/>
        <v>384.95</v>
      </c>
    </row>
    <row r="55">
      <c r="A55" s="60" t="s">
        <v>204</v>
      </c>
      <c r="B55" s="60" t="s">
        <v>205</v>
      </c>
      <c r="C55" s="4" t="s">
        <v>81</v>
      </c>
      <c r="D55" s="4" t="s">
        <v>1391</v>
      </c>
      <c r="E55" s="63">
        <v>847.89</v>
      </c>
      <c r="G55" s="5">
        <f t="shared" si="5"/>
        <v>847.89</v>
      </c>
    </row>
    <row r="56">
      <c r="A56" s="60" t="s">
        <v>206</v>
      </c>
      <c r="B56" s="60" t="s">
        <v>207</v>
      </c>
      <c r="C56" s="4" t="s">
        <v>81</v>
      </c>
      <c r="D56" s="4" t="s">
        <v>1391</v>
      </c>
      <c r="E56" s="61">
        <v>2423.58</v>
      </c>
      <c r="G56" s="62">
        <f t="shared" si="5"/>
        <v>2423.58</v>
      </c>
    </row>
    <row r="57">
      <c r="A57" s="60" t="s">
        <v>208</v>
      </c>
      <c r="B57" s="60" t="s">
        <v>209</v>
      </c>
      <c r="C57" s="4" t="s">
        <v>81</v>
      </c>
      <c r="D57" s="4" t="s">
        <v>1391</v>
      </c>
      <c r="E57" s="61">
        <v>2615.52</v>
      </c>
      <c r="G57" s="62">
        <f t="shared" si="5"/>
        <v>2615.52</v>
      </c>
    </row>
    <row r="58">
      <c r="A58" s="60" t="s">
        <v>1405</v>
      </c>
      <c r="B58" s="60" t="s">
        <v>1406</v>
      </c>
      <c r="C58" s="4" t="s">
        <v>81</v>
      </c>
      <c r="D58" s="4" t="s">
        <v>1391</v>
      </c>
      <c r="E58" s="61">
        <v>1009.87</v>
      </c>
      <c r="G58" s="62">
        <f t="shared" si="5"/>
        <v>1009.87</v>
      </c>
    </row>
    <row r="59">
      <c r="A59" s="60" t="s">
        <v>212</v>
      </c>
      <c r="B59" s="60" t="s">
        <v>213</v>
      </c>
      <c r="C59" s="4" t="s">
        <v>81</v>
      </c>
      <c r="D59" s="4" t="s">
        <v>1391</v>
      </c>
      <c r="E59" s="61">
        <v>2095.26</v>
      </c>
      <c r="G59" s="62">
        <f t="shared" si="5"/>
        <v>2095.26</v>
      </c>
    </row>
    <row r="60">
      <c r="A60" s="60" t="s">
        <v>214</v>
      </c>
      <c r="B60" s="60" t="s">
        <v>215</v>
      </c>
      <c r="C60" s="4" t="s">
        <v>81</v>
      </c>
      <c r="D60" s="4" t="s">
        <v>1391</v>
      </c>
      <c r="E60" s="63">
        <v>234.97</v>
      </c>
      <c r="G60" s="5">
        <f t="shared" si="5"/>
        <v>234.97</v>
      </c>
    </row>
    <row r="61">
      <c r="A61" s="60" t="s">
        <v>218</v>
      </c>
      <c r="B61" s="60" t="s">
        <v>219</v>
      </c>
      <c r="C61" s="4" t="s">
        <v>81</v>
      </c>
      <c r="D61" s="4" t="s">
        <v>1391</v>
      </c>
      <c r="E61" s="61">
        <v>2139.7</v>
      </c>
      <c r="G61" s="62">
        <f t="shared" si="5"/>
        <v>2139.7</v>
      </c>
    </row>
    <row r="62">
      <c r="A62" s="60" t="s">
        <v>220</v>
      </c>
      <c r="B62" s="60" t="s">
        <v>221</v>
      </c>
      <c r="C62" s="4" t="s">
        <v>81</v>
      </c>
      <c r="D62" s="4" t="s">
        <v>1391</v>
      </c>
      <c r="E62" s="63">
        <v>251.95</v>
      </c>
      <c r="G62" s="5">
        <f t="shared" si="5"/>
        <v>251.95</v>
      </c>
    </row>
    <row r="63">
      <c r="A63" s="60" t="s">
        <v>222</v>
      </c>
      <c r="B63" s="60" t="s">
        <v>223</v>
      </c>
      <c r="C63" s="4" t="s">
        <v>81</v>
      </c>
      <c r="D63" s="4" t="s">
        <v>1391</v>
      </c>
      <c r="E63" s="63">
        <v>74.99</v>
      </c>
      <c r="G63" s="5">
        <f t="shared" si="5"/>
        <v>74.99</v>
      </c>
    </row>
    <row r="64">
      <c r="A64" s="60" t="s">
        <v>224</v>
      </c>
      <c r="B64" s="60" t="s">
        <v>225</v>
      </c>
      <c r="C64" s="4" t="s">
        <v>81</v>
      </c>
      <c r="D64" s="4" t="s">
        <v>1391</v>
      </c>
      <c r="E64" s="63">
        <v>501.86</v>
      </c>
      <c r="G64" s="5">
        <f t="shared" si="5"/>
        <v>501.86</v>
      </c>
    </row>
    <row r="65">
      <c r="A65" s="60" t="s">
        <v>226</v>
      </c>
      <c r="B65" s="60" t="s">
        <v>227</v>
      </c>
      <c r="C65" s="4" t="s">
        <v>81</v>
      </c>
      <c r="D65" s="4" t="s">
        <v>1391</v>
      </c>
      <c r="E65" s="63">
        <v>500.0</v>
      </c>
      <c r="G65" s="5">
        <f t="shared" si="5"/>
        <v>500</v>
      </c>
    </row>
    <row r="66">
      <c r="A66" s="60" t="s">
        <v>228</v>
      </c>
      <c r="B66" s="60" t="s">
        <v>229</v>
      </c>
      <c r="C66" s="4" t="s">
        <v>81</v>
      </c>
      <c r="D66" s="4" t="s">
        <v>1391</v>
      </c>
      <c r="E66" s="61">
        <v>1206.74</v>
      </c>
      <c r="G66" s="62">
        <f t="shared" si="5"/>
        <v>1206.74</v>
      </c>
    </row>
    <row r="67">
      <c r="A67" s="60" t="s">
        <v>230</v>
      </c>
      <c r="B67" s="60" t="s">
        <v>231</v>
      </c>
      <c r="C67" s="4" t="s">
        <v>81</v>
      </c>
      <c r="D67" s="4" t="s">
        <v>1391</v>
      </c>
      <c r="E67" s="61">
        <v>1186.2</v>
      </c>
      <c r="G67" s="62">
        <f t="shared" si="5"/>
        <v>1186.2</v>
      </c>
    </row>
    <row r="68">
      <c r="A68" s="60" t="s">
        <v>232</v>
      </c>
      <c r="B68" s="60" t="s">
        <v>233</v>
      </c>
      <c r="C68" s="4" t="s">
        <v>81</v>
      </c>
      <c r="D68" s="4" t="s">
        <v>1391</v>
      </c>
      <c r="E68" s="63">
        <v>731.88</v>
      </c>
      <c r="G68" s="5">
        <f t="shared" si="5"/>
        <v>731.88</v>
      </c>
    </row>
    <row r="69">
      <c r="A69" s="60" t="s">
        <v>234</v>
      </c>
      <c r="B69" s="60" t="s">
        <v>235</v>
      </c>
      <c r="C69" s="4" t="s">
        <v>81</v>
      </c>
      <c r="D69" s="4" t="s">
        <v>1391</v>
      </c>
      <c r="E69" s="63">
        <v>100.0</v>
      </c>
      <c r="G69" s="5">
        <f t="shared" si="5"/>
        <v>100</v>
      </c>
    </row>
    <row r="70">
      <c r="A70" s="60" t="s">
        <v>236</v>
      </c>
      <c r="B70" s="60" t="s">
        <v>237</v>
      </c>
      <c r="C70" s="4" t="s">
        <v>81</v>
      </c>
      <c r="D70" s="4" t="s">
        <v>1391</v>
      </c>
      <c r="E70" s="63">
        <v>292.95</v>
      </c>
      <c r="G70" s="5">
        <f t="shared" si="5"/>
        <v>292.95</v>
      </c>
    </row>
    <row r="71">
      <c r="A71" s="60" t="s">
        <v>238</v>
      </c>
      <c r="B71" s="60" t="s">
        <v>239</v>
      </c>
      <c r="C71" s="4" t="s">
        <v>81</v>
      </c>
      <c r="D71" s="4" t="s">
        <v>1391</v>
      </c>
      <c r="E71" s="61">
        <v>1637.82</v>
      </c>
      <c r="G71" s="62">
        <f t="shared" si="5"/>
        <v>1637.82</v>
      </c>
    </row>
    <row r="72">
      <c r="A72" s="60" t="s">
        <v>240</v>
      </c>
      <c r="B72" s="60" t="s">
        <v>241</v>
      </c>
      <c r="C72" s="4" t="s">
        <v>81</v>
      </c>
      <c r="D72" s="4" t="s">
        <v>1391</v>
      </c>
      <c r="E72" s="61">
        <v>6977.53</v>
      </c>
      <c r="G72" s="62">
        <f t="shared" si="5"/>
        <v>6977.53</v>
      </c>
    </row>
    <row r="73">
      <c r="A73" s="60" t="s">
        <v>242</v>
      </c>
      <c r="B73" s="60" t="s">
        <v>243</v>
      </c>
      <c r="C73" s="4" t="s">
        <v>81</v>
      </c>
      <c r="D73" s="4" t="s">
        <v>1391</v>
      </c>
      <c r="E73" s="61">
        <v>17397.72</v>
      </c>
      <c r="G73" s="62">
        <f t="shared" si="5"/>
        <v>17397.72</v>
      </c>
    </row>
    <row r="74">
      <c r="A74" s="60" t="s">
        <v>244</v>
      </c>
      <c r="B74" s="60" t="s">
        <v>245</v>
      </c>
      <c r="C74" s="4" t="s">
        <v>81</v>
      </c>
      <c r="D74" s="4" t="s">
        <v>1391</v>
      </c>
      <c r="E74" s="63">
        <v>983.79</v>
      </c>
      <c r="G74" s="5">
        <f t="shared" si="5"/>
        <v>983.79</v>
      </c>
    </row>
    <row r="75">
      <c r="A75" s="60" t="s">
        <v>1610</v>
      </c>
      <c r="B75" s="60" t="s">
        <v>1611</v>
      </c>
      <c r="C75" s="4" t="s">
        <v>81</v>
      </c>
      <c r="D75" s="4" t="s">
        <v>1391</v>
      </c>
      <c r="E75" s="63">
        <v>267.96</v>
      </c>
      <c r="G75" s="5">
        <f t="shared" si="5"/>
        <v>267.96</v>
      </c>
    </row>
    <row r="76">
      <c r="A76" s="60" t="s">
        <v>982</v>
      </c>
      <c r="B76" s="60" t="s">
        <v>983</v>
      </c>
      <c r="C76" s="4" t="s">
        <v>81</v>
      </c>
      <c r="D76" s="4" t="s">
        <v>1391</v>
      </c>
      <c r="E76" s="61">
        <v>1735.95</v>
      </c>
      <c r="G76" s="62">
        <f t="shared" si="5"/>
        <v>1735.95</v>
      </c>
    </row>
    <row r="77">
      <c r="A77" s="60" t="s">
        <v>250</v>
      </c>
      <c r="B77" s="60" t="s">
        <v>251</v>
      </c>
      <c r="C77" s="4" t="s">
        <v>81</v>
      </c>
      <c r="D77" s="4" t="s">
        <v>1391</v>
      </c>
      <c r="E77" s="61">
        <v>2179.69</v>
      </c>
      <c r="G77" s="62">
        <f t="shared" si="5"/>
        <v>2179.69</v>
      </c>
    </row>
    <row r="78">
      <c r="A78" s="60" t="s">
        <v>252</v>
      </c>
      <c r="B78" s="60" t="s">
        <v>253</v>
      </c>
      <c r="C78" s="4" t="s">
        <v>81</v>
      </c>
      <c r="D78" s="4" t="s">
        <v>1391</v>
      </c>
      <c r="E78" s="63">
        <v>387.93</v>
      </c>
      <c r="G78" s="5">
        <f t="shared" si="5"/>
        <v>387.93</v>
      </c>
    </row>
    <row r="79">
      <c r="A79" s="60" t="s">
        <v>256</v>
      </c>
      <c r="B79" s="60" t="s">
        <v>257</v>
      </c>
      <c r="C79" s="4" t="s">
        <v>81</v>
      </c>
      <c r="D79" s="4" t="s">
        <v>1391</v>
      </c>
      <c r="E79" s="61">
        <v>1017.88</v>
      </c>
      <c r="G79" s="62">
        <f t="shared" si="5"/>
        <v>1017.88</v>
      </c>
    </row>
    <row r="80">
      <c r="A80" s="60" t="s">
        <v>258</v>
      </c>
      <c r="B80" s="60" t="s">
        <v>259</v>
      </c>
      <c r="C80" s="4" t="s">
        <v>81</v>
      </c>
      <c r="D80" s="4" t="s">
        <v>1391</v>
      </c>
      <c r="E80" s="61">
        <v>1379.83</v>
      </c>
      <c r="G80" s="62">
        <f t="shared" si="5"/>
        <v>1379.83</v>
      </c>
    </row>
    <row r="81">
      <c r="A81" s="60" t="s">
        <v>260</v>
      </c>
      <c r="B81" s="60" t="s">
        <v>261</v>
      </c>
      <c r="C81" s="4" t="s">
        <v>81</v>
      </c>
      <c r="D81" s="4" t="s">
        <v>1391</v>
      </c>
      <c r="E81" s="63">
        <v>689.9</v>
      </c>
      <c r="G81" s="5">
        <f t="shared" si="5"/>
        <v>689.9</v>
      </c>
    </row>
    <row r="82">
      <c r="A82" s="60" t="s">
        <v>1407</v>
      </c>
      <c r="B82" s="60" t="s">
        <v>1408</v>
      </c>
      <c r="C82" s="4" t="s">
        <v>81</v>
      </c>
      <c r="D82" s="4" t="s">
        <v>1391</v>
      </c>
      <c r="E82" s="61">
        <v>2013.7</v>
      </c>
      <c r="G82" s="62">
        <f t="shared" si="5"/>
        <v>2013.7</v>
      </c>
    </row>
    <row r="83">
      <c r="A83" s="60" t="s">
        <v>262</v>
      </c>
      <c r="B83" s="60" t="s">
        <v>263</v>
      </c>
      <c r="C83" s="4" t="s">
        <v>81</v>
      </c>
      <c r="D83" s="4" t="s">
        <v>1391</v>
      </c>
      <c r="E83" s="61">
        <v>1249.84</v>
      </c>
      <c r="G83" s="62">
        <f t="shared" si="5"/>
        <v>1249.84</v>
      </c>
    </row>
    <row r="84">
      <c r="A84" s="60" t="s">
        <v>264</v>
      </c>
      <c r="B84" s="60" t="s">
        <v>265</v>
      </c>
      <c r="C84" s="4" t="s">
        <v>81</v>
      </c>
      <c r="D84" s="4" t="s">
        <v>1391</v>
      </c>
      <c r="E84" s="63">
        <v>571.92</v>
      </c>
      <c r="G84" s="5">
        <f t="shared" si="5"/>
        <v>571.92</v>
      </c>
    </row>
    <row r="85">
      <c r="A85" s="60" t="s">
        <v>266</v>
      </c>
      <c r="B85" s="60" t="s">
        <v>267</v>
      </c>
      <c r="C85" s="4" t="s">
        <v>81</v>
      </c>
      <c r="D85" s="4" t="s">
        <v>1391</v>
      </c>
      <c r="E85" s="63">
        <v>899.86</v>
      </c>
      <c r="G85" s="5">
        <f t="shared" si="5"/>
        <v>899.86</v>
      </c>
    </row>
    <row r="86">
      <c r="A86" s="60" t="s">
        <v>268</v>
      </c>
      <c r="B86" s="60" t="s">
        <v>269</v>
      </c>
      <c r="C86" s="4" t="s">
        <v>81</v>
      </c>
      <c r="D86" s="4" t="s">
        <v>1391</v>
      </c>
      <c r="E86" s="63">
        <v>797.89</v>
      </c>
      <c r="G86" s="5">
        <f t="shared" si="5"/>
        <v>797.89</v>
      </c>
    </row>
    <row r="87">
      <c r="A87" s="60" t="s">
        <v>278</v>
      </c>
      <c r="B87" s="60" t="s">
        <v>279</v>
      </c>
      <c r="C87" s="4" t="s">
        <v>82</v>
      </c>
      <c r="D87" s="4" t="s">
        <v>1393</v>
      </c>
      <c r="E87" s="61">
        <v>2249.63</v>
      </c>
      <c r="G87" s="62">
        <f t="shared" si="5"/>
        <v>2249.63</v>
      </c>
    </row>
    <row r="88">
      <c r="A88" s="60" t="s">
        <v>980</v>
      </c>
      <c r="B88" s="60" t="s">
        <v>981</v>
      </c>
      <c r="C88" s="4" t="s">
        <v>82</v>
      </c>
      <c r="D88" s="4" t="s">
        <v>1393</v>
      </c>
      <c r="E88" s="61">
        <v>1920.96</v>
      </c>
      <c r="G88" s="62">
        <f t="shared" si="5"/>
        <v>1920.96</v>
      </c>
    </row>
    <row r="89">
      <c r="A89" s="60" t="s">
        <v>280</v>
      </c>
      <c r="B89" s="60" t="s">
        <v>281</v>
      </c>
      <c r="C89" s="4" t="s">
        <v>82</v>
      </c>
      <c r="D89" s="4" t="s">
        <v>1393</v>
      </c>
      <c r="E89" s="61">
        <v>1699.99</v>
      </c>
      <c r="G89" s="62">
        <f t="shared" si="5"/>
        <v>1699.99</v>
      </c>
    </row>
    <row r="90">
      <c r="A90" s="60" t="s">
        <v>282</v>
      </c>
      <c r="B90" s="60" t="s">
        <v>283</v>
      </c>
      <c r="C90" s="4" t="s">
        <v>82</v>
      </c>
      <c r="D90" s="4" t="s">
        <v>1393</v>
      </c>
      <c r="E90" s="61">
        <v>1361.69</v>
      </c>
      <c r="G90" s="62">
        <f t="shared" si="5"/>
        <v>1361.69</v>
      </c>
    </row>
    <row r="91">
      <c r="A91" s="60" t="s">
        <v>284</v>
      </c>
      <c r="B91" s="60" t="s">
        <v>285</v>
      </c>
      <c r="C91" s="4" t="s">
        <v>82</v>
      </c>
      <c r="D91" s="4" t="s">
        <v>1393</v>
      </c>
      <c r="E91" s="61">
        <v>1020.15</v>
      </c>
      <c r="G91" s="62">
        <f t="shared" si="5"/>
        <v>1020.15</v>
      </c>
    </row>
    <row r="92">
      <c r="A92" s="60" t="s">
        <v>286</v>
      </c>
      <c r="B92" s="60" t="s">
        <v>287</v>
      </c>
      <c r="C92" s="4" t="s">
        <v>82</v>
      </c>
      <c r="D92" s="4" t="s">
        <v>1393</v>
      </c>
      <c r="E92" s="61">
        <v>1179.83</v>
      </c>
      <c r="G92" s="62">
        <f t="shared" si="5"/>
        <v>1179.83</v>
      </c>
    </row>
    <row r="93">
      <c r="A93" s="60" t="s">
        <v>288</v>
      </c>
      <c r="B93" s="60" t="s">
        <v>289</v>
      </c>
      <c r="C93" s="4" t="s">
        <v>82</v>
      </c>
      <c r="D93" s="4" t="s">
        <v>1393</v>
      </c>
      <c r="E93" s="61">
        <v>1051.84</v>
      </c>
      <c r="G93" s="62">
        <f t="shared" si="5"/>
        <v>1051.84</v>
      </c>
    </row>
    <row r="94">
      <c r="A94" s="60" t="s">
        <v>290</v>
      </c>
      <c r="B94" s="60" t="s">
        <v>291</v>
      </c>
      <c r="C94" s="4" t="s">
        <v>82</v>
      </c>
      <c r="D94" s="4" t="s">
        <v>1393</v>
      </c>
      <c r="E94" s="61">
        <v>2106.0</v>
      </c>
      <c r="G94" s="62">
        <f t="shared" si="5"/>
        <v>2106</v>
      </c>
    </row>
    <row r="95">
      <c r="A95" s="60" t="s">
        <v>292</v>
      </c>
      <c r="B95" s="60" t="s">
        <v>293</v>
      </c>
      <c r="C95" s="4" t="s">
        <v>82</v>
      </c>
      <c r="D95" s="4" t="s">
        <v>1393</v>
      </c>
      <c r="E95" s="63">
        <v>251.86</v>
      </c>
      <c r="G95" s="5">
        <f t="shared" si="5"/>
        <v>251.86</v>
      </c>
    </row>
    <row r="96">
      <c r="A96" s="60" t="s">
        <v>294</v>
      </c>
      <c r="B96" s="60" t="s">
        <v>295</v>
      </c>
      <c r="C96" s="4" t="s">
        <v>82</v>
      </c>
      <c r="D96" s="4" t="s">
        <v>1393</v>
      </c>
      <c r="E96" s="61">
        <v>1085.82</v>
      </c>
      <c r="G96" s="62">
        <f t="shared" si="5"/>
        <v>1085.82</v>
      </c>
    </row>
    <row r="97">
      <c r="A97" s="60" t="s">
        <v>296</v>
      </c>
      <c r="B97" s="60" t="s">
        <v>297</v>
      </c>
      <c r="C97" s="4" t="s">
        <v>82</v>
      </c>
      <c r="D97" s="4" t="s">
        <v>1393</v>
      </c>
      <c r="E97" s="61">
        <v>1325.8</v>
      </c>
      <c r="G97" s="62">
        <f t="shared" si="5"/>
        <v>1325.8</v>
      </c>
    </row>
    <row r="98">
      <c r="A98" s="60" t="s">
        <v>298</v>
      </c>
      <c r="B98" s="60" t="s">
        <v>299</v>
      </c>
      <c r="C98" s="4" t="s">
        <v>82</v>
      </c>
      <c r="D98" s="4" t="s">
        <v>1393</v>
      </c>
      <c r="E98" s="63">
        <v>159.97</v>
      </c>
      <c r="G98" s="5">
        <f t="shared" si="5"/>
        <v>159.97</v>
      </c>
    </row>
    <row r="99">
      <c r="A99" s="60" t="s">
        <v>300</v>
      </c>
      <c r="B99" s="60" t="s">
        <v>301</v>
      </c>
      <c r="C99" s="4" t="s">
        <v>82</v>
      </c>
      <c r="D99" s="4" t="s">
        <v>1393</v>
      </c>
      <c r="E99" s="63">
        <v>544.77</v>
      </c>
      <c r="G99" s="5">
        <f t="shared" si="5"/>
        <v>544.77</v>
      </c>
    </row>
    <row r="100">
      <c r="A100" s="60" t="s">
        <v>1415</v>
      </c>
      <c r="B100" s="60" t="s">
        <v>1416</v>
      </c>
      <c r="C100" s="4" t="s">
        <v>82</v>
      </c>
      <c r="D100" s="4" t="s">
        <v>1393</v>
      </c>
      <c r="E100" s="61">
        <v>5733.13</v>
      </c>
      <c r="G100" s="62">
        <f t="shared" si="5"/>
        <v>5733.13</v>
      </c>
    </row>
    <row r="101">
      <c r="A101" s="60" t="s">
        <v>302</v>
      </c>
      <c r="B101" s="60" t="s">
        <v>303</v>
      </c>
      <c r="C101" s="4" t="s">
        <v>82</v>
      </c>
      <c r="D101" s="4" t="s">
        <v>1393</v>
      </c>
      <c r="E101" s="63">
        <v>900.0</v>
      </c>
      <c r="G101" s="5">
        <f t="shared" si="5"/>
        <v>900</v>
      </c>
    </row>
    <row r="102">
      <c r="A102" s="60" t="s">
        <v>304</v>
      </c>
      <c r="B102" s="60" t="s">
        <v>305</v>
      </c>
      <c r="C102" s="4" t="s">
        <v>82</v>
      </c>
      <c r="D102" s="4" t="s">
        <v>1393</v>
      </c>
      <c r="E102" s="63">
        <v>589.91</v>
      </c>
      <c r="G102" s="5">
        <f t="shared" si="5"/>
        <v>589.91</v>
      </c>
    </row>
    <row r="103">
      <c r="A103" s="60" t="s">
        <v>984</v>
      </c>
      <c r="B103" s="60" t="s">
        <v>985</v>
      </c>
      <c r="C103" s="4" t="s">
        <v>82</v>
      </c>
      <c r="D103" s="4" t="s">
        <v>1393</v>
      </c>
      <c r="E103" s="61">
        <v>1763.65</v>
      </c>
      <c r="G103" s="62">
        <f t="shared" si="5"/>
        <v>1763.65</v>
      </c>
    </row>
    <row r="104">
      <c r="A104" s="60" t="s">
        <v>308</v>
      </c>
      <c r="B104" s="60" t="s">
        <v>309</v>
      </c>
      <c r="C104" s="4" t="s">
        <v>73</v>
      </c>
      <c r="D104" s="4" t="s">
        <v>52</v>
      </c>
      <c r="E104" s="61">
        <v>24448.8</v>
      </c>
      <c r="G104" s="62">
        <f t="shared" si="5"/>
        <v>24448.8</v>
      </c>
    </row>
    <row r="105">
      <c r="A105" s="60" t="s">
        <v>310</v>
      </c>
      <c r="B105" s="60" t="s">
        <v>311</v>
      </c>
      <c r="C105" s="4" t="s">
        <v>73</v>
      </c>
      <c r="D105" s="4" t="s">
        <v>52</v>
      </c>
      <c r="E105" s="63">
        <v>19329.37</v>
      </c>
      <c r="G105" s="5">
        <f t="shared" si="5"/>
        <v>19329.37</v>
      </c>
    </row>
    <row r="106">
      <c r="A106" s="60" t="s">
        <v>312</v>
      </c>
      <c r="B106" s="60" t="s">
        <v>313</v>
      </c>
      <c r="C106" s="4" t="s">
        <v>73</v>
      </c>
      <c r="D106" s="4" t="s">
        <v>52</v>
      </c>
      <c r="E106" s="63">
        <v>10476.7</v>
      </c>
      <c r="G106" s="5">
        <f t="shared" si="5"/>
        <v>10476.7</v>
      </c>
    </row>
    <row r="107">
      <c r="A107" s="60" t="s">
        <v>314</v>
      </c>
      <c r="B107" s="60" t="s">
        <v>315</v>
      </c>
      <c r="C107" s="4" t="s">
        <v>73</v>
      </c>
      <c r="D107" s="4" t="s">
        <v>52</v>
      </c>
      <c r="E107" s="63">
        <v>8687.42</v>
      </c>
      <c r="G107" s="5">
        <f t="shared" si="5"/>
        <v>8687.42</v>
      </c>
    </row>
    <row r="108">
      <c r="A108" s="60" t="s">
        <v>318</v>
      </c>
      <c r="B108" s="60" t="s">
        <v>319</v>
      </c>
      <c r="C108" s="4" t="s">
        <v>73</v>
      </c>
      <c r="D108" s="4" t="s">
        <v>52</v>
      </c>
      <c r="E108" s="63">
        <v>9219.63</v>
      </c>
      <c r="G108" s="5">
        <f t="shared" si="5"/>
        <v>9219.63</v>
      </c>
    </row>
    <row r="109">
      <c r="A109" s="60" t="s">
        <v>320</v>
      </c>
      <c r="B109" s="60" t="s">
        <v>321</v>
      </c>
      <c r="C109" s="4" t="s">
        <v>73</v>
      </c>
      <c r="D109" s="4" t="s">
        <v>52</v>
      </c>
      <c r="E109" s="63">
        <v>3223.25</v>
      </c>
      <c r="G109" s="5">
        <f t="shared" si="5"/>
        <v>3223.25</v>
      </c>
    </row>
    <row r="110">
      <c r="A110" s="60" t="s">
        <v>322</v>
      </c>
      <c r="B110" s="60" t="s">
        <v>323</v>
      </c>
      <c r="C110" s="4" t="s">
        <v>73</v>
      </c>
      <c r="D110" s="4" t="s">
        <v>52</v>
      </c>
      <c r="E110" s="63">
        <v>1379.98</v>
      </c>
      <c r="G110" s="5">
        <f t="shared" si="5"/>
        <v>1379.98</v>
      </c>
    </row>
    <row r="111">
      <c r="A111" s="60" t="s">
        <v>324</v>
      </c>
      <c r="B111" s="60" t="s">
        <v>325</v>
      </c>
      <c r="C111" s="4" t="s">
        <v>73</v>
      </c>
      <c r="D111" s="4" t="s">
        <v>52</v>
      </c>
      <c r="E111" s="63">
        <v>1924.95</v>
      </c>
      <c r="G111" s="5">
        <f t="shared" si="5"/>
        <v>1924.95</v>
      </c>
    </row>
    <row r="112">
      <c r="A112" s="60" t="s">
        <v>1612</v>
      </c>
      <c r="B112" s="60" t="s">
        <v>1613</v>
      </c>
      <c r="C112" s="4" t="s">
        <v>73</v>
      </c>
      <c r="D112" s="4" t="s">
        <v>52</v>
      </c>
      <c r="E112" s="63">
        <v>5161.94</v>
      </c>
      <c r="G112" s="5">
        <f t="shared" si="5"/>
        <v>5161.94</v>
      </c>
    </row>
    <row r="113">
      <c r="A113" s="60" t="s">
        <v>326</v>
      </c>
      <c r="B113" s="60" t="s">
        <v>327</v>
      </c>
      <c r="C113" s="4" t="s">
        <v>73</v>
      </c>
      <c r="D113" s="4" t="s">
        <v>52</v>
      </c>
      <c r="E113" s="63">
        <v>1019.99</v>
      </c>
      <c r="G113" s="5">
        <f t="shared" si="5"/>
        <v>1019.99</v>
      </c>
    </row>
    <row r="114">
      <c r="A114" s="60" t="s">
        <v>328</v>
      </c>
      <c r="B114" s="60" t="s">
        <v>329</v>
      </c>
      <c r="C114" s="4" t="s">
        <v>73</v>
      </c>
      <c r="D114" s="4" t="s">
        <v>52</v>
      </c>
      <c r="E114" s="63">
        <v>14311.99</v>
      </c>
      <c r="G114" s="5">
        <f t="shared" si="5"/>
        <v>14311.99</v>
      </c>
    </row>
    <row r="115">
      <c r="A115" s="60" t="s">
        <v>330</v>
      </c>
      <c r="B115" s="60" t="s">
        <v>331</v>
      </c>
      <c r="C115" s="4" t="s">
        <v>73</v>
      </c>
      <c r="D115" s="4" t="s">
        <v>52</v>
      </c>
      <c r="E115" s="63">
        <v>3399.98</v>
      </c>
      <c r="G115" s="5">
        <f t="shared" si="5"/>
        <v>3399.98</v>
      </c>
    </row>
    <row r="116">
      <c r="A116" s="60" t="s">
        <v>332</v>
      </c>
      <c r="B116" s="60" t="s">
        <v>333</v>
      </c>
      <c r="C116" s="4" t="s">
        <v>73</v>
      </c>
      <c r="D116" s="4" t="s">
        <v>52</v>
      </c>
      <c r="E116" s="63">
        <v>550.75</v>
      </c>
      <c r="G116" s="5">
        <f t="shared" si="5"/>
        <v>550.75</v>
      </c>
    </row>
    <row r="117">
      <c r="A117" s="60" t="s">
        <v>334</v>
      </c>
      <c r="B117" s="60" t="s">
        <v>335</v>
      </c>
      <c r="C117" s="4" t="s">
        <v>73</v>
      </c>
      <c r="D117" s="4" t="s">
        <v>52</v>
      </c>
      <c r="E117" s="61">
        <v>103445.51</v>
      </c>
      <c r="G117" s="62">
        <f t="shared" si="5"/>
        <v>103445.51</v>
      </c>
    </row>
    <row r="118">
      <c r="A118" s="60" t="s">
        <v>336</v>
      </c>
      <c r="B118" s="60" t="s">
        <v>337</v>
      </c>
      <c r="C118" s="4" t="s">
        <v>73</v>
      </c>
      <c r="D118" s="4" t="s">
        <v>52</v>
      </c>
      <c r="E118" s="63">
        <v>1852.35</v>
      </c>
      <c r="G118" s="5">
        <f t="shared" si="5"/>
        <v>1852.35</v>
      </c>
    </row>
    <row r="119">
      <c r="A119" s="60" t="s">
        <v>338</v>
      </c>
      <c r="B119" s="60" t="s">
        <v>339</v>
      </c>
      <c r="C119" s="4" t="s">
        <v>73</v>
      </c>
      <c r="D119" s="4" t="s">
        <v>52</v>
      </c>
      <c r="E119" s="63">
        <v>4799.96</v>
      </c>
      <c r="G119" s="5">
        <f t="shared" si="5"/>
        <v>4799.96</v>
      </c>
    </row>
    <row r="120">
      <c r="A120" s="60" t="s">
        <v>340</v>
      </c>
      <c r="B120" s="60" t="s">
        <v>341</v>
      </c>
      <c r="C120" s="4" t="s">
        <v>73</v>
      </c>
      <c r="D120" s="4" t="s">
        <v>52</v>
      </c>
      <c r="E120" s="63">
        <v>1562.0</v>
      </c>
      <c r="G120" s="5">
        <f t="shared" si="5"/>
        <v>1562</v>
      </c>
    </row>
    <row r="121">
      <c r="A121" s="60" t="s">
        <v>342</v>
      </c>
      <c r="B121" s="60" t="s">
        <v>343</v>
      </c>
      <c r="C121" s="4" t="s">
        <v>73</v>
      </c>
      <c r="D121" s="4" t="s">
        <v>52</v>
      </c>
      <c r="E121" s="63">
        <v>6325.0</v>
      </c>
      <c r="G121" s="5">
        <f t="shared" si="5"/>
        <v>6325</v>
      </c>
    </row>
    <row r="122">
      <c r="A122" s="60" t="s">
        <v>344</v>
      </c>
      <c r="B122" s="60" t="s">
        <v>345</v>
      </c>
      <c r="C122" s="4" t="s">
        <v>73</v>
      </c>
      <c r="D122" s="4" t="s">
        <v>52</v>
      </c>
      <c r="E122" s="63">
        <v>12397.5</v>
      </c>
      <c r="G122" s="5">
        <f t="shared" si="5"/>
        <v>12397.5</v>
      </c>
    </row>
    <row r="123">
      <c r="A123" s="60" t="s">
        <v>346</v>
      </c>
      <c r="B123" s="60" t="s">
        <v>347</v>
      </c>
      <c r="C123" s="4" t="s">
        <v>73</v>
      </c>
      <c r="D123" s="4" t="s">
        <v>52</v>
      </c>
      <c r="E123" s="63">
        <v>1600.0</v>
      </c>
      <c r="G123" s="5">
        <f t="shared" si="5"/>
        <v>1600</v>
      </c>
    </row>
    <row r="124">
      <c r="A124" s="60" t="s">
        <v>1614</v>
      </c>
      <c r="B124" s="60" t="s">
        <v>1615</v>
      </c>
      <c r="C124" s="4" t="s">
        <v>73</v>
      </c>
      <c r="D124" s="4" t="s">
        <v>52</v>
      </c>
      <c r="E124" s="63">
        <v>659.98</v>
      </c>
      <c r="G124" s="5">
        <f t="shared" si="5"/>
        <v>659.98</v>
      </c>
    </row>
    <row r="125">
      <c r="A125" s="60" t="s">
        <v>1616</v>
      </c>
      <c r="B125" s="60" t="s">
        <v>1617</v>
      </c>
      <c r="C125" s="4" t="s">
        <v>75</v>
      </c>
      <c r="D125" s="4" t="s">
        <v>48</v>
      </c>
      <c r="E125" s="63">
        <v>150.6</v>
      </c>
      <c r="G125" s="5">
        <f t="shared" si="5"/>
        <v>150.6</v>
      </c>
    </row>
    <row r="126">
      <c r="A126" s="60" t="s">
        <v>424</v>
      </c>
      <c r="B126" s="60" t="s">
        <v>425</v>
      </c>
      <c r="C126" s="4" t="s">
        <v>75</v>
      </c>
      <c r="D126" s="4" t="s">
        <v>48</v>
      </c>
      <c r="E126" s="63">
        <v>285.96</v>
      </c>
      <c r="G126" s="5">
        <f t="shared" si="5"/>
        <v>285.96</v>
      </c>
    </row>
    <row r="127">
      <c r="A127" s="60" t="s">
        <v>426</v>
      </c>
      <c r="B127" s="60" t="s">
        <v>427</v>
      </c>
      <c r="C127" s="4" t="s">
        <v>75</v>
      </c>
      <c r="D127" s="4" t="s">
        <v>48</v>
      </c>
      <c r="E127" s="63">
        <v>234.97</v>
      </c>
      <c r="G127" s="5">
        <f t="shared" si="5"/>
        <v>234.97</v>
      </c>
    </row>
    <row r="128">
      <c r="A128" s="60" t="s">
        <v>428</v>
      </c>
      <c r="B128" s="60" t="s">
        <v>429</v>
      </c>
      <c r="C128" s="4" t="s">
        <v>75</v>
      </c>
      <c r="D128" s="4" t="s">
        <v>48</v>
      </c>
      <c r="E128" s="63">
        <v>494.02</v>
      </c>
      <c r="G128" s="5">
        <f t="shared" si="5"/>
        <v>494.02</v>
      </c>
    </row>
    <row r="129">
      <c r="A129" s="60" t="s">
        <v>430</v>
      </c>
      <c r="B129" s="60" t="s">
        <v>431</v>
      </c>
      <c r="C129" s="4" t="s">
        <v>75</v>
      </c>
      <c r="D129" s="4" t="s">
        <v>48</v>
      </c>
      <c r="E129" s="63">
        <v>354.0</v>
      </c>
      <c r="G129" s="5">
        <f t="shared" si="5"/>
        <v>354</v>
      </c>
    </row>
    <row r="130">
      <c r="A130" s="60" t="s">
        <v>432</v>
      </c>
      <c r="B130" s="60" t="s">
        <v>433</v>
      </c>
      <c r="C130" s="4" t="s">
        <v>75</v>
      </c>
      <c r="D130" s="4" t="s">
        <v>48</v>
      </c>
      <c r="E130" s="63">
        <v>1056.05</v>
      </c>
      <c r="G130" s="5">
        <f t="shared" si="5"/>
        <v>1056.05</v>
      </c>
    </row>
    <row r="131">
      <c r="A131" s="60" t="s">
        <v>434</v>
      </c>
      <c r="B131" s="60" t="s">
        <v>435</v>
      </c>
      <c r="C131" s="4" t="s">
        <v>75</v>
      </c>
      <c r="D131" s="4" t="s">
        <v>48</v>
      </c>
      <c r="E131" s="63">
        <v>184.0</v>
      </c>
      <c r="G131" s="5">
        <f t="shared" si="5"/>
        <v>184</v>
      </c>
    </row>
    <row r="132">
      <c r="A132" s="60" t="s">
        <v>436</v>
      </c>
      <c r="B132" s="60" t="s">
        <v>437</v>
      </c>
      <c r="C132" s="4" t="s">
        <v>75</v>
      </c>
      <c r="D132" s="4" t="s">
        <v>48</v>
      </c>
      <c r="E132" s="63">
        <v>67.99</v>
      </c>
      <c r="G132" s="5">
        <f t="shared" si="5"/>
        <v>67.99</v>
      </c>
    </row>
    <row r="133">
      <c r="A133" s="60" t="s">
        <v>438</v>
      </c>
      <c r="B133" s="60" t="s">
        <v>439</v>
      </c>
      <c r="C133" s="4" t="s">
        <v>75</v>
      </c>
      <c r="D133" s="4" t="s">
        <v>48</v>
      </c>
      <c r="E133" s="63">
        <v>1022.04</v>
      </c>
      <c r="G133" s="5">
        <f t="shared" si="5"/>
        <v>1022.04</v>
      </c>
    </row>
    <row r="134">
      <c r="A134" s="60" t="s">
        <v>440</v>
      </c>
      <c r="B134" s="60" t="s">
        <v>441</v>
      </c>
      <c r="C134" s="4" t="s">
        <v>75</v>
      </c>
      <c r="D134" s="4" t="s">
        <v>48</v>
      </c>
      <c r="E134" s="63">
        <v>698.03</v>
      </c>
      <c r="G134" s="5">
        <f t="shared" si="5"/>
        <v>698.03</v>
      </c>
    </row>
    <row r="135">
      <c r="A135" s="60" t="s">
        <v>442</v>
      </c>
      <c r="B135" s="60" t="s">
        <v>443</v>
      </c>
      <c r="C135" s="4" t="s">
        <v>75</v>
      </c>
      <c r="D135" s="4" t="s">
        <v>48</v>
      </c>
      <c r="E135" s="63">
        <v>6100.69</v>
      </c>
      <c r="G135" s="5">
        <f t="shared" si="5"/>
        <v>6100.69</v>
      </c>
    </row>
    <row r="136">
      <c r="A136" s="60" t="s">
        <v>446</v>
      </c>
      <c r="B136" s="60" t="s">
        <v>447</v>
      </c>
      <c r="C136" s="4" t="s">
        <v>75</v>
      </c>
      <c r="D136" s="4" t="s">
        <v>48</v>
      </c>
      <c r="E136" s="63">
        <v>2722.8</v>
      </c>
      <c r="G136" s="5">
        <f t="shared" si="5"/>
        <v>2722.8</v>
      </c>
    </row>
    <row r="137">
      <c r="A137" s="60" t="s">
        <v>448</v>
      </c>
      <c r="B137" s="60" t="s">
        <v>449</v>
      </c>
      <c r="C137" s="4" t="s">
        <v>75</v>
      </c>
      <c r="D137" s="4" t="s">
        <v>48</v>
      </c>
      <c r="E137" s="63">
        <v>987.84</v>
      </c>
      <c r="G137" s="5">
        <f t="shared" si="5"/>
        <v>987.84</v>
      </c>
    </row>
    <row r="138">
      <c r="A138" s="60" t="s">
        <v>450</v>
      </c>
      <c r="B138" s="60" t="s">
        <v>451</v>
      </c>
      <c r="C138" s="4" t="s">
        <v>75</v>
      </c>
      <c r="D138" s="4" t="s">
        <v>48</v>
      </c>
      <c r="E138" s="63">
        <v>1723.8</v>
      </c>
      <c r="G138" s="5">
        <f t="shared" si="5"/>
        <v>1723.8</v>
      </c>
    </row>
    <row r="139">
      <c r="A139" s="60" t="s">
        <v>452</v>
      </c>
      <c r="B139" s="60" t="s">
        <v>453</v>
      </c>
      <c r="C139" s="4" t="s">
        <v>75</v>
      </c>
      <c r="D139" s="4" t="s">
        <v>48</v>
      </c>
      <c r="E139" s="63">
        <v>109.0</v>
      </c>
      <c r="G139" s="5">
        <f t="shared" si="5"/>
        <v>109</v>
      </c>
    </row>
    <row r="140">
      <c r="A140" s="60" t="s">
        <v>454</v>
      </c>
      <c r="B140" s="60" t="s">
        <v>455</v>
      </c>
      <c r="C140" s="4" t="s">
        <v>75</v>
      </c>
      <c r="D140" s="4" t="s">
        <v>48</v>
      </c>
      <c r="E140" s="63">
        <v>109.0</v>
      </c>
      <c r="G140" s="5">
        <f t="shared" si="5"/>
        <v>109</v>
      </c>
    </row>
    <row r="141">
      <c r="A141" s="60" t="s">
        <v>456</v>
      </c>
      <c r="B141" s="60" t="s">
        <v>457</v>
      </c>
      <c r="C141" s="4" t="s">
        <v>75</v>
      </c>
      <c r="D141" s="4" t="s">
        <v>48</v>
      </c>
      <c r="E141" s="63">
        <v>310.02</v>
      </c>
      <c r="G141" s="5">
        <f t="shared" si="5"/>
        <v>310.02</v>
      </c>
    </row>
    <row r="142">
      <c r="A142" s="60" t="s">
        <v>458</v>
      </c>
      <c r="B142" s="60" t="s">
        <v>459</v>
      </c>
      <c r="C142" s="4" t="s">
        <v>75</v>
      </c>
      <c r="D142" s="4" t="s">
        <v>48</v>
      </c>
      <c r="E142" s="63">
        <v>756.43</v>
      </c>
      <c r="G142" s="5">
        <f t="shared" si="5"/>
        <v>756.43</v>
      </c>
    </row>
    <row r="143">
      <c r="A143" s="60" t="s">
        <v>460</v>
      </c>
      <c r="B143" s="60" t="s">
        <v>461</v>
      </c>
      <c r="C143" s="4" t="s">
        <v>75</v>
      </c>
      <c r="D143" s="4" t="s">
        <v>48</v>
      </c>
      <c r="E143" s="63">
        <v>252.64</v>
      </c>
      <c r="G143" s="5">
        <f t="shared" si="5"/>
        <v>252.64</v>
      </c>
    </row>
    <row r="144">
      <c r="A144" s="60" t="s">
        <v>462</v>
      </c>
      <c r="B144" s="60" t="s">
        <v>463</v>
      </c>
      <c r="C144" s="4" t="s">
        <v>75</v>
      </c>
      <c r="D144" s="4" t="s">
        <v>48</v>
      </c>
      <c r="E144" s="63">
        <v>6709.28</v>
      </c>
      <c r="G144" s="5">
        <f t="shared" si="5"/>
        <v>6709.28</v>
      </c>
    </row>
    <row r="145">
      <c r="A145" s="60" t="s">
        <v>466</v>
      </c>
      <c r="B145" s="60" t="s">
        <v>467</v>
      </c>
      <c r="C145" s="4" t="s">
        <v>75</v>
      </c>
      <c r="D145" s="4" t="s">
        <v>48</v>
      </c>
      <c r="E145" s="63">
        <v>2282.0</v>
      </c>
      <c r="G145" s="5">
        <f t="shared" si="5"/>
        <v>2282</v>
      </c>
    </row>
    <row r="146">
      <c r="A146" s="60" t="s">
        <v>468</v>
      </c>
      <c r="B146" s="60" t="s">
        <v>469</v>
      </c>
      <c r="C146" s="4" t="s">
        <v>75</v>
      </c>
      <c r="D146" s="4" t="s">
        <v>48</v>
      </c>
      <c r="E146" s="63">
        <v>3574.34</v>
      </c>
      <c r="G146" s="5">
        <f t="shared" si="5"/>
        <v>3574.34</v>
      </c>
    </row>
    <row r="147">
      <c r="A147" s="60" t="s">
        <v>470</v>
      </c>
      <c r="B147" s="60" t="s">
        <v>471</v>
      </c>
      <c r="C147" s="4" t="s">
        <v>75</v>
      </c>
      <c r="D147" s="4" t="s">
        <v>48</v>
      </c>
      <c r="E147" s="63">
        <v>719.42</v>
      </c>
      <c r="G147" s="5">
        <f t="shared" si="5"/>
        <v>719.42</v>
      </c>
    </row>
    <row r="148">
      <c r="A148" s="60" t="s">
        <v>350</v>
      </c>
      <c r="B148" s="60" t="s">
        <v>351</v>
      </c>
      <c r="C148" s="4" t="s">
        <v>75</v>
      </c>
      <c r="D148" s="4" t="s">
        <v>48</v>
      </c>
      <c r="E148" s="63">
        <v>100.0</v>
      </c>
      <c r="G148" s="5">
        <f t="shared" si="5"/>
        <v>100</v>
      </c>
    </row>
    <row r="149">
      <c r="A149" s="60" t="s">
        <v>352</v>
      </c>
      <c r="B149" s="60" t="s">
        <v>353</v>
      </c>
      <c r="C149" s="4" t="s">
        <v>75</v>
      </c>
      <c r="D149" s="4" t="s">
        <v>48</v>
      </c>
      <c r="E149" s="63">
        <v>108.98</v>
      </c>
      <c r="G149" s="5">
        <f t="shared" si="5"/>
        <v>108.98</v>
      </c>
    </row>
    <row r="150">
      <c r="A150" s="60" t="s">
        <v>354</v>
      </c>
      <c r="B150" s="60" t="s">
        <v>355</v>
      </c>
      <c r="C150" s="4" t="s">
        <v>75</v>
      </c>
      <c r="D150" s="4" t="s">
        <v>48</v>
      </c>
      <c r="E150" s="63">
        <v>494.0</v>
      </c>
      <c r="G150" s="5">
        <f t="shared" si="5"/>
        <v>494</v>
      </c>
    </row>
    <row r="151">
      <c r="A151" s="60" t="s">
        <v>356</v>
      </c>
      <c r="B151" s="60" t="s">
        <v>357</v>
      </c>
      <c r="C151" s="4" t="s">
        <v>75</v>
      </c>
      <c r="D151" s="4" t="s">
        <v>48</v>
      </c>
      <c r="E151" s="63">
        <v>149.98</v>
      </c>
      <c r="G151" s="5">
        <f t="shared" si="5"/>
        <v>149.98</v>
      </c>
    </row>
    <row r="152">
      <c r="A152" s="60" t="s">
        <v>358</v>
      </c>
      <c r="B152" s="60" t="s">
        <v>359</v>
      </c>
      <c r="C152" s="4" t="s">
        <v>75</v>
      </c>
      <c r="D152" s="4" t="s">
        <v>48</v>
      </c>
      <c r="E152" s="63">
        <v>207.98</v>
      </c>
      <c r="G152" s="5">
        <f t="shared" si="5"/>
        <v>207.98</v>
      </c>
    </row>
    <row r="153">
      <c r="A153" s="60" t="s">
        <v>360</v>
      </c>
      <c r="B153" s="60" t="s">
        <v>361</v>
      </c>
      <c r="C153" s="4" t="s">
        <v>75</v>
      </c>
      <c r="D153" s="4" t="s">
        <v>48</v>
      </c>
      <c r="E153" s="63">
        <v>184.0</v>
      </c>
      <c r="G153" s="5">
        <f t="shared" si="5"/>
        <v>184</v>
      </c>
    </row>
    <row r="154">
      <c r="A154" s="60" t="s">
        <v>362</v>
      </c>
      <c r="B154" s="60" t="s">
        <v>363</v>
      </c>
      <c r="C154" s="4" t="s">
        <v>75</v>
      </c>
      <c r="D154" s="4" t="s">
        <v>48</v>
      </c>
      <c r="E154" s="63">
        <v>142.98</v>
      </c>
      <c r="G154" s="5">
        <f t="shared" si="5"/>
        <v>142.98</v>
      </c>
    </row>
    <row r="155">
      <c r="A155" s="60" t="s">
        <v>364</v>
      </c>
      <c r="B155" s="60" t="s">
        <v>365</v>
      </c>
      <c r="C155" s="4" t="s">
        <v>75</v>
      </c>
      <c r="D155" s="4" t="s">
        <v>48</v>
      </c>
      <c r="E155" s="63">
        <v>5461.1</v>
      </c>
      <c r="G155" s="5">
        <f t="shared" si="5"/>
        <v>5461.1</v>
      </c>
    </row>
    <row r="156">
      <c r="A156" s="60" t="s">
        <v>366</v>
      </c>
      <c r="B156" s="60" t="s">
        <v>367</v>
      </c>
      <c r="C156" s="4" t="s">
        <v>75</v>
      </c>
      <c r="D156" s="4" t="s">
        <v>48</v>
      </c>
      <c r="E156" s="63">
        <v>1720.8</v>
      </c>
      <c r="G156" s="5">
        <f t="shared" si="5"/>
        <v>1720.8</v>
      </c>
    </row>
    <row r="157">
      <c r="A157" s="60" t="s">
        <v>368</v>
      </c>
      <c r="B157" s="60" t="s">
        <v>1618</v>
      </c>
      <c r="C157" s="4" t="s">
        <v>75</v>
      </c>
      <c r="D157" s="4" t="s">
        <v>48</v>
      </c>
      <c r="E157" s="63">
        <v>5693.83</v>
      </c>
      <c r="G157" s="5">
        <f t="shared" si="5"/>
        <v>5693.83</v>
      </c>
    </row>
    <row r="158">
      <c r="A158" s="60" t="s">
        <v>1443</v>
      </c>
      <c r="B158" s="60" t="s">
        <v>1444</v>
      </c>
      <c r="C158" s="4" t="s">
        <v>75</v>
      </c>
      <c r="D158" s="4" t="s">
        <v>48</v>
      </c>
      <c r="E158" s="63">
        <v>5007.35</v>
      </c>
      <c r="G158" s="5">
        <f t="shared" si="5"/>
        <v>5007.35</v>
      </c>
    </row>
    <row r="159">
      <c r="A159" s="60" t="s">
        <v>716</v>
      </c>
      <c r="B159" s="60" t="s">
        <v>717</v>
      </c>
      <c r="C159" s="4" t="s">
        <v>75</v>
      </c>
      <c r="D159" s="4" t="s">
        <v>48</v>
      </c>
      <c r="E159" s="63">
        <v>1839.85</v>
      </c>
      <c r="G159" s="5">
        <f t="shared" si="5"/>
        <v>1839.85</v>
      </c>
    </row>
    <row r="160">
      <c r="A160" s="60" t="s">
        <v>1445</v>
      </c>
      <c r="B160" s="60" t="s">
        <v>1446</v>
      </c>
      <c r="C160" s="4" t="s">
        <v>75</v>
      </c>
      <c r="D160" s="4" t="s">
        <v>48</v>
      </c>
      <c r="E160" s="63">
        <v>344.04</v>
      </c>
      <c r="G160" s="5">
        <f t="shared" si="5"/>
        <v>344.04</v>
      </c>
    </row>
    <row r="161">
      <c r="A161" s="60" t="s">
        <v>370</v>
      </c>
      <c r="B161" s="60" t="s">
        <v>371</v>
      </c>
      <c r="C161" s="4" t="s">
        <v>75</v>
      </c>
      <c r="D161" s="4" t="s">
        <v>48</v>
      </c>
      <c r="E161" s="63">
        <v>4599.37</v>
      </c>
      <c r="G161" s="5">
        <f t="shared" si="5"/>
        <v>4599.37</v>
      </c>
    </row>
    <row r="162">
      <c r="A162" s="60" t="s">
        <v>372</v>
      </c>
      <c r="B162" s="60" t="s">
        <v>373</v>
      </c>
      <c r="C162" s="4" t="s">
        <v>75</v>
      </c>
      <c r="D162" s="4" t="s">
        <v>48</v>
      </c>
      <c r="E162" s="63">
        <v>494.01</v>
      </c>
      <c r="G162" s="5">
        <f t="shared" si="5"/>
        <v>494.01</v>
      </c>
    </row>
    <row r="163">
      <c r="A163" s="60" t="s">
        <v>374</v>
      </c>
      <c r="B163" s="60" t="s">
        <v>375</v>
      </c>
      <c r="C163" s="4" t="s">
        <v>75</v>
      </c>
      <c r="D163" s="4" t="s">
        <v>48</v>
      </c>
      <c r="E163" s="63">
        <v>276.0</v>
      </c>
      <c r="G163" s="5">
        <f t="shared" si="5"/>
        <v>276</v>
      </c>
    </row>
    <row r="164">
      <c r="A164" s="60" t="s">
        <v>376</v>
      </c>
      <c r="B164" s="60" t="s">
        <v>377</v>
      </c>
      <c r="C164" s="4" t="s">
        <v>75</v>
      </c>
      <c r="D164" s="4" t="s">
        <v>48</v>
      </c>
      <c r="E164" s="63">
        <v>4550.09</v>
      </c>
      <c r="G164" s="5">
        <f t="shared" si="5"/>
        <v>4550.09</v>
      </c>
    </row>
    <row r="165">
      <c r="A165" s="60" t="s">
        <v>380</v>
      </c>
      <c r="B165" s="60" t="s">
        <v>381</v>
      </c>
      <c r="C165" s="4" t="s">
        <v>75</v>
      </c>
      <c r="D165" s="4" t="s">
        <v>48</v>
      </c>
      <c r="E165" s="63">
        <v>184.0</v>
      </c>
      <c r="G165" s="5">
        <f t="shared" si="5"/>
        <v>184</v>
      </c>
    </row>
    <row r="166">
      <c r="A166" s="60" t="s">
        <v>382</v>
      </c>
      <c r="B166" s="60" t="s">
        <v>383</v>
      </c>
      <c r="C166" s="4" t="s">
        <v>75</v>
      </c>
      <c r="D166" s="4" t="s">
        <v>48</v>
      </c>
      <c r="E166" s="63">
        <v>598.0</v>
      </c>
      <c r="G166" s="5">
        <f t="shared" si="5"/>
        <v>598</v>
      </c>
    </row>
    <row r="167">
      <c r="A167" s="60" t="s">
        <v>1423</v>
      </c>
      <c r="B167" s="60" t="s">
        <v>1424</v>
      </c>
      <c r="C167" s="4" t="s">
        <v>75</v>
      </c>
      <c r="D167" s="4" t="s">
        <v>48</v>
      </c>
      <c r="E167" s="63">
        <v>75.0</v>
      </c>
      <c r="G167" s="5">
        <f t="shared" si="5"/>
        <v>75</v>
      </c>
    </row>
    <row r="168">
      <c r="A168" s="60" t="s">
        <v>384</v>
      </c>
      <c r="B168" s="60" t="s">
        <v>385</v>
      </c>
      <c r="C168" s="4" t="s">
        <v>75</v>
      </c>
      <c r="D168" s="4" t="s">
        <v>48</v>
      </c>
      <c r="E168" s="63">
        <v>2469.68</v>
      </c>
      <c r="G168" s="5">
        <f t="shared" si="5"/>
        <v>2469.68</v>
      </c>
    </row>
    <row r="169">
      <c r="A169" s="60" t="s">
        <v>1619</v>
      </c>
      <c r="B169" s="60" t="s">
        <v>1620</v>
      </c>
      <c r="C169" s="4" t="s">
        <v>75</v>
      </c>
      <c r="D169" s="4" t="s">
        <v>48</v>
      </c>
      <c r="E169" s="63">
        <v>334.0</v>
      </c>
      <c r="G169" s="5">
        <f t="shared" si="5"/>
        <v>334</v>
      </c>
    </row>
    <row r="170">
      <c r="A170" s="60" t="s">
        <v>386</v>
      </c>
      <c r="B170" s="60" t="s">
        <v>387</v>
      </c>
      <c r="C170" s="4" t="s">
        <v>75</v>
      </c>
      <c r="D170" s="4" t="s">
        <v>48</v>
      </c>
      <c r="E170" s="63">
        <v>333.96</v>
      </c>
      <c r="G170" s="5">
        <f t="shared" si="5"/>
        <v>333.96</v>
      </c>
    </row>
    <row r="171">
      <c r="A171" s="60" t="s">
        <v>388</v>
      </c>
      <c r="B171" s="60" t="s">
        <v>389</v>
      </c>
      <c r="C171" s="4" t="s">
        <v>75</v>
      </c>
      <c r="D171" s="4" t="s">
        <v>48</v>
      </c>
      <c r="E171" s="63">
        <v>513.9</v>
      </c>
      <c r="G171" s="5">
        <f t="shared" si="5"/>
        <v>513.9</v>
      </c>
    </row>
    <row r="172">
      <c r="A172" s="60" t="s">
        <v>1449</v>
      </c>
      <c r="B172" s="60" t="s">
        <v>1450</v>
      </c>
      <c r="C172" s="4" t="s">
        <v>75</v>
      </c>
      <c r="D172" s="4" t="s">
        <v>48</v>
      </c>
      <c r="E172" s="63">
        <v>460.0</v>
      </c>
      <c r="G172" s="5">
        <f t="shared" si="5"/>
        <v>460</v>
      </c>
    </row>
    <row r="173">
      <c r="A173" s="60" t="s">
        <v>746</v>
      </c>
      <c r="B173" s="60" t="s">
        <v>747</v>
      </c>
      <c r="C173" s="4" t="s">
        <v>75</v>
      </c>
      <c r="D173" s="4" t="s">
        <v>48</v>
      </c>
      <c r="E173" s="63">
        <v>3459.74</v>
      </c>
      <c r="G173" s="5">
        <f t="shared" si="5"/>
        <v>3459.74</v>
      </c>
    </row>
    <row r="174">
      <c r="A174" s="60" t="s">
        <v>392</v>
      </c>
      <c r="B174" s="60" t="s">
        <v>393</v>
      </c>
      <c r="C174" s="4" t="s">
        <v>75</v>
      </c>
      <c r="D174" s="4" t="s">
        <v>48</v>
      </c>
      <c r="E174" s="63">
        <v>713.0</v>
      </c>
      <c r="G174" s="5">
        <f t="shared" si="5"/>
        <v>713</v>
      </c>
    </row>
    <row r="175">
      <c r="A175" s="60" t="s">
        <v>748</v>
      </c>
      <c r="B175" s="60" t="s">
        <v>749</v>
      </c>
      <c r="C175" s="4" t="s">
        <v>75</v>
      </c>
      <c r="D175" s="4" t="s">
        <v>48</v>
      </c>
      <c r="E175" s="63">
        <v>277.0</v>
      </c>
      <c r="G175" s="5">
        <f t="shared" si="5"/>
        <v>277</v>
      </c>
    </row>
    <row r="176">
      <c r="A176" s="60" t="s">
        <v>398</v>
      </c>
      <c r="B176" s="60" t="s">
        <v>399</v>
      </c>
      <c r="C176" s="4" t="s">
        <v>75</v>
      </c>
      <c r="D176" s="4" t="s">
        <v>48</v>
      </c>
      <c r="E176" s="63">
        <v>1736.0</v>
      </c>
      <c r="G176" s="5">
        <f t="shared" si="5"/>
        <v>1736</v>
      </c>
    </row>
    <row r="177">
      <c r="A177" s="60" t="s">
        <v>400</v>
      </c>
      <c r="B177" s="60" t="s">
        <v>1621</v>
      </c>
      <c r="C177" s="4" t="s">
        <v>75</v>
      </c>
      <c r="D177" s="4" t="s">
        <v>48</v>
      </c>
      <c r="E177" s="63">
        <v>320.0</v>
      </c>
      <c r="G177" s="5">
        <f t="shared" si="5"/>
        <v>320</v>
      </c>
    </row>
    <row r="178">
      <c r="A178" s="60" t="s">
        <v>402</v>
      </c>
      <c r="B178" s="60" t="s">
        <v>403</v>
      </c>
      <c r="C178" s="4" t="s">
        <v>75</v>
      </c>
      <c r="D178" s="4" t="s">
        <v>48</v>
      </c>
      <c r="E178" s="63">
        <v>235.01</v>
      </c>
      <c r="G178" s="5">
        <f t="shared" si="5"/>
        <v>235.01</v>
      </c>
    </row>
    <row r="179">
      <c r="A179" s="60" t="s">
        <v>404</v>
      </c>
      <c r="B179" s="60" t="s">
        <v>405</v>
      </c>
      <c r="C179" s="4" t="s">
        <v>75</v>
      </c>
      <c r="D179" s="4" t="s">
        <v>48</v>
      </c>
      <c r="E179" s="63">
        <v>377.99</v>
      </c>
      <c r="G179" s="5">
        <f t="shared" si="5"/>
        <v>377.99</v>
      </c>
    </row>
    <row r="180">
      <c r="A180" s="60" t="s">
        <v>406</v>
      </c>
      <c r="B180" s="60" t="s">
        <v>407</v>
      </c>
      <c r="C180" s="4" t="s">
        <v>75</v>
      </c>
      <c r="D180" s="4" t="s">
        <v>48</v>
      </c>
      <c r="E180" s="63">
        <v>434.15</v>
      </c>
      <c r="G180" s="5">
        <f t="shared" si="5"/>
        <v>434.15</v>
      </c>
    </row>
    <row r="181">
      <c r="A181" s="60" t="s">
        <v>408</v>
      </c>
      <c r="B181" s="60" t="s">
        <v>409</v>
      </c>
      <c r="C181" s="4" t="s">
        <v>75</v>
      </c>
      <c r="D181" s="4" t="s">
        <v>48</v>
      </c>
      <c r="E181" s="63">
        <v>444.0</v>
      </c>
      <c r="G181" s="5">
        <f t="shared" si="5"/>
        <v>444</v>
      </c>
    </row>
    <row r="182">
      <c r="A182" s="60" t="s">
        <v>410</v>
      </c>
      <c r="B182" s="60" t="s">
        <v>1622</v>
      </c>
      <c r="C182" s="4" t="s">
        <v>75</v>
      </c>
      <c r="D182" s="4" t="s">
        <v>48</v>
      </c>
      <c r="E182" s="63">
        <v>276.0</v>
      </c>
      <c r="G182" s="5">
        <f t="shared" si="5"/>
        <v>276</v>
      </c>
    </row>
    <row r="183">
      <c r="A183" s="60" t="s">
        <v>412</v>
      </c>
      <c r="B183" s="60" t="s">
        <v>413</v>
      </c>
      <c r="C183" s="4" t="s">
        <v>75</v>
      </c>
      <c r="D183" s="4" t="s">
        <v>48</v>
      </c>
      <c r="E183" s="63">
        <v>955.63</v>
      </c>
      <c r="G183" s="5">
        <f t="shared" si="5"/>
        <v>955.63</v>
      </c>
    </row>
    <row r="184">
      <c r="A184" s="60" t="s">
        <v>414</v>
      </c>
      <c r="B184" s="60" t="s">
        <v>415</v>
      </c>
      <c r="C184" s="4" t="s">
        <v>75</v>
      </c>
      <c r="D184" s="4" t="s">
        <v>48</v>
      </c>
      <c r="E184" s="63">
        <v>275.0</v>
      </c>
      <c r="G184" s="5">
        <f t="shared" si="5"/>
        <v>275</v>
      </c>
    </row>
    <row r="185">
      <c r="A185" s="60" t="s">
        <v>416</v>
      </c>
      <c r="B185" s="60" t="s">
        <v>417</v>
      </c>
      <c r="C185" s="4" t="s">
        <v>75</v>
      </c>
      <c r="D185" s="4" t="s">
        <v>48</v>
      </c>
      <c r="E185" s="63">
        <v>352.0</v>
      </c>
      <c r="G185" s="5">
        <f t="shared" si="5"/>
        <v>352</v>
      </c>
    </row>
    <row r="186">
      <c r="A186" s="60" t="s">
        <v>698</v>
      </c>
      <c r="B186" s="60" t="s">
        <v>699</v>
      </c>
      <c r="C186" s="4" t="s">
        <v>84</v>
      </c>
      <c r="D186" s="4" t="s">
        <v>58</v>
      </c>
      <c r="E186" s="63">
        <v>222.0</v>
      </c>
      <c r="G186" s="5">
        <f t="shared" si="5"/>
        <v>222</v>
      </c>
    </row>
    <row r="187">
      <c r="A187" s="60" t="s">
        <v>704</v>
      </c>
      <c r="B187" s="60" t="s">
        <v>705</v>
      </c>
      <c r="C187" s="4" t="s">
        <v>84</v>
      </c>
      <c r="D187" s="4" t="s">
        <v>58</v>
      </c>
      <c r="E187" s="63">
        <v>630.0</v>
      </c>
      <c r="G187" s="5">
        <f t="shared" si="5"/>
        <v>630</v>
      </c>
    </row>
    <row r="188">
      <c r="A188" s="60" t="s">
        <v>1435</v>
      </c>
      <c r="B188" s="60" t="s">
        <v>1436</v>
      </c>
      <c r="C188" s="4" t="s">
        <v>84</v>
      </c>
      <c r="D188" s="4" t="s">
        <v>58</v>
      </c>
      <c r="E188" s="61">
        <v>1115.0</v>
      </c>
      <c r="G188" s="62">
        <f t="shared" si="5"/>
        <v>1115</v>
      </c>
    </row>
    <row r="189">
      <c r="A189" s="60" t="s">
        <v>1437</v>
      </c>
      <c r="B189" s="60" t="s">
        <v>1438</v>
      </c>
      <c r="C189" s="4" t="s">
        <v>84</v>
      </c>
      <c r="D189" s="4" t="s">
        <v>58</v>
      </c>
      <c r="E189" s="63">
        <v>626.0</v>
      </c>
      <c r="G189" s="5">
        <f t="shared" si="5"/>
        <v>626</v>
      </c>
    </row>
    <row r="190">
      <c r="A190" s="60" t="s">
        <v>1623</v>
      </c>
      <c r="B190" s="60" t="s">
        <v>1624</v>
      </c>
      <c r="C190" s="4" t="s">
        <v>84</v>
      </c>
      <c r="D190" s="4" t="s">
        <v>58</v>
      </c>
      <c r="E190" s="61">
        <v>1536.0</v>
      </c>
      <c r="G190" s="62">
        <f t="shared" si="5"/>
        <v>1536</v>
      </c>
    </row>
    <row r="191">
      <c r="A191" s="60" t="s">
        <v>1441</v>
      </c>
      <c r="B191" s="60" t="s">
        <v>1442</v>
      </c>
      <c r="C191" s="4" t="s">
        <v>84</v>
      </c>
      <c r="D191" s="4" t="s">
        <v>58</v>
      </c>
      <c r="E191" s="63">
        <v>309.0</v>
      </c>
      <c r="G191" s="5">
        <f t="shared" si="5"/>
        <v>309</v>
      </c>
    </row>
    <row r="192">
      <c r="A192" s="60" t="s">
        <v>708</v>
      </c>
      <c r="B192" s="60" t="s">
        <v>709</v>
      </c>
      <c r="C192" s="4" t="s">
        <v>84</v>
      </c>
      <c r="D192" s="4" t="s">
        <v>58</v>
      </c>
      <c r="E192" s="63">
        <v>822.0</v>
      </c>
      <c r="G192" s="5">
        <f t="shared" si="5"/>
        <v>822</v>
      </c>
    </row>
    <row r="193">
      <c r="A193" s="60" t="s">
        <v>720</v>
      </c>
      <c r="B193" s="60" t="s">
        <v>721</v>
      </c>
      <c r="C193" s="4" t="s">
        <v>85</v>
      </c>
      <c r="D193" s="4" t="s">
        <v>51</v>
      </c>
      <c r="E193" s="61">
        <v>1258.01</v>
      </c>
      <c r="G193" s="62">
        <f t="shared" si="5"/>
        <v>1258.01</v>
      </c>
    </row>
    <row r="194">
      <c r="A194" s="60" t="s">
        <v>722</v>
      </c>
      <c r="B194" s="60" t="s">
        <v>723</v>
      </c>
      <c r="C194" s="4" t="s">
        <v>85</v>
      </c>
      <c r="D194" s="4" t="s">
        <v>51</v>
      </c>
      <c r="E194" s="63">
        <v>664.38</v>
      </c>
      <c r="G194" s="5">
        <f t="shared" si="5"/>
        <v>664.38</v>
      </c>
    </row>
    <row r="195">
      <c r="A195" s="60" t="s">
        <v>724</v>
      </c>
      <c r="B195" s="60" t="s">
        <v>725</v>
      </c>
      <c r="C195" s="4" t="s">
        <v>85</v>
      </c>
      <c r="D195" s="4" t="s">
        <v>51</v>
      </c>
      <c r="E195" s="63">
        <v>183.98</v>
      </c>
      <c r="G195" s="5">
        <f t="shared" si="5"/>
        <v>183.98</v>
      </c>
    </row>
    <row r="196">
      <c r="A196" s="60" t="s">
        <v>726</v>
      </c>
      <c r="B196" s="60" t="s">
        <v>727</v>
      </c>
      <c r="C196" s="4" t="s">
        <v>85</v>
      </c>
      <c r="D196" s="4" t="s">
        <v>51</v>
      </c>
      <c r="E196" s="63">
        <v>210.98</v>
      </c>
      <c r="G196" s="5">
        <f t="shared" si="5"/>
        <v>210.98</v>
      </c>
    </row>
    <row r="197">
      <c r="A197" s="60" t="s">
        <v>728</v>
      </c>
      <c r="B197" s="60" t="s">
        <v>729</v>
      </c>
      <c r="C197" s="4" t="s">
        <v>85</v>
      </c>
      <c r="D197" s="4" t="s">
        <v>51</v>
      </c>
      <c r="E197" s="63">
        <v>183.02</v>
      </c>
      <c r="G197" s="5">
        <f t="shared" si="5"/>
        <v>183.02</v>
      </c>
    </row>
    <row r="198">
      <c r="A198" s="60" t="s">
        <v>730</v>
      </c>
      <c r="B198" s="60" t="s">
        <v>731</v>
      </c>
      <c r="C198" s="4" t="s">
        <v>85</v>
      </c>
      <c r="D198" s="4" t="s">
        <v>51</v>
      </c>
      <c r="E198" s="63">
        <v>101.98</v>
      </c>
      <c r="G198" s="5">
        <f t="shared" si="5"/>
        <v>101.98</v>
      </c>
    </row>
    <row r="199">
      <c r="A199" s="60" t="s">
        <v>732</v>
      </c>
      <c r="B199" s="60" t="s">
        <v>733</v>
      </c>
      <c r="C199" s="4" t="s">
        <v>85</v>
      </c>
      <c r="D199" s="4" t="s">
        <v>51</v>
      </c>
      <c r="E199" s="63">
        <v>201.0</v>
      </c>
      <c r="G199" s="5">
        <f t="shared" si="5"/>
        <v>201</v>
      </c>
    </row>
    <row r="200">
      <c r="A200" s="60" t="s">
        <v>734</v>
      </c>
      <c r="B200" s="60" t="s">
        <v>735</v>
      </c>
      <c r="C200" s="4" t="s">
        <v>85</v>
      </c>
      <c r="D200" s="4" t="s">
        <v>51</v>
      </c>
      <c r="E200" s="63">
        <v>264.95</v>
      </c>
      <c r="G200" s="5">
        <f t="shared" si="5"/>
        <v>264.95</v>
      </c>
    </row>
    <row r="201">
      <c r="A201" s="60" t="s">
        <v>736</v>
      </c>
      <c r="B201" s="60" t="s">
        <v>737</v>
      </c>
      <c r="C201" s="4" t="s">
        <v>85</v>
      </c>
      <c r="D201" s="4" t="s">
        <v>51</v>
      </c>
      <c r="E201" s="63">
        <v>735.35</v>
      </c>
      <c r="G201" s="5">
        <f t="shared" si="5"/>
        <v>735.35</v>
      </c>
    </row>
    <row r="202">
      <c r="A202" s="60" t="s">
        <v>738</v>
      </c>
      <c r="B202" s="60" t="s">
        <v>739</v>
      </c>
      <c r="C202" s="4" t="s">
        <v>85</v>
      </c>
      <c r="D202" s="4" t="s">
        <v>51</v>
      </c>
      <c r="E202" s="63">
        <v>91.98</v>
      </c>
      <c r="G202" s="5">
        <f t="shared" si="5"/>
        <v>91.98</v>
      </c>
    </row>
    <row r="203">
      <c r="A203" s="60" t="s">
        <v>740</v>
      </c>
      <c r="B203" s="60" t="s">
        <v>741</v>
      </c>
      <c r="C203" s="4" t="s">
        <v>85</v>
      </c>
      <c r="D203" s="4" t="s">
        <v>51</v>
      </c>
      <c r="E203" s="63">
        <v>817.02</v>
      </c>
      <c r="G203" s="5">
        <f t="shared" si="5"/>
        <v>817.02</v>
      </c>
    </row>
    <row r="204">
      <c r="A204" s="60" t="s">
        <v>742</v>
      </c>
      <c r="B204" s="60" t="s">
        <v>743</v>
      </c>
      <c r="C204" s="4" t="s">
        <v>85</v>
      </c>
      <c r="D204" s="4" t="s">
        <v>51</v>
      </c>
      <c r="E204" s="63">
        <v>469.0</v>
      </c>
      <c r="G204" s="5">
        <f t="shared" si="5"/>
        <v>469</v>
      </c>
    </row>
    <row r="205">
      <c r="A205" s="60" t="s">
        <v>744</v>
      </c>
      <c r="B205" s="60" t="s">
        <v>745</v>
      </c>
      <c r="C205" s="4" t="s">
        <v>85</v>
      </c>
      <c r="D205" s="4" t="s">
        <v>51</v>
      </c>
      <c r="E205" s="63">
        <v>800.01</v>
      </c>
      <c r="G205" s="5">
        <f t="shared" si="5"/>
        <v>800.01</v>
      </c>
    </row>
    <row r="206">
      <c r="A206" s="60" t="s">
        <v>750</v>
      </c>
      <c r="B206" s="60" t="s">
        <v>751</v>
      </c>
      <c r="C206" s="4" t="s">
        <v>85</v>
      </c>
      <c r="D206" s="4" t="s">
        <v>51</v>
      </c>
      <c r="E206" s="63">
        <v>159.97</v>
      </c>
      <c r="G206" s="5">
        <f t="shared" si="5"/>
        <v>159.97</v>
      </c>
    </row>
    <row r="207">
      <c r="A207" s="60" t="s">
        <v>752</v>
      </c>
      <c r="B207" s="60" t="s">
        <v>753</v>
      </c>
      <c r="C207" s="4" t="s">
        <v>85</v>
      </c>
      <c r="D207" s="4" t="s">
        <v>51</v>
      </c>
      <c r="E207" s="61">
        <v>2730.22</v>
      </c>
      <c r="G207" s="62">
        <f t="shared" si="5"/>
        <v>2730.22</v>
      </c>
    </row>
    <row r="208">
      <c r="A208" s="60" t="s">
        <v>754</v>
      </c>
      <c r="B208" s="60" t="s">
        <v>755</v>
      </c>
      <c r="C208" s="4" t="s">
        <v>85</v>
      </c>
      <c r="D208" s="4" t="s">
        <v>51</v>
      </c>
      <c r="E208" s="63">
        <v>700.05</v>
      </c>
      <c r="G208" s="5">
        <f t="shared" si="5"/>
        <v>700.05</v>
      </c>
    </row>
    <row r="209">
      <c r="A209" s="60" t="s">
        <v>756</v>
      </c>
      <c r="B209" s="60" t="s">
        <v>757</v>
      </c>
      <c r="C209" s="4" t="s">
        <v>85</v>
      </c>
      <c r="D209" s="4" t="s">
        <v>51</v>
      </c>
      <c r="E209" s="61">
        <v>4577.26</v>
      </c>
      <c r="G209" s="62">
        <f t="shared" si="5"/>
        <v>4577.26</v>
      </c>
    </row>
    <row r="210">
      <c r="A210" s="60" t="s">
        <v>758</v>
      </c>
      <c r="B210" s="60" t="s">
        <v>759</v>
      </c>
      <c r="C210" s="4" t="s">
        <v>85</v>
      </c>
      <c r="D210" s="4" t="s">
        <v>51</v>
      </c>
      <c r="E210" s="63">
        <v>292.98</v>
      </c>
      <c r="G210" s="5">
        <f t="shared" si="5"/>
        <v>292.98</v>
      </c>
    </row>
    <row r="211">
      <c r="A211" s="60" t="s">
        <v>760</v>
      </c>
      <c r="B211" s="60" t="s">
        <v>761</v>
      </c>
      <c r="C211" s="4" t="s">
        <v>85</v>
      </c>
      <c r="D211" s="4" t="s">
        <v>51</v>
      </c>
      <c r="E211" s="63">
        <v>662.99</v>
      </c>
      <c r="G211" s="5">
        <f t="shared" si="5"/>
        <v>662.99</v>
      </c>
    </row>
    <row r="212">
      <c r="A212" s="60" t="s">
        <v>762</v>
      </c>
      <c r="B212" s="60" t="s">
        <v>763</v>
      </c>
      <c r="C212" s="4" t="s">
        <v>85</v>
      </c>
      <c r="D212" s="4" t="s">
        <v>51</v>
      </c>
      <c r="E212" s="63">
        <v>100.0</v>
      </c>
      <c r="G212" s="5">
        <f t="shared" si="5"/>
        <v>100</v>
      </c>
    </row>
    <row r="213">
      <c r="A213" s="60" t="s">
        <v>764</v>
      </c>
      <c r="B213" s="60" t="s">
        <v>765</v>
      </c>
      <c r="C213" s="4" t="s">
        <v>85</v>
      </c>
      <c r="D213" s="4" t="s">
        <v>51</v>
      </c>
      <c r="E213" s="63">
        <v>218.0</v>
      </c>
      <c r="G213" s="5">
        <f t="shared" si="5"/>
        <v>218</v>
      </c>
    </row>
    <row r="214">
      <c r="A214" s="60" t="s">
        <v>794</v>
      </c>
      <c r="B214" s="60" t="s">
        <v>795</v>
      </c>
      <c r="C214" s="4" t="s">
        <v>79</v>
      </c>
      <c r="D214" s="4" t="s">
        <v>49</v>
      </c>
      <c r="E214" s="63">
        <v>229389.89</v>
      </c>
      <c r="G214" s="5">
        <f t="shared" si="5"/>
        <v>229389.89</v>
      </c>
    </row>
    <row r="215">
      <c r="A215" s="60" t="s">
        <v>766</v>
      </c>
      <c r="B215" s="60" t="s">
        <v>767</v>
      </c>
      <c r="C215" s="4" t="s">
        <v>79</v>
      </c>
      <c r="D215" s="4" t="s">
        <v>49</v>
      </c>
      <c r="E215" s="63">
        <v>94282.0</v>
      </c>
      <c r="G215" s="5">
        <f t="shared" si="5"/>
        <v>94282</v>
      </c>
    </row>
    <row r="216">
      <c r="A216" s="60" t="s">
        <v>768</v>
      </c>
      <c r="B216" s="60" t="s">
        <v>769</v>
      </c>
      <c r="C216" s="4" t="s">
        <v>79</v>
      </c>
      <c r="D216" s="4" t="s">
        <v>49</v>
      </c>
      <c r="E216" s="63">
        <v>46409.3</v>
      </c>
      <c r="G216" s="5">
        <f t="shared" si="5"/>
        <v>46409.3</v>
      </c>
    </row>
    <row r="217">
      <c r="A217" s="60" t="s">
        <v>770</v>
      </c>
      <c r="B217" s="60" t="s">
        <v>771</v>
      </c>
      <c r="C217" s="4" t="s">
        <v>79</v>
      </c>
      <c r="D217" s="4" t="s">
        <v>49</v>
      </c>
      <c r="E217" s="63">
        <v>54510.0</v>
      </c>
      <c r="G217" s="5">
        <f t="shared" si="5"/>
        <v>54510</v>
      </c>
    </row>
    <row r="218">
      <c r="A218" s="60" t="s">
        <v>772</v>
      </c>
      <c r="B218" s="60" t="s">
        <v>773</v>
      </c>
      <c r="C218" s="4" t="s">
        <v>79</v>
      </c>
      <c r="D218" s="4" t="s">
        <v>49</v>
      </c>
      <c r="E218" s="63">
        <v>79536.07</v>
      </c>
      <c r="G218" s="5">
        <f t="shared" si="5"/>
        <v>79536.07</v>
      </c>
    </row>
    <row r="219">
      <c r="A219" s="60" t="s">
        <v>774</v>
      </c>
      <c r="B219" s="60" t="s">
        <v>775</v>
      </c>
      <c r="C219" s="4" t="s">
        <v>79</v>
      </c>
      <c r="D219" s="4" t="s">
        <v>49</v>
      </c>
      <c r="E219" s="63">
        <v>195280.75</v>
      </c>
      <c r="G219" s="5">
        <f t="shared" si="5"/>
        <v>195280.75</v>
      </c>
    </row>
    <row r="220">
      <c r="A220" s="60" t="s">
        <v>776</v>
      </c>
      <c r="B220" s="60" t="s">
        <v>777</v>
      </c>
      <c r="C220" s="4" t="s">
        <v>79</v>
      </c>
      <c r="D220" s="4" t="s">
        <v>49</v>
      </c>
      <c r="E220" s="63">
        <v>80500.0</v>
      </c>
      <c r="G220" s="5">
        <f t="shared" si="5"/>
        <v>80500</v>
      </c>
    </row>
    <row r="221">
      <c r="A221" s="60" t="s">
        <v>778</v>
      </c>
      <c r="B221" s="60" t="s">
        <v>779</v>
      </c>
      <c r="C221" s="4" t="s">
        <v>79</v>
      </c>
      <c r="D221" s="4" t="s">
        <v>49</v>
      </c>
      <c r="E221" s="63">
        <v>77797.41</v>
      </c>
      <c r="G221" s="5">
        <f t="shared" si="5"/>
        <v>77797.41</v>
      </c>
    </row>
    <row r="222">
      <c r="A222" s="60" t="s">
        <v>780</v>
      </c>
      <c r="B222" s="60" t="s">
        <v>781</v>
      </c>
      <c r="C222" s="4" t="s">
        <v>79</v>
      </c>
      <c r="D222" s="4" t="s">
        <v>49</v>
      </c>
      <c r="E222" s="63">
        <v>195.5</v>
      </c>
      <c r="G222" s="5">
        <f t="shared" si="5"/>
        <v>195.5</v>
      </c>
    </row>
    <row r="223">
      <c r="A223" s="60" t="s">
        <v>782</v>
      </c>
      <c r="B223" s="60" t="s">
        <v>783</v>
      </c>
      <c r="C223" s="4" t="s">
        <v>79</v>
      </c>
      <c r="D223" s="4" t="s">
        <v>49</v>
      </c>
      <c r="E223" s="63">
        <v>97.75</v>
      </c>
      <c r="G223" s="5">
        <f t="shared" si="5"/>
        <v>97.75</v>
      </c>
    </row>
    <row r="224">
      <c r="A224" s="60" t="s">
        <v>784</v>
      </c>
      <c r="B224" s="60" t="s">
        <v>785</v>
      </c>
      <c r="C224" s="4" t="s">
        <v>79</v>
      </c>
      <c r="D224" s="4" t="s">
        <v>49</v>
      </c>
      <c r="E224" s="63">
        <v>7458.37</v>
      </c>
      <c r="G224" s="5">
        <f t="shared" si="5"/>
        <v>7458.37</v>
      </c>
    </row>
    <row r="225">
      <c r="A225" s="60" t="s">
        <v>786</v>
      </c>
      <c r="B225" s="60" t="s">
        <v>787</v>
      </c>
      <c r="C225" s="4" t="s">
        <v>79</v>
      </c>
      <c r="D225" s="4" t="s">
        <v>49</v>
      </c>
      <c r="E225" s="63">
        <v>920.0</v>
      </c>
      <c r="G225" s="5">
        <f t="shared" si="5"/>
        <v>920</v>
      </c>
    </row>
    <row r="226">
      <c r="A226" s="60" t="s">
        <v>788</v>
      </c>
      <c r="B226" s="60" t="s">
        <v>789</v>
      </c>
      <c r="C226" s="4" t="s">
        <v>79</v>
      </c>
      <c r="D226" s="4" t="s">
        <v>49</v>
      </c>
      <c r="E226" s="63">
        <v>84496.25</v>
      </c>
      <c r="G226" s="5">
        <f t="shared" si="5"/>
        <v>84496.25</v>
      </c>
    </row>
    <row r="227">
      <c r="A227" s="60" t="s">
        <v>790</v>
      </c>
      <c r="B227" s="60" t="s">
        <v>791</v>
      </c>
      <c r="C227" s="4" t="s">
        <v>79</v>
      </c>
      <c r="D227" s="4" t="s">
        <v>49</v>
      </c>
      <c r="E227" s="63">
        <v>69300.0</v>
      </c>
      <c r="G227" s="5">
        <f t="shared" si="5"/>
        <v>69300</v>
      </c>
    </row>
    <row r="228">
      <c r="A228" s="60" t="s">
        <v>792</v>
      </c>
      <c r="B228" s="60" t="s">
        <v>793</v>
      </c>
      <c r="C228" s="4" t="s">
        <v>79</v>
      </c>
      <c r="D228" s="4" t="s">
        <v>49</v>
      </c>
      <c r="E228" s="63">
        <v>48300.0</v>
      </c>
      <c r="G228" s="5">
        <f t="shared" si="5"/>
        <v>48300</v>
      </c>
    </row>
    <row r="229">
      <c r="A229" s="60" t="s">
        <v>796</v>
      </c>
      <c r="B229" s="60" t="s">
        <v>797</v>
      </c>
      <c r="C229" s="4" t="s">
        <v>77</v>
      </c>
      <c r="D229" s="4" t="s">
        <v>47</v>
      </c>
      <c r="E229" s="61">
        <v>5193.33</v>
      </c>
      <c r="G229" s="62">
        <f t="shared" si="5"/>
        <v>5193.33</v>
      </c>
    </row>
    <row r="230">
      <c r="A230" s="60" t="s">
        <v>798</v>
      </c>
      <c r="B230" s="60" t="s">
        <v>799</v>
      </c>
      <c r="C230" s="4" t="s">
        <v>77</v>
      </c>
      <c r="D230" s="4" t="s">
        <v>47</v>
      </c>
      <c r="E230" s="61">
        <v>35205.94</v>
      </c>
      <c r="G230" s="62">
        <f t="shared" si="5"/>
        <v>35205.94</v>
      </c>
    </row>
    <row r="231">
      <c r="A231" s="60" t="s">
        <v>800</v>
      </c>
      <c r="B231" s="60" t="s">
        <v>801</v>
      </c>
      <c r="C231" s="4" t="s">
        <v>77</v>
      </c>
      <c r="D231" s="4" t="s">
        <v>47</v>
      </c>
      <c r="E231" s="61">
        <v>4740.81</v>
      </c>
      <c r="G231" s="62">
        <f t="shared" si="5"/>
        <v>4740.81</v>
      </c>
    </row>
    <row r="232">
      <c r="A232" s="60" t="s">
        <v>802</v>
      </c>
      <c r="B232" s="60" t="s">
        <v>803</v>
      </c>
      <c r="C232" s="4" t="s">
        <v>77</v>
      </c>
      <c r="D232" s="4" t="s">
        <v>47</v>
      </c>
      <c r="E232" s="61">
        <v>5403.0</v>
      </c>
      <c r="G232" s="62">
        <f t="shared" si="5"/>
        <v>5403</v>
      </c>
    </row>
    <row r="233">
      <c r="A233" s="60" t="s">
        <v>804</v>
      </c>
      <c r="B233" s="60" t="s">
        <v>805</v>
      </c>
      <c r="C233" s="4" t="s">
        <v>77</v>
      </c>
      <c r="D233" s="4" t="s">
        <v>47</v>
      </c>
      <c r="E233" s="61">
        <v>5529.32</v>
      </c>
      <c r="G233" s="62">
        <f t="shared" si="5"/>
        <v>5529.32</v>
      </c>
    </row>
    <row r="234">
      <c r="A234" s="60" t="s">
        <v>806</v>
      </c>
      <c r="B234" s="60" t="s">
        <v>807</v>
      </c>
      <c r="C234" s="4" t="s">
        <v>77</v>
      </c>
      <c r="D234" s="4" t="s">
        <v>47</v>
      </c>
      <c r="E234" s="61">
        <v>6947.0</v>
      </c>
      <c r="G234" s="62">
        <f t="shared" si="5"/>
        <v>6947</v>
      </c>
    </row>
    <row r="235">
      <c r="A235" s="60" t="s">
        <v>808</v>
      </c>
      <c r="B235" s="60" t="s">
        <v>809</v>
      </c>
      <c r="C235" s="4" t="s">
        <v>77</v>
      </c>
      <c r="D235" s="4" t="s">
        <v>47</v>
      </c>
      <c r="E235" s="61">
        <v>8645.99</v>
      </c>
      <c r="G235" s="62">
        <f t="shared" si="5"/>
        <v>8645.99</v>
      </c>
    </row>
    <row r="236">
      <c r="A236" s="60" t="s">
        <v>1625</v>
      </c>
      <c r="B236" s="60" t="s">
        <v>1626</v>
      </c>
      <c r="C236" s="4" t="s">
        <v>77</v>
      </c>
      <c r="D236" s="4" t="s">
        <v>47</v>
      </c>
      <c r="E236" s="63">
        <v>2.03</v>
      </c>
      <c r="G236" s="5">
        <f t="shared" si="5"/>
        <v>2.03</v>
      </c>
    </row>
    <row r="237">
      <c r="A237" s="60" t="s">
        <v>810</v>
      </c>
      <c r="B237" s="60" t="s">
        <v>811</v>
      </c>
      <c r="C237" s="4" t="s">
        <v>77</v>
      </c>
      <c r="D237" s="4" t="s">
        <v>47</v>
      </c>
      <c r="E237" s="61">
        <v>8238.9</v>
      </c>
      <c r="G237" s="62">
        <f t="shared" si="5"/>
        <v>8238.9</v>
      </c>
    </row>
    <row r="238">
      <c r="A238" s="60" t="s">
        <v>812</v>
      </c>
      <c r="B238" s="60" t="s">
        <v>813</v>
      </c>
      <c r="C238" s="4" t="s">
        <v>77</v>
      </c>
      <c r="D238" s="4" t="s">
        <v>47</v>
      </c>
      <c r="E238" s="61">
        <v>8103.01</v>
      </c>
      <c r="G238" s="62">
        <f t="shared" si="5"/>
        <v>8103.01</v>
      </c>
    </row>
    <row r="239">
      <c r="A239" s="60" t="s">
        <v>814</v>
      </c>
      <c r="B239" s="60" t="s">
        <v>815</v>
      </c>
      <c r="C239" s="4" t="s">
        <v>77</v>
      </c>
      <c r="D239" s="4" t="s">
        <v>47</v>
      </c>
      <c r="E239" s="61">
        <v>3376.0</v>
      </c>
      <c r="G239" s="62">
        <f t="shared" si="5"/>
        <v>3376</v>
      </c>
    </row>
    <row r="240">
      <c r="A240" s="60" t="s">
        <v>818</v>
      </c>
      <c r="B240" s="60" t="s">
        <v>819</v>
      </c>
      <c r="C240" s="4" t="s">
        <v>77</v>
      </c>
      <c r="D240" s="4" t="s">
        <v>47</v>
      </c>
      <c r="E240" s="61">
        <v>140213.14</v>
      </c>
      <c r="G240" s="62">
        <f t="shared" si="5"/>
        <v>140213.14</v>
      </c>
    </row>
    <row r="241">
      <c r="A241" s="60" t="s">
        <v>1627</v>
      </c>
      <c r="B241" s="60" t="s">
        <v>1628</v>
      </c>
      <c r="C241" s="4" t="s">
        <v>77</v>
      </c>
      <c r="D241" s="4" t="s">
        <v>47</v>
      </c>
      <c r="E241" s="61">
        <v>4557.0</v>
      </c>
      <c r="G241" s="62">
        <f t="shared" si="5"/>
        <v>4557</v>
      </c>
    </row>
    <row r="242">
      <c r="A242" s="60" t="s">
        <v>820</v>
      </c>
      <c r="B242" s="60" t="s">
        <v>821</v>
      </c>
      <c r="C242" s="4" t="s">
        <v>77</v>
      </c>
      <c r="D242" s="4" t="s">
        <v>47</v>
      </c>
      <c r="E242" s="61">
        <v>3146.0</v>
      </c>
      <c r="G242" s="62">
        <f t="shared" si="5"/>
        <v>3146</v>
      </c>
    </row>
    <row r="243">
      <c r="A243" s="60" t="s">
        <v>822</v>
      </c>
      <c r="B243" s="60" t="s">
        <v>823</v>
      </c>
      <c r="C243" s="4" t="s">
        <v>77</v>
      </c>
      <c r="D243" s="4" t="s">
        <v>47</v>
      </c>
      <c r="E243" s="63">
        <v>540.0</v>
      </c>
      <c r="G243" s="5">
        <f t="shared" si="5"/>
        <v>540</v>
      </c>
    </row>
    <row r="244">
      <c r="A244" s="60" t="s">
        <v>1629</v>
      </c>
      <c r="B244" s="60" t="s">
        <v>1630</v>
      </c>
      <c r="C244" s="4" t="s">
        <v>77</v>
      </c>
      <c r="D244" s="4" t="s">
        <v>47</v>
      </c>
      <c r="E244" s="61">
        <v>1000.0</v>
      </c>
      <c r="G244" s="62">
        <f t="shared" si="5"/>
        <v>1000</v>
      </c>
    </row>
    <row r="245">
      <c r="A245" s="60" t="s">
        <v>824</v>
      </c>
      <c r="B245" s="60" t="s">
        <v>825</v>
      </c>
      <c r="C245" s="4" t="s">
        <v>77</v>
      </c>
      <c r="D245" s="4" t="s">
        <v>47</v>
      </c>
      <c r="E245" s="63">
        <v>117.04</v>
      </c>
      <c r="G245" s="5">
        <f t="shared" si="5"/>
        <v>117.04</v>
      </c>
    </row>
    <row r="246">
      <c r="A246" s="60" t="s">
        <v>826</v>
      </c>
      <c r="B246" s="60" t="s">
        <v>827</v>
      </c>
      <c r="C246" s="4" t="s">
        <v>77</v>
      </c>
      <c r="D246" s="4" t="s">
        <v>47</v>
      </c>
      <c r="E246" s="61">
        <v>16000.0</v>
      </c>
      <c r="G246" s="62">
        <f t="shared" si="5"/>
        <v>16000</v>
      </c>
    </row>
    <row r="247">
      <c r="A247" s="60" t="s">
        <v>828</v>
      </c>
      <c r="B247" s="60" t="s">
        <v>829</v>
      </c>
      <c r="C247" s="4" t="s">
        <v>77</v>
      </c>
      <c r="D247" s="4" t="s">
        <v>47</v>
      </c>
      <c r="E247" s="61">
        <v>4834.79</v>
      </c>
      <c r="G247" s="62">
        <f t="shared" si="5"/>
        <v>4834.79</v>
      </c>
    </row>
    <row r="248">
      <c r="A248" s="60" t="s">
        <v>830</v>
      </c>
      <c r="B248" s="60" t="s">
        <v>831</v>
      </c>
      <c r="C248" s="4" t="s">
        <v>77</v>
      </c>
      <c r="D248" s="4" t="s">
        <v>47</v>
      </c>
      <c r="E248" s="61">
        <v>2701.0</v>
      </c>
      <c r="G248" s="62">
        <f t="shared" si="5"/>
        <v>2701</v>
      </c>
    </row>
    <row r="249">
      <c r="A249" s="60" t="s">
        <v>832</v>
      </c>
      <c r="B249" s="60" t="s">
        <v>833</v>
      </c>
      <c r="C249" s="4" t="s">
        <v>77</v>
      </c>
      <c r="D249" s="4" t="s">
        <v>47</v>
      </c>
      <c r="E249" s="61">
        <v>4121.9</v>
      </c>
      <c r="G249" s="62">
        <f t="shared" si="5"/>
        <v>4121.9</v>
      </c>
    </row>
    <row r="250">
      <c r="A250" s="60" t="s">
        <v>834</v>
      </c>
      <c r="B250" s="60" t="s">
        <v>835</v>
      </c>
      <c r="C250" s="4" t="s">
        <v>77</v>
      </c>
      <c r="D250" s="4" t="s">
        <v>47</v>
      </c>
      <c r="E250" s="61">
        <v>4576.0</v>
      </c>
      <c r="G250" s="62">
        <f t="shared" si="5"/>
        <v>4576</v>
      </c>
    </row>
    <row r="251">
      <c r="A251" s="60" t="s">
        <v>836</v>
      </c>
      <c r="B251" s="60" t="s">
        <v>837</v>
      </c>
      <c r="C251" s="4" t="s">
        <v>77</v>
      </c>
      <c r="D251" s="4" t="s">
        <v>47</v>
      </c>
      <c r="E251" s="61">
        <v>7566.0</v>
      </c>
      <c r="G251" s="62">
        <f t="shared" si="5"/>
        <v>7566</v>
      </c>
    </row>
    <row r="252">
      <c r="A252" s="60" t="s">
        <v>838</v>
      </c>
      <c r="B252" s="60" t="s">
        <v>839</v>
      </c>
      <c r="C252" s="4" t="s">
        <v>77</v>
      </c>
      <c r="D252" s="4" t="s">
        <v>47</v>
      </c>
      <c r="E252" s="63">
        <v>456.27</v>
      </c>
      <c r="G252" s="5">
        <f t="shared" si="5"/>
        <v>456.27</v>
      </c>
    </row>
    <row r="253">
      <c r="A253" s="60" t="s">
        <v>840</v>
      </c>
      <c r="B253" s="60" t="s">
        <v>841</v>
      </c>
      <c r="C253" s="4" t="s">
        <v>77</v>
      </c>
      <c r="D253" s="4" t="s">
        <v>47</v>
      </c>
      <c r="E253" s="61">
        <v>4288.0</v>
      </c>
      <c r="G253" s="62">
        <f t="shared" si="5"/>
        <v>4288</v>
      </c>
    </row>
    <row r="254">
      <c r="A254" s="60" t="s">
        <v>842</v>
      </c>
      <c r="B254" s="60" t="s">
        <v>843</v>
      </c>
      <c r="C254" s="4" t="s">
        <v>77</v>
      </c>
      <c r="D254" s="4" t="s">
        <v>47</v>
      </c>
      <c r="E254" s="61">
        <v>1092.0</v>
      </c>
      <c r="G254" s="62">
        <f t="shared" si="5"/>
        <v>1092</v>
      </c>
    </row>
    <row r="255">
      <c r="A255" s="60" t="s">
        <v>844</v>
      </c>
      <c r="B255" s="60" t="s">
        <v>845</v>
      </c>
      <c r="C255" s="4" t="s">
        <v>77</v>
      </c>
      <c r="D255" s="4" t="s">
        <v>47</v>
      </c>
      <c r="E255" s="61">
        <v>51055.87</v>
      </c>
      <c r="G255" s="62">
        <f t="shared" si="5"/>
        <v>51055.87</v>
      </c>
    </row>
    <row r="256">
      <c r="A256" s="60" t="s">
        <v>1631</v>
      </c>
      <c r="B256" s="60" t="s">
        <v>1632</v>
      </c>
      <c r="C256" s="4" t="s">
        <v>77</v>
      </c>
      <c r="D256" s="4" t="s">
        <v>47</v>
      </c>
      <c r="E256" s="61">
        <v>3000.0</v>
      </c>
      <c r="G256" s="62">
        <f t="shared" si="5"/>
        <v>3000</v>
      </c>
    </row>
    <row r="257">
      <c r="A257" s="60" t="s">
        <v>846</v>
      </c>
      <c r="B257" s="60" t="s">
        <v>847</v>
      </c>
      <c r="C257" s="4" t="s">
        <v>77</v>
      </c>
      <c r="D257" s="4" t="s">
        <v>47</v>
      </c>
      <c r="E257" s="61">
        <v>2701.0</v>
      </c>
      <c r="G257" s="62">
        <f t="shared" si="5"/>
        <v>2701</v>
      </c>
    </row>
    <row r="258">
      <c r="A258" s="60" t="s">
        <v>848</v>
      </c>
      <c r="B258" s="60" t="s">
        <v>849</v>
      </c>
      <c r="C258" s="4" t="s">
        <v>75</v>
      </c>
      <c r="D258" s="4" t="s">
        <v>50</v>
      </c>
      <c r="E258" s="63">
        <v>766.02</v>
      </c>
      <c r="G258" s="5">
        <f t="shared" si="5"/>
        <v>766.02</v>
      </c>
    </row>
    <row r="259">
      <c r="A259" s="60" t="s">
        <v>850</v>
      </c>
      <c r="B259" s="60" t="s">
        <v>851</v>
      </c>
      <c r="C259" s="4" t="s">
        <v>75</v>
      </c>
      <c r="D259" s="4" t="s">
        <v>50</v>
      </c>
      <c r="E259" s="63">
        <v>116.02</v>
      </c>
      <c r="G259" s="5">
        <f t="shared" si="5"/>
        <v>116.02</v>
      </c>
    </row>
    <row r="260">
      <c r="A260" s="60" t="s">
        <v>852</v>
      </c>
      <c r="B260" s="60" t="s">
        <v>853</v>
      </c>
      <c r="C260" s="4" t="s">
        <v>75</v>
      </c>
      <c r="D260" s="4" t="s">
        <v>50</v>
      </c>
      <c r="E260" s="63">
        <v>511.03</v>
      </c>
      <c r="G260" s="5">
        <f t="shared" si="5"/>
        <v>511.03</v>
      </c>
    </row>
    <row r="261">
      <c r="A261" s="60" t="s">
        <v>854</v>
      </c>
      <c r="B261" s="60" t="s">
        <v>855</v>
      </c>
      <c r="C261" s="4" t="s">
        <v>75</v>
      </c>
      <c r="D261" s="4" t="s">
        <v>50</v>
      </c>
      <c r="E261" s="63">
        <v>500.0</v>
      </c>
      <c r="G261" s="5">
        <f t="shared" si="5"/>
        <v>500</v>
      </c>
    </row>
    <row r="262">
      <c r="A262" s="60" t="s">
        <v>856</v>
      </c>
      <c r="B262" s="60" t="s">
        <v>857</v>
      </c>
      <c r="C262" s="4" t="s">
        <v>75</v>
      </c>
      <c r="D262" s="4" t="s">
        <v>50</v>
      </c>
      <c r="E262" s="63">
        <v>300.02</v>
      </c>
      <c r="G262" s="5">
        <f t="shared" si="5"/>
        <v>300.02</v>
      </c>
    </row>
    <row r="263">
      <c r="A263" s="60" t="s">
        <v>858</v>
      </c>
      <c r="B263" s="60" t="s">
        <v>859</v>
      </c>
      <c r="C263" s="4" t="s">
        <v>75</v>
      </c>
      <c r="D263" s="4" t="s">
        <v>50</v>
      </c>
      <c r="E263" s="63">
        <v>203.97</v>
      </c>
      <c r="G263" s="5">
        <f t="shared" si="5"/>
        <v>203.97</v>
      </c>
    </row>
    <row r="264">
      <c r="A264" s="60" t="s">
        <v>860</v>
      </c>
      <c r="B264" s="60" t="s">
        <v>861</v>
      </c>
      <c r="C264" s="4" t="s">
        <v>75</v>
      </c>
      <c r="D264" s="4" t="s">
        <v>50</v>
      </c>
      <c r="E264" s="63">
        <v>197.84</v>
      </c>
      <c r="G264" s="5">
        <f t="shared" si="5"/>
        <v>197.84</v>
      </c>
    </row>
    <row r="265">
      <c r="A265" s="60" t="s">
        <v>862</v>
      </c>
      <c r="B265" s="60" t="s">
        <v>863</v>
      </c>
      <c r="C265" s="4" t="s">
        <v>75</v>
      </c>
      <c r="D265" s="4" t="s">
        <v>50</v>
      </c>
      <c r="E265" s="63">
        <v>150.0</v>
      </c>
      <c r="G265" s="5">
        <f t="shared" si="5"/>
        <v>150</v>
      </c>
    </row>
    <row r="266">
      <c r="A266" s="60" t="s">
        <v>864</v>
      </c>
      <c r="B266" s="60" t="s">
        <v>865</v>
      </c>
      <c r="C266" s="4" t="s">
        <v>75</v>
      </c>
      <c r="D266" s="4" t="s">
        <v>50</v>
      </c>
      <c r="E266" s="63">
        <v>199.91</v>
      </c>
      <c r="G266" s="5">
        <f t="shared" si="5"/>
        <v>199.91</v>
      </c>
    </row>
    <row r="267">
      <c r="A267" s="60" t="s">
        <v>866</v>
      </c>
      <c r="B267" s="60" t="s">
        <v>867</v>
      </c>
      <c r="C267" s="4" t="s">
        <v>75</v>
      </c>
      <c r="D267" s="4" t="s">
        <v>50</v>
      </c>
      <c r="E267" s="63">
        <v>199.91</v>
      </c>
      <c r="G267" s="5">
        <f t="shared" si="5"/>
        <v>199.91</v>
      </c>
    </row>
    <row r="268">
      <c r="A268" s="60" t="s">
        <v>868</v>
      </c>
      <c r="B268" s="60" t="s">
        <v>869</v>
      </c>
      <c r="C268" s="4" t="s">
        <v>75</v>
      </c>
      <c r="D268" s="4" t="s">
        <v>50</v>
      </c>
      <c r="E268" s="63">
        <v>482.3</v>
      </c>
      <c r="G268" s="5">
        <f t="shared" si="5"/>
        <v>482.3</v>
      </c>
    </row>
    <row r="269">
      <c r="A269" s="60" t="s">
        <v>870</v>
      </c>
      <c r="B269" s="60" t="s">
        <v>871</v>
      </c>
      <c r="C269" s="4" t="s">
        <v>75</v>
      </c>
      <c r="D269" s="4" t="s">
        <v>50</v>
      </c>
      <c r="E269" s="63">
        <v>482.3</v>
      </c>
      <c r="G269" s="5">
        <f t="shared" si="5"/>
        <v>482.3</v>
      </c>
    </row>
    <row r="270">
      <c r="A270" s="60" t="s">
        <v>872</v>
      </c>
      <c r="B270" s="60" t="s">
        <v>873</v>
      </c>
      <c r="C270" s="4" t="s">
        <v>75</v>
      </c>
      <c r="D270" s="4" t="s">
        <v>50</v>
      </c>
      <c r="E270" s="63">
        <v>562.02</v>
      </c>
      <c r="G270" s="5">
        <f t="shared" si="5"/>
        <v>562.02</v>
      </c>
    </row>
    <row r="271">
      <c r="A271" s="60" t="s">
        <v>874</v>
      </c>
      <c r="B271" s="60" t="s">
        <v>875</v>
      </c>
      <c r="C271" s="4" t="s">
        <v>75</v>
      </c>
      <c r="D271" s="4" t="s">
        <v>50</v>
      </c>
      <c r="E271" s="63">
        <v>242.98</v>
      </c>
      <c r="G271" s="5">
        <f t="shared" si="5"/>
        <v>242.98</v>
      </c>
    </row>
    <row r="272">
      <c r="A272" s="60" t="s">
        <v>876</v>
      </c>
      <c r="B272" s="60" t="s">
        <v>877</v>
      </c>
      <c r="C272" s="4" t="s">
        <v>75</v>
      </c>
      <c r="D272" s="4" t="s">
        <v>50</v>
      </c>
      <c r="E272" s="63">
        <v>600.0</v>
      </c>
      <c r="G272" s="5">
        <f t="shared" si="5"/>
        <v>600</v>
      </c>
    </row>
    <row r="273">
      <c r="A273" s="60" t="s">
        <v>878</v>
      </c>
      <c r="B273" s="60" t="s">
        <v>879</v>
      </c>
      <c r="C273" s="4" t="s">
        <v>75</v>
      </c>
      <c r="D273" s="4" t="s">
        <v>50</v>
      </c>
      <c r="E273" s="63">
        <v>482.3</v>
      </c>
      <c r="G273" s="5">
        <f t="shared" si="5"/>
        <v>482.3</v>
      </c>
    </row>
    <row r="274">
      <c r="A274" s="60" t="s">
        <v>880</v>
      </c>
      <c r="B274" s="60" t="s">
        <v>881</v>
      </c>
      <c r="C274" s="4" t="s">
        <v>75</v>
      </c>
      <c r="D274" s="4" t="s">
        <v>50</v>
      </c>
      <c r="E274" s="63">
        <v>546.04</v>
      </c>
      <c r="G274" s="5">
        <f t="shared" si="5"/>
        <v>546.04</v>
      </c>
    </row>
    <row r="275">
      <c r="A275" s="60" t="s">
        <v>882</v>
      </c>
      <c r="B275" s="60" t="s">
        <v>883</v>
      </c>
      <c r="C275" s="4" t="s">
        <v>75</v>
      </c>
      <c r="D275" s="4" t="s">
        <v>50</v>
      </c>
      <c r="E275" s="63">
        <v>276.0</v>
      </c>
      <c r="G275" s="5">
        <f t="shared" si="5"/>
        <v>276</v>
      </c>
    </row>
    <row r="276">
      <c r="A276" s="60" t="s">
        <v>884</v>
      </c>
      <c r="B276" s="60" t="s">
        <v>885</v>
      </c>
      <c r="C276" s="4" t="s">
        <v>75</v>
      </c>
      <c r="D276" s="4" t="s">
        <v>50</v>
      </c>
      <c r="E276" s="63">
        <v>192.86</v>
      </c>
      <c r="G276" s="5">
        <f t="shared" si="5"/>
        <v>192.86</v>
      </c>
    </row>
    <row r="277">
      <c r="A277" s="60" t="s">
        <v>886</v>
      </c>
      <c r="B277" s="60" t="s">
        <v>887</v>
      </c>
      <c r="C277" s="4" t="s">
        <v>75</v>
      </c>
      <c r="D277" s="4" t="s">
        <v>50</v>
      </c>
      <c r="E277" s="63">
        <v>300.0</v>
      </c>
      <c r="G277" s="5">
        <f t="shared" si="5"/>
        <v>300</v>
      </c>
    </row>
    <row r="278">
      <c r="A278" s="60" t="s">
        <v>888</v>
      </c>
      <c r="B278" s="60" t="s">
        <v>889</v>
      </c>
      <c r="C278" s="4" t="s">
        <v>75</v>
      </c>
      <c r="D278" s="4" t="s">
        <v>50</v>
      </c>
      <c r="E278" s="63">
        <v>1292.85</v>
      </c>
      <c r="G278" s="5">
        <f t="shared" si="5"/>
        <v>1292.85</v>
      </c>
    </row>
    <row r="279">
      <c r="A279" s="60" t="s">
        <v>890</v>
      </c>
      <c r="B279" s="60" t="s">
        <v>891</v>
      </c>
      <c r="C279" s="4" t="s">
        <v>75</v>
      </c>
      <c r="D279" s="4" t="s">
        <v>50</v>
      </c>
      <c r="E279" s="63">
        <v>1328.03</v>
      </c>
      <c r="G279" s="5">
        <f t="shared" si="5"/>
        <v>1328.03</v>
      </c>
    </row>
    <row r="280">
      <c r="A280" s="60" t="s">
        <v>892</v>
      </c>
      <c r="B280" s="60" t="s">
        <v>893</v>
      </c>
      <c r="C280" s="4" t="s">
        <v>75</v>
      </c>
      <c r="D280" s="4" t="s">
        <v>50</v>
      </c>
      <c r="E280" s="63">
        <v>1116.65</v>
      </c>
      <c r="G280" s="5">
        <f t="shared" si="5"/>
        <v>1116.65</v>
      </c>
    </row>
    <row r="281">
      <c r="A281" s="60" t="s">
        <v>894</v>
      </c>
      <c r="B281" s="60" t="s">
        <v>895</v>
      </c>
      <c r="C281" s="4" t="s">
        <v>75</v>
      </c>
      <c r="D281" s="4" t="s">
        <v>50</v>
      </c>
      <c r="E281" s="63">
        <v>273.7</v>
      </c>
      <c r="G281" s="5">
        <f t="shared" si="5"/>
        <v>273.7</v>
      </c>
    </row>
    <row r="282">
      <c r="A282" s="60" t="s">
        <v>896</v>
      </c>
      <c r="B282" s="60" t="s">
        <v>897</v>
      </c>
      <c r="C282" s="4" t="s">
        <v>75</v>
      </c>
      <c r="D282" s="4" t="s">
        <v>50</v>
      </c>
      <c r="E282" s="63">
        <v>636.93</v>
      </c>
      <c r="G282" s="5">
        <f t="shared" si="5"/>
        <v>636.93</v>
      </c>
    </row>
    <row r="283">
      <c r="A283" s="60" t="s">
        <v>898</v>
      </c>
      <c r="B283" s="60" t="s">
        <v>899</v>
      </c>
      <c r="C283" s="4" t="s">
        <v>75</v>
      </c>
      <c r="D283" s="4" t="s">
        <v>50</v>
      </c>
      <c r="E283" s="63">
        <v>1134.05</v>
      </c>
      <c r="G283" s="5">
        <f t="shared" si="5"/>
        <v>1134.05</v>
      </c>
    </row>
    <row r="284">
      <c r="A284" s="60" t="s">
        <v>900</v>
      </c>
      <c r="B284" s="60" t="s">
        <v>901</v>
      </c>
      <c r="C284" s="4" t="s">
        <v>75</v>
      </c>
      <c r="D284" s="4" t="s">
        <v>50</v>
      </c>
      <c r="E284" s="63">
        <v>100.0</v>
      </c>
      <c r="G284" s="5">
        <f t="shared" si="5"/>
        <v>100</v>
      </c>
    </row>
    <row r="285">
      <c r="A285" s="60" t="s">
        <v>902</v>
      </c>
      <c r="B285" s="60" t="s">
        <v>903</v>
      </c>
      <c r="C285" s="4" t="s">
        <v>75</v>
      </c>
      <c r="D285" s="4" t="s">
        <v>50</v>
      </c>
      <c r="E285" s="63">
        <v>68.98</v>
      </c>
      <c r="G285" s="5">
        <f t="shared" si="5"/>
        <v>68.98</v>
      </c>
    </row>
    <row r="286">
      <c r="A286" s="60" t="s">
        <v>904</v>
      </c>
      <c r="B286" s="60" t="s">
        <v>1633</v>
      </c>
      <c r="C286" s="4" t="s">
        <v>75</v>
      </c>
      <c r="D286" s="4" t="s">
        <v>50</v>
      </c>
      <c r="E286" s="63">
        <v>1557.51</v>
      </c>
      <c r="G286" s="5">
        <f t="shared" si="5"/>
        <v>1557.51</v>
      </c>
    </row>
    <row r="287">
      <c r="A287" s="60" t="s">
        <v>906</v>
      </c>
      <c r="B287" s="60" t="s">
        <v>907</v>
      </c>
      <c r="C287" s="4" t="s">
        <v>75</v>
      </c>
      <c r="D287" s="4" t="s">
        <v>50</v>
      </c>
      <c r="E287" s="63">
        <v>1232.02</v>
      </c>
      <c r="G287" s="5">
        <f t="shared" si="5"/>
        <v>1232.02</v>
      </c>
    </row>
    <row r="288">
      <c r="A288" s="60" t="s">
        <v>908</v>
      </c>
      <c r="B288" s="60" t="s">
        <v>909</v>
      </c>
      <c r="C288" s="4" t="s">
        <v>75</v>
      </c>
      <c r="D288" s="4" t="s">
        <v>50</v>
      </c>
      <c r="E288" s="63">
        <v>320.0</v>
      </c>
      <c r="G288" s="5">
        <f t="shared" si="5"/>
        <v>320</v>
      </c>
    </row>
    <row r="289">
      <c r="A289" s="60" t="s">
        <v>910</v>
      </c>
      <c r="B289" s="60" t="s">
        <v>911</v>
      </c>
      <c r="C289" s="4" t="s">
        <v>75</v>
      </c>
      <c r="D289" s="4" t="s">
        <v>50</v>
      </c>
      <c r="E289" s="63">
        <v>425.02</v>
      </c>
      <c r="G289" s="5">
        <f t="shared" si="5"/>
        <v>425.02</v>
      </c>
    </row>
    <row r="290">
      <c r="A290" s="60" t="s">
        <v>912</v>
      </c>
      <c r="B290" s="60" t="s">
        <v>913</v>
      </c>
      <c r="C290" s="4" t="s">
        <v>75</v>
      </c>
      <c r="D290" s="4" t="s">
        <v>50</v>
      </c>
      <c r="E290" s="63">
        <v>543.92</v>
      </c>
      <c r="G290" s="5">
        <f t="shared" si="5"/>
        <v>543.92</v>
      </c>
    </row>
    <row r="291">
      <c r="A291" s="60" t="s">
        <v>914</v>
      </c>
      <c r="B291" s="60" t="s">
        <v>915</v>
      </c>
      <c r="C291" s="4" t="s">
        <v>75</v>
      </c>
      <c r="D291" s="4" t="s">
        <v>50</v>
      </c>
      <c r="E291" s="63">
        <v>412.0</v>
      </c>
      <c r="G291" s="5">
        <f t="shared" si="5"/>
        <v>412</v>
      </c>
    </row>
    <row r="292">
      <c r="A292" s="60" t="s">
        <v>916</v>
      </c>
      <c r="B292" s="60" t="s">
        <v>917</v>
      </c>
      <c r="C292" s="4" t="s">
        <v>75</v>
      </c>
      <c r="D292" s="4" t="s">
        <v>50</v>
      </c>
      <c r="E292" s="63">
        <v>109.0</v>
      </c>
      <c r="G292" s="5">
        <f t="shared" si="5"/>
        <v>109</v>
      </c>
    </row>
    <row r="293">
      <c r="A293" s="60" t="s">
        <v>952</v>
      </c>
      <c r="B293" s="60" t="s">
        <v>953</v>
      </c>
      <c r="C293" s="4" t="s">
        <v>80</v>
      </c>
      <c r="D293" s="4" t="s">
        <v>46</v>
      </c>
      <c r="E293" s="63">
        <v>556.03</v>
      </c>
      <c r="G293" s="5">
        <f t="shared" si="5"/>
        <v>556.03</v>
      </c>
    </row>
    <row r="294">
      <c r="A294" s="60" t="s">
        <v>954</v>
      </c>
      <c r="B294" s="60" t="s">
        <v>1634</v>
      </c>
      <c r="C294" s="4" t="s">
        <v>80</v>
      </c>
      <c r="D294" s="4" t="s">
        <v>46</v>
      </c>
      <c r="E294" s="63">
        <v>919.98</v>
      </c>
      <c r="G294" s="5">
        <f t="shared" si="5"/>
        <v>919.98</v>
      </c>
    </row>
    <row r="295">
      <c r="A295" s="60" t="s">
        <v>956</v>
      </c>
      <c r="B295" s="60" t="s">
        <v>957</v>
      </c>
      <c r="C295" s="4" t="s">
        <v>80</v>
      </c>
      <c r="D295" s="4" t="s">
        <v>46</v>
      </c>
      <c r="E295" s="61">
        <v>1220.05</v>
      </c>
      <c r="G295" s="62">
        <f t="shared" si="5"/>
        <v>1220.05</v>
      </c>
    </row>
    <row r="296">
      <c r="A296" s="60" t="s">
        <v>958</v>
      </c>
      <c r="B296" s="60" t="s">
        <v>959</v>
      </c>
      <c r="C296" s="4" t="s">
        <v>80</v>
      </c>
      <c r="D296" s="4" t="s">
        <v>46</v>
      </c>
      <c r="E296" s="63">
        <v>494.0</v>
      </c>
      <c r="G296" s="5">
        <f t="shared" si="5"/>
        <v>494</v>
      </c>
    </row>
    <row r="297">
      <c r="A297" s="60" t="s">
        <v>1453</v>
      </c>
      <c r="B297" s="60" t="s">
        <v>1454</v>
      </c>
      <c r="C297" s="4" t="s">
        <v>80</v>
      </c>
      <c r="D297" s="4" t="s">
        <v>46</v>
      </c>
      <c r="E297" s="63">
        <v>831.98</v>
      </c>
      <c r="G297" s="5">
        <f t="shared" si="5"/>
        <v>831.98</v>
      </c>
    </row>
    <row r="298">
      <c r="A298" s="60" t="s">
        <v>998</v>
      </c>
      <c r="B298" s="60" t="s">
        <v>999</v>
      </c>
      <c r="C298" s="4" t="s">
        <v>80</v>
      </c>
      <c r="D298" s="4" t="s">
        <v>46</v>
      </c>
      <c r="E298" s="61">
        <v>4224.32</v>
      </c>
      <c r="G298" s="62">
        <f t="shared" si="5"/>
        <v>4224.32</v>
      </c>
    </row>
    <row r="299">
      <c r="A299" s="60" t="s">
        <v>960</v>
      </c>
      <c r="B299" s="60" t="s">
        <v>961</v>
      </c>
      <c r="C299" s="4" t="s">
        <v>80</v>
      </c>
      <c r="D299" s="4" t="s">
        <v>46</v>
      </c>
      <c r="E299" s="61">
        <v>12224.88</v>
      </c>
      <c r="G299" s="62">
        <f t="shared" si="5"/>
        <v>12224.88</v>
      </c>
    </row>
    <row r="300">
      <c r="A300" s="60" t="s">
        <v>962</v>
      </c>
      <c r="B300" s="60" t="s">
        <v>963</v>
      </c>
      <c r="C300" s="4" t="s">
        <v>80</v>
      </c>
      <c r="D300" s="4" t="s">
        <v>46</v>
      </c>
      <c r="E300" s="61">
        <v>11681.0</v>
      </c>
      <c r="G300" s="62">
        <f t="shared" si="5"/>
        <v>11681</v>
      </c>
    </row>
    <row r="301">
      <c r="A301" s="60" t="s">
        <v>964</v>
      </c>
      <c r="B301" s="60" t="s">
        <v>965</v>
      </c>
      <c r="C301" s="4" t="s">
        <v>80</v>
      </c>
      <c r="D301" s="4" t="s">
        <v>46</v>
      </c>
      <c r="E301" s="63">
        <v>141.97</v>
      </c>
      <c r="G301" s="5">
        <f t="shared" si="5"/>
        <v>141.97</v>
      </c>
    </row>
    <row r="302">
      <c r="A302" s="60" t="s">
        <v>1002</v>
      </c>
      <c r="B302" s="60" t="s">
        <v>1003</v>
      </c>
      <c r="C302" s="4" t="s">
        <v>80</v>
      </c>
      <c r="D302" s="4" t="s">
        <v>46</v>
      </c>
      <c r="E302" s="63">
        <v>494.0</v>
      </c>
      <c r="G302" s="5">
        <f t="shared" si="5"/>
        <v>494</v>
      </c>
    </row>
    <row r="303">
      <c r="A303" s="60" t="s">
        <v>966</v>
      </c>
      <c r="B303" s="60" t="s">
        <v>967</v>
      </c>
      <c r="C303" s="4" t="s">
        <v>80</v>
      </c>
      <c r="D303" s="4" t="s">
        <v>46</v>
      </c>
      <c r="E303" s="61">
        <v>1436.17</v>
      </c>
      <c r="G303" s="62">
        <f t="shared" si="5"/>
        <v>1436.17</v>
      </c>
    </row>
    <row r="304">
      <c r="A304" s="60" t="s">
        <v>968</v>
      </c>
      <c r="B304" s="60" t="s">
        <v>969</v>
      </c>
      <c r="C304" s="4" t="s">
        <v>80</v>
      </c>
      <c r="D304" s="4" t="s">
        <v>46</v>
      </c>
      <c r="E304" s="63">
        <v>529.97</v>
      </c>
      <c r="G304" s="5">
        <f t="shared" si="5"/>
        <v>529.97</v>
      </c>
    </row>
    <row r="305">
      <c r="A305" s="60" t="s">
        <v>1635</v>
      </c>
      <c r="B305" s="60" t="s">
        <v>1636</v>
      </c>
      <c r="C305" s="4" t="s">
        <v>80</v>
      </c>
      <c r="D305" s="4" t="s">
        <v>46</v>
      </c>
      <c r="E305" s="63">
        <v>450.0</v>
      </c>
      <c r="G305" s="5">
        <f t="shared" si="5"/>
        <v>450</v>
      </c>
    </row>
    <row r="306">
      <c r="A306" s="60" t="s">
        <v>710</v>
      </c>
      <c r="B306" s="60" t="s">
        <v>711</v>
      </c>
      <c r="C306" s="4" t="s">
        <v>80</v>
      </c>
      <c r="D306" s="4" t="s">
        <v>46</v>
      </c>
      <c r="E306" s="61">
        <v>1192.0</v>
      </c>
      <c r="G306" s="62">
        <f t="shared" si="5"/>
        <v>1192</v>
      </c>
    </row>
    <row r="307">
      <c r="A307" s="60" t="s">
        <v>970</v>
      </c>
      <c r="B307" s="60" t="s">
        <v>971</v>
      </c>
      <c r="C307" s="4" t="s">
        <v>80</v>
      </c>
      <c r="D307" s="4" t="s">
        <v>46</v>
      </c>
      <c r="E307" s="63">
        <v>499.03</v>
      </c>
      <c r="G307" s="5">
        <f t="shared" si="5"/>
        <v>499.03</v>
      </c>
    </row>
    <row r="308">
      <c r="A308" s="60" t="s">
        <v>1006</v>
      </c>
      <c r="B308" s="60" t="s">
        <v>1007</v>
      </c>
      <c r="C308" s="4" t="s">
        <v>80</v>
      </c>
      <c r="D308" s="4" t="s">
        <v>46</v>
      </c>
      <c r="E308" s="61">
        <v>2130.01</v>
      </c>
      <c r="G308" s="62">
        <f t="shared" si="5"/>
        <v>2130.01</v>
      </c>
    </row>
    <row r="309">
      <c r="A309" s="60" t="s">
        <v>974</v>
      </c>
      <c r="B309" s="60" t="s">
        <v>975</v>
      </c>
      <c r="C309" s="4" t="s">
        <v>80</v>
      </c>
      <c r="D309" s="4" t="s">
        <v>46</v>
      </c>
      <c r="E309" s="63">
        <v>657.92</v>
      </c>
      <c r="G309" s="5">
        <f t="shared" si="5"/>
        <v>657.92</v>
      </c>
    </row>
    <row r="310">
      <c r="A310" s="60" t="s">
        <v>1637</v>
      </c>
      <c r="B310" s="60" t="s">
        <v>1638</v>
      </c>
      <c r="C310" s="4" t="s">
        <v>80</v>
      </c>
      <c r="D310" s="4" t="s">
        <v>46</v>
      </c>
      <c r="E310" s="61">
        <v>3243.93</v>
      </c>
      <c r="G310" s="62">
        <f t="shared" si="5"/>
        <v>3243.93</v>
      </c>
    </row>
    <row r="311">
      <c r="A311" s="60" t="s">
        <v>1010</v>
      </c>
      <c r="B311" s="60" t="s">
        <v>1011</v>
      </c>
      <c r="C311" s="4" t="s">
        <v>80</v>
      </c>
      <c r="D311" s="4" t="s">
        <v>46</v>
      </c>
      <c r="E311" s="61">
        <v>1241.94</v>
      </c>
      <c r="G311" s="62">
        <f t="shared" si="5"/>
        <v>1241.94</v>
      </c>
    </row>
    <row r="312">
      <c r="A312" s="60" t="s">
        <v>1455</v>
      </c>
      <c r="B312" s="60" t="s">
        <v>1456</v>
      </c>
      <c r="C312" s="4" t="s">
        <v>80</v>
      </c>
      <c r="D312" s="4" t="s">
        <v>46</v>
      </c>
      <c r="E312" s="61">
        <v>3243.93</v>
      </c>
      <c r="G312" s="62">
        <f t="shared" si="5"/>
        <v>3243.93</v>
      </c>
    </row>
    <row r="313">
      <c r="A313" s="60" t="s">
        <v>1457</v>
      </c>
      <c r="B313" s="60" t="s">
        <v>1458</v>
      </c>
      <c r="C313" s="4" t="s">
        <v>80</v>
      </c>
      <c r="D313" s="4" t="s">
        <v>46</v>
      </c>
      <c r="E313" s="61">
        <v>3243.93</v>
      </c>
      <c r="G313" s="62">
        <f t="shared" si="5"/>
        <v>3243.93</v>
      </c>
    </row>
    <row r="314">
      <c r="A314" s="60" t="s">
        <v>976</v>
      </c>
      <c r="B314" s="60" t="s">
        <v>977</v>
      </c>
      <c r="C314" s="4" t="s">
        <v>80</v>
      </c>
      <c r="D314" s="4" t="s">
        <v>46</v>
      </c>
      <c r="E314" s="63">
        <v>390.0</v>
      </c>
      <c r="G314" s="5">
        <f t="shared" si="5"/>
        <v>390</v>
      </c>
    </row>
    <row r="315">
      <c r="A315" s="60" t="s">
        <v>1459</v>
      </c>
      <c r="B315" s="60" t="s">
        <v>1460</v>
      </c>
      <c r="C315" s="4" t="s">
        <v>80</v>
      </c>
      <c r="D315" s="4" t="s">
        <v>46</v>
      </c>
      <c r="E315" s="61">
        <v>3244.11</v>
      </c>
      <c r="G315" s="62">
        <f t="shared" si="5"/>
        <v>3244.11</v>
      </c>
    </row>
    <row r="316">
      <c r="A316" s="60" t="s">
        <v>472</v>
      </c>
      <c r="B316" s="60" t="s">
        <v>473</v>
      </c>
      <c r="C316" s="4" t="s">
        <v>75</v>
      </c>
      <c r="D316" s="4" t="s">
        <v>53</v>
      </c>
      <c r="E316" s="63">
        <v>136.98</v>
      </c>
      <c r="G316" s="5">
        <f t="shared" si="5"/>
        <v>136.98</v>
      </c>
    </row>
    <row r="317">
      <c r="A317" s="60" t="s">
        <v>474</v>
      </c>
      <c r="B317" s="60" t="s">
        <v>475</v>
      </c>
      <c r="C317" s="4" t="s">
        <v>75</v>
      </c>
      <c r="D317" s="4" t="s">
        <v>53</v>
      </c>
      <c r="E317" s="63">
        <v>47.28</v>
      </c>
      <c r="G317" s="5">
        <f t="shared" si="5"/>
        <v>47.28</v>
      </c>
    </row>
    <row r="318">
      <c r="A318" s="60" t="s">
        <v>476</v>
      </c>
      <c r="B318" s="60" t="s">
        <v>477</v>
      </c>
      <c r="C318" s="4" t="s">
        <v>75</v>
      </c>
      <c r="D318" s="4" t="s">
        <v>53</v>
      </c>
      <c r="E318" s="63">
        <v>101.98</v>
      </c>
      <c r="G318" s="5">
        <f t="shared" si="5"/>
        <v>101.98</v>
      </c>
    </row>
    <row r="319">
      <c r="A319" s="60" t="s">
        <v>478</v>
      </c>
      <c r="B319" s="60" t="s">
        <v>479</v>
      </c>
      <c r="C319" s="4" t="s">
        <v>75</v>
      </c>
      <c r="D319" s="4" t="s">
        <v>53</v>
      </c>
      <c r="E319" s="63">
        <v>350.95</v>
      </c>
      <c r="G319" s="5">
        <f t="shared" si="5"/>
        <v>350.95</v>
      </c>
    </row>
    <row r="320">
      <c r="A320" s="60" t="s">
        <v>480</v>
      </c>
      <c r="B320" s="60" t="s">
        <v>481</v>
      </c>
      <c r="C320" s="4" t="s">
        <v>75</v>
      </c>
      <c r="D320" s="4" t="s">
        <v>53</v>
      </c>
      <c r="E320" s="63">
        <v>200.98</v>
      </c>
      <c r="G320" s="5">
        <f t="shared" si="5"/>
        <v>200.98</v>
      </c>
    </row>
    <row r="321">
      <c r="A321" s="60" t="s">
        <v>482</v>
      </c>
      <c r="B321" s="60" t="s">
        <v>483</v>
      </c>
      <c r="C321" s="4" t="s">
        <v>75</v>
      </c>
      <c r="D321" s="4" t="s">
        <v>53</v>
      </c>
      <c r="E321" s="63">
        <v>207.97</v>
      </c>
      <c r="G321" s="5">
        <f t="shared" si="5"/>
        <v>207.97</v>
      </c>
    </row>
    <row r="322">
      <c r="A322" s="60" t="s">
        <v>484</v>
      </c>
      <c r="B322" s="60" t="s">
        <v>485</v>
      </c>
      <c r="C322" s="4" t="s">
        <v>75</v>
      </c>
      <c r="D322" s="4" t="s">
        <v>53</v>
      </c>
      <c r="E322" s="63">
        <v>778.02</v>
      </c>
      <c r="G322" s="5">
        <f t="shared" si="5"/>
        <v>778.02</v>
      </c>
    </row>
    <row r="323">
      <c r="A323" s="60" t="s">
        <v>486</v>
      </c>
      <c r="B323" s="60" t="s">
        <v>487</v>
      </c>
      <c r="C323" s="4" t="s">
        <v>75</v>
      </c>
      <c r="D323" s="4" t="s">
        <v>53</v>
      </c>
      <c r="E323" s="63">
        <v>530.95</v>
      </c>
      <c r="G323" s="5">
        <f t="shared" si="5"/>
        <v>530.95</v>
      </c>
    </row>
    <row r="324">
      <c r="A324" s="60" t="s">
        <v>488</v>
      </c>
      <c r="B324" s="60" t="s">
        <v>489</v>
      </c>
      <c r="C324" s="4" t="s">
        <v>75</v>
      </c>
      <c r="D324" s="4" t="s">
        <v>53</v>
      </c>
      <c r="E324" s="63">
        <v>108.98</v>
      </c>
      <c r="G324" s="5">
        <f t="shared" si="5"/>
        <v>108.98</v>
      </c>
    </row>
    <row r="325">
      <c r="A325" s="60" t="s">
        <v>490</v>
      </c>
      <c r="B325" s="60" t="s">
        <v>491</v>
      </c>
      <c r="C325" s="4" t="s">
        <v>75</v>
      </c>
      <c r="D325" s="4" t="s">
        <v>53</v>
      </c>
      <c r="E325" s="63">
        <v>285.96</v>
      </c>
      <c r="G325" s="5">
        <f t="shared" si="5"/>
        <v>285.96</v>
      </c>
    </row>
    <row r="326">
      <c r="A326" s="60" t="s">
        <v>492</v>
      </c>
      <c r="B326" s="60" t="s">
        <v>493</v>
      </c>
      <c r="C326" s="4" t="s">
        <v>75</v>
      </c>
      <c r="D326" s="4" t="s">
        <v>53</v>
      </c>
      <c r="E326" s="63">
        <v>83.98</v>
      </c>
      <c r="G326" s="5">
        <f t="shared" si="5"/>
        <v>83.98</v>
      </c>
    </row>
    <row r="327">
      <c r="A327" s="60" t="s">
        <v>494</v>
      </c>
      <c r="B327" s="60" t="s">
        <v>495</v>
      </c>
      <c r="C327" s="4" t="s">
        <v>75</v>
      </c>
      <c r="D327" s="4" t="s">
        <v>53</v>
      </c>
      <c r="E327" s="63">
        <v>217.97</v>
      </c>
      <c r="G327" s="5">
        <f t="shared" si="5"/>
        <v>217.97</v>
      </c>
    </row>
    <row r="328">
      <c r="A328" s="60" t="s">
        <v>496</v>
      </c>
      <c r="B328" s="60" t="s">
        <v>497</v>
      </c>
      <c r="C328" s="4" t="s">
        <v>75</v>
      </c>
      <c r="D328" s="4" t="s">
        <v>53</v>
      </c>
      <c r="E328" s="63">
        <v>91.98</v>
      </c>
      <c r="G328" s="5">
        <f t="shared" si="5"/>
        <v>91.98</v>
      </c>
    </row>
    <row r="329">
      <c r="A329" s="60" t="s">
        <v>498</v>
      </c>
      <c r="B329" s="60" t="s">
        <v>499</v>
      </c>
      <c r="C329" s="4" t="s">
        <v>75</v>
      </c>
      <c r="D329" s="4" t="s">
        <v>53</v>
      </c>
      <c r="E329" s="63">
        <v>333.96</v>
      </c>
      <c r="G329" s="5">
        <f t="shared" si="5"/>
        <v>333.96</v>
      </c>
    </row>
    <row r="330">
      <c r="A330" s="60" t="s">
        <v>500</v>
      </c>
      <c r="B330" s="60" t="s">
        <v>501</v>
      </c>
      <c r="C330" s="4" t="s">
        <v>75</v>
      </c>
      <c r="D330" s="4" t="s">
        <v>53</v>
      </c>
      <c r="E330" s="63">
        <v>333.96</v>
      </c>
      <c r="G330" s="5">
        <f t="shared" si="5"/>
        <v>333.96</v>
      </c>
    </row>
    <row r="331">
      <c r="A331" s="60" t="s">
        <v>502</v>
      </c>
      <c r="B331" s="60" t="s">
        <v>503</v>
      </c>
      <c r="C331" s="4" t="s">
        <v>75</v>
      </c>
      <c r="D331" s="4" t="s">
        <v>53</v>
      </c>
      <c r="E331" s="63">
        <v>53.98</v>
      </c>
      <c r="G331" s="5">
        <f t="shared" si="5"/>
        <v>53.98</v>
      </c>
    </row>
    <row r="332">
      <c r="A332" s="60" t="s">
        <v>504</v>
      </c>
      <c r="B332" s="60" t="s">
        <v>505</v>
      </c>
      <c r="C332" s="4" t="s">
        <v>75</v>
      </c>
      <c r="D332" s="4" t="s">
        <v>53</v>
      </c>
      <c r="E332" s="63">
        <v>292.96</v>
      </c>
      <c r="G332" s="5">
        <f t="shared" si="5"/>
        <v>292.96</v>
      </c>
    </row>
    <row r="333">
      <c r="A333" s="60" t="s">
        <v>506</v>
      </c>
      <c r="B333" s="60" t="s">
        <v>507</v>
      </c>
      <c r="C333" s="4" t="s">
        <v>75</v>
      </c>
      <c r="D333" s="4" t="s">
        <v>53</v>
      </c>
      <c r="E333" s="63">
        <v>1339.75</v>
      </c>
      <c r="G333" s="5">
        <f t="shared" si="5"/>
        <v>1339.75</v>
      </c>
    </row>
    <row r="334">
      <c r="A334" s="60" t="s">
        <v>508</v>
      </c>
      <c r="B334" s="60" t="s">
        <v>509</v>
      </c>
      <c r="C334" s="4" t="s">
        <v>75</v>
      </c>
      <c r="D334" s="4" t="s">
        <v>53</v>
      </c>
      <c r="E334" s="63">
        <v>91.98</v>
      </c>
      <c r="G334" s="5">
        <f t="shared" si="5"/>
        <v>91.98</v>
      </c>
    </row>
    <row r="335">
      <c r="A335" s="60" t="s">
        <v>510</v>
      </c>
      <c r="B335" s="60" t="s">
        <v>511</v>
      </c>
      <c r="C335" s="4" t="s">
        <v>75</v>
      </c>
      <c r="D335" s="4" t="s">
        <v>53</v>
      </c>
      <c r="E335" s="63">
        <v>384.95</v>
      </c>
      <c r="G335" s="5">
        <f t="shared" si="5"/>
        <v>384.95</v>
      </c>
    </row>
    <row r="336">
      <c r="A336" s="60" t="s">
        <v>512</v>
      </c>
      <c r="B336" s="60" t="s">
        <v>513</v>
      </c>
      <c r="C336" s="4" t="s">
        <v>75</v>
      </c>
      <c r="D336" s="4" t="s">
        <v>53</v>
      </c>
      <c r="E336" s="63">
        <v>276.0</v>
      </c>
      <c r="G336" s="5">
        <f t="shared" si="5"/>
        <v>276</v>
      </c>
    </row>
    <row r="337">
      <c r="A337" s="60" t="s">
        <v>514</v>
      </c>
      <c r="B337" s="60" t="s">
        <v>515</v>
      </c>
      <c r="C337" s="4" t="s">
        <v>75</v>
      </c>
      <c r="D337" s="4" t="s">
        <v>53</v>
      </c>
      <c r="E337" s="63">
        <v>125.97</v>
      </c>
      <c r="G337" s="5">
        <f t="shared" si="5"/>
        <v>125.97</v>
      </c>
    </row>
    <row r="338">
      <c r="A338" s="60" t="s">
        <v>516</v>
      </c>
      <c r="B338" s="60" t="s">
        <v>517</v>
      </c>
      <c r="C338" s="4" t="s">
        <v>75</v>
      </c>
      <c r="D338" s="4" t="s">
        <v>53</v>
      </c>
      <c r="E338" s="63">
        <v>190.98</v>
      </c>
      <c r="G338" s="5">
        <f t="shared" si="5"/>
        <v>190.98</v>
      </c>
    </row>
    <row r="339">
      <c r="A339" s="60" t="s">
        <v>518</v>
      </c>
      <c r="B339" s="60" t="s">
        <v>519</v>
      </c>
      <c r="C339" s="4" t="s">
        <v>75</v>
      </c>
      <c r="D339" s="4" t="s">
        <v>53</v>
      </c>
      <c r="E339" s="63">
        <v>425.94</v>
      </c>
      <c r="G339" s="5">
        <f t="shared" si="5"/>
        <v>425.94</v>
      </c>
    </row>
    <row r="340">
      <c r="A340" s="60" t="s">
        <v>520</v>
      </c>
      <c r="B340" s="60" t="s">
        <v>521</v>
      </c>
      <c r="C340" s="4" t="s">
        <v>75</v>
      </c>
      <c r="D340" s="4" t="s">
        <v>53</v>
      </c>
      <c r="E340" s="63">
        <v>220.96</v>
      </c>
      <c r="G340" s="5">
        <f t="shared" si="5"/>
        <v>220.96</v>
      </c>
    </row>
    <row r="341">
      <c r="A341" s="60" t="s">
        <v>522</v>
      </c>
      <c r="B341" s="60" t="s">
        <v>523</v>
      </c>
      <c r="C341" s="4" t="s">
        <v>75</v>
      </c>
      <c r="D341" s="4" t="s">
        <v>53</v>
      </c>
      <c r="E341" s="63">
        <v>333.96</v>
      </c>
      <c r="G341" s="5">
        <f t="shared" si="5"/>
        <v>333.96</v>
      </c>
    </row>
    <row r="342">
      <c r="A342" s="60" t="s">
        <v>524</v>
      </c>
      <c r="B342" s="60" t="s">
        <v>525</v>
      </c>
      <c r="C342" s="4" t="s">
        <v>75</v>
      </c>
      <c r="D342" s="4" t="s">
        <v>53</v>
      </c>
      <c r="E342" s="63">
        <v>5782.3</v>
      </c>
      <c r="G342" s="5">
        <f t="shared" si="5"/>
        <v>5782.3</v>
      </c>
    </row>
    <row r="343">
      <c r="A343" s="60" t="s">
        <v>526</v>
      </c>
      <c r="B343" s="60" t="s">
        <v>527</v>
      </c>
      <c r="C343" s="4" t="s">
        <v>75</v>
      </c>
      <c r="D343" s="4" t="s">
        <v>53</v>
      </c>
      <c r="E343" s="63">
        <v>108.98</v>
      </c>
      <c r="G343" s="5">
        <f t="shared" si="5"/>
        <v>108.98</v>
      </c>
    </row>
    <row r="344">
      <c r="A344" s="60" t="s">
        <v>528</v>
      </c>
      <c r="B344" s="60" t="s">
        <v>529</v>
      </c>
      <c r="C344" s="4" t="s">
        <v>75</v>
      </c>
      <c r="D344" s="4" t="s">
        <v>53</v>
      </c>
      <c r="E344" s="63">
        <v>309.95</v>
      </c>
      <c r="G344" s="5">
        <f t="shared" si="5"/>
        <v>309.95</v>
      </c>
    </row>
    <row r="345">
      <c r="A345" s="60" t="s">
        <v>530</v>
      </c>
      <c r="B345" s="60" t="s">
        <v>531</v>
      </c>
      <c r="C345" s="4" t="s">
        <v>75</v>
      </c>
      <c r="D345" s="4" t="s">
        <v>53</v>
      </c>
      <c r="E345" s="63">
        <v>511.02</v>
      </c>
      <c r="G345" s="5">
        <f t="shared" si="5"/>
        <v>511.02</v>
      </c>
    </row>
    <row r="346">
      <c r="A346" s="60" t="s">
        <v>532</v>
      </c>
      <c r="B346" s="60" t="s">
        <v>533</v>
      </c>
      <c r="C346" s="4" t="s">
        <v>75</v>
      </c>
      <c r="D346" s="4" t="s">
        <v>53</v>
      </c>
      <c r="E346" s="63">
        <v>183.97</v>
      </c>
      <c r="G346" s="5">
        <f t="shared" si="5"/>
        <v>183.97</v>
      </c>
    </row>
    <row r="347">
      <c r="A347" s="60" t="s">
        <v>534</v>
      </c>
      <c r="B347" s="60" t="s">
        <v>535</v>
      </c>
      <c r="C347" s="4" t="s">
        <v>75</v>
      </c>
      <c r="D347" s="4" t="s">
        <v>53</v>
      </c>
      <c r="E347" s="63">
        <v>50.99</v>
      </c>
      <c r="G347" s="5">
        <f t="shared" si="5"/>
        <v>50.99</v>
      </c>
    </row>
    <row r="348">
      <c r="A348" s="60" t="s">
        <v>536</v>
      </c>
      <c r="B348" s="60" t="s">
        <v>537</v>
      </c>
      <c r="C348" s="4" t="s">
        <v>75</v>
      </c>
      <c r="D348" s="4" t="s">
        <v>53</v>
      </c>
      <c r="E348" s="63">
        <v>200.98</v>
      </c>
      <c r="G348" s="5">
        <f t="shared" si="5"/>
        <v>200.98</v>
      </c>
    </row>
    <row r="349">
      <c r="A349" s="60" t="s">
        <v>538</v>
      </c>
      <c r="B349" s="60" t="s">
        <v>539</v>
      </c>
      <c r="C349" s="4" t="s">
        <v>75</v>
      </c>
      <c r="D349" s="4" t="s">
        <v>53</v>
      </c>
      <c r="E349" s="63">
        <v>511.02</v>
      </c>
      <c r="G349" s="5">
        <f t="shared" si="5"/>
        <v>511.02</v>
      </c>
    </row>
    <row r="350">
      <c r="A350" s="60" t="s">
        <v>540</v>
      </c>
      <c r="B350" s="60" t="s">
        <v>541</v>
      </c>
      <c r="C350" s="4" t="s">
        <v>75</v>
      </c>
      <c r="D350" s="4" t="s">
        <v>53</v>
      </c>
      <c r="E350" s="63">
        <v>173.98</v>
      </c>
      <c r="G350" s="5">
        <f t="shared" si="5"/>
        <v>173.98</v>
      </c>
    </row>
    <row r="351">
      <c r="A351" s="60" t="s">
        <v>542</v>
      </c>
      <c r="B351" s="60" t="s">
        <v>543</v>
      </c>
      <c r="C351" s="4" t="s">
        <v>75</v>
      </c>
      <c r="D351" s="4" t="s">
        <v>53</v>
      </c>
      <c r="E351" s="63">
        <v>391.98</v>
      </c>
      <c r="G351" s="5">
        <f t="shared" si="5"/>
        <v>391.98</v>
      </c>
    </row>
    <row r="352">
      <c r="A352" s="60" t="s">
        <v>544</v>
      </c>
      <c r="B352" s="60" t="s">
        <v>545</v>
      </c>
      <c r="C352" s="4" t="s">
        <v>75</v>
      </c>
      <c r="D352" s="4" t="s">
        <v>53</v>
      </c>
      <c r="E352" s="63">
        <v>459.94</v>
      </c>
      <c r="G352" s="5">
        <f t="shared" si="5"/>
        <v>459.94</v>
      </c>
    </row>
    <row r="353">
      <c r="A353" s="60" t="s">
        <v>546</v>
      </c>
      <c r="B353" s="60" t="s">
        <v>547</v>
      </c>
      <c r="C353" s="4" t="s">
        <v>75</v>
      </c>
      <c r="D353" s="4" t="s">
        <v>53</v>
      </c>
      <c r="E353" s="63">
        <v>251.96</v>
      </c>
      <c r="G353" s="5">
        <f t="shared" si="5"/>
        <v>251.96</v>
      </c>
    </row>
    <row r="354">
      <c r="A354" s="60" t="s">
        <v>548</v>
      </c>
      <c r="B354" s="60" t="s">
        <v>549</v>
      </c>
      <c r="C354" s="4" t="s">
        <v>75</v>
      </c>
      <c r="D354" s="4" t="s">
        <v>53</v>
      </c>
      <c r="E354" s="63">
        <v>217.97</v>
      </c>
      <c r="G354" s="5">
        <f t="shared" si="5"/>
        <v>217.97</v>
      </c>
    </row>
    <row r="355">
      <c r="A355" s="60" t="s">
        <v>550</v>
      </c>
      <c r="B355" s="60" t="s">
        <v>551</v>
      </c>
      <c r="C355" s="4" t="s">
        <v>75</v>
      </c>
      <c r="D355" s="4" t="s">
        <v>53</v>
      </c>
      <c r="E355" s="63">
        <v>309.95</v>
      </c>
      <c r="G355" s="5">
        <f t="shared" si="5"/>
        <v>309.95</v>
      </c>
    </row>
    <row r="356">
      <c r="A356" s="60" t="s">
        <v>552</v>
      </c>
      <c r="B356" s="60" t="s">
        <v>553</v>
      </c>
      <c r="C356" s="4" t="s">
        <v>75</v>
      </c>
      <c r="D356" s="4" t="s">
        <v>53</v>
      </c>
      <c r="E356" s="63">
        <v>2740.11</v>
      </c>
      <c r="G356" s="5">
        <f t="shared" si="5"/>
        <v>2740.11</v>
      </c>
    </row>
    <row r="357">
      <c r="A357" s="60" t="s">
        <v>554</v>
      </c>
      <c r="B357" s="60" t="s">
        <v>555</v>
      </c>
      <c r="C357" s="4" t="s">
        <v>75</v>
      </c>
      <c r="D357" s="4" t="s">
        <v>53</v>
      </c>
      <c r="E357" s="63">
        <v>4830.0</v>
      </c>
      <c r="G357" s="5">
        <f t="shared" si="5"/>
        <v>4830</v>
      </c>
    </row>
    <row r="358">
      <c r="A358" s="60" t="s">
        <v>556</v>
      </c>
      <c r="B358" s="60" t="s">
        <v>557</v>
      </c>
      <c r="C358" s="4" t="s">
        <v>75</v>
      </c>
      <c r="D358" s="4" t="s">
        <v>53</v>
      </c>
      <c r="E358" s="63">
        <v>241.97</v>
      </c>
      <c r="G358" s="5">
        <f t="shared" si="5"/>
        <v>241.97</v>
      </c>
    </row>
    <row r="359">
      <c r="A359" s="60" t="s">
        <v>558</v>
      </c>
      <c r="B359" s="60" t="s">
        <v>559</v>
      </c>
      <c r="C359" s="4" t="s">
        <v>75</v>
      </c>
      <c r="D359" s="4" t="s">
        <v>53</v>
      </c>
      <c r="E359" s="63">
        <v>391.95</v>
      </c>
      <c r="G359" s="5">
        <f t="shared" si="5"/>
        <v>391.95</v>
      </c>
    </row>
    <row r="360">
      <c r="A360" s="60" t="s">
        <v>560</v>
      </c>
      <c r="B360" s="60" t="s">
        <v>561</v>
      </c>
      <c r="C360" s="4" t="s">
        <v>75</v>
      </c>
      <c r="D360" s="4" t="s">
        <v>53</v>
      </c>
      <c r="E360" s="63">
        <v>782.91</v>
      </c>
      <c r="G360" s="5">
        <f t="shared" si="5"/>
        <v>782.91</v>
      </c>
    </row>
    <row r="361">
      <c r="A361" s="60" t="s">
        <v>562</v>
      </c>
      <c r="B361" s="60" t="s">
        <v>563</v>
      </c>
      <c r="C361" s="4" t="s">
        <v>75</v>
      </c>
      <c r="D361" s="4" t="s">
        <v>53</v>
      </c>
      <c r="E361" s="63">
        <v>84.99</v>
      </c>
      <c r="G361" s="5">
        <f t="shared" si="5"/>
        <v>84.99</v>
      </c>
    </row>
    <row r="362">
      <c r="A362" s="60" t="s">
        <v>564</v>
      </c>
      <c r="B362" s="60" t="s">
        <v>565</v>
      </c>
      <c r="C362" s="4" t="s">
        <v>75</v>
      </c>
      <c r="D362" s="4" t="s">
        <v>53</v>
      </c>
      <c r="E362" s="63">
        <v>108.98</v>
      </c>
      <c r="G362" s="5">
        <f t="shared" si="5"/>
        <v>108.98</v>
      </c>
    </row>
    <row r="363">
      <c r="A363" s="60" t="s">
        <v>566</v>
      </c>
      <c r="B363" s="60" t="s">
        <v>567</v>
      </c>
      <c r="C363" s="4" t="s">
        <v>75</v>
      </c>
      <c r="D363" s="4" t="s">
        <v>53</v>
      </c>
      <c r="E363" s="63">
        <v>258.97</v>
      </c>
      <c r="G363" s="5">
        <f t="shared" si="5"/>
        <v>258.97</v>
      </c>
    </row>
    <row r="364">
      <c r="A364" s="60" t="s">
        <v>568</v>
      </c>
      <c r="B364" s="60" t="s">
        <v>569</v>
      </c>
      <c r="C364" s="4" t="s">
        <v>75</v>
      </c>
      <c r="D364" s="4" t="s">
        <v>53</v>
      </c>
      <c r="E364" s="63">
        <v>2277.0</v>
      </c>
      <c r="G364" s="5">
        <f t="shared" si="5"/>
        <v>2277</v>
      </c>
    </row>
    <row r="365">
      <c r="A365" s="60" t="s">
        <v>570</v>
      </c>
      <c r="B365" s="60" t="s">
        <v>571</v>
      </c>
      <c r="C365" s="4" t="s">
        <v>75</v>
      </c>
      <c r="D365" s="4" t="s">
        <v>53</v>
      </c>
      <c r="E365" s="63">
        <v>309.95</v>
      </c>
      <c r="G365" s="5">
        <f t="shared" si="5"/>
        <v>309.95</v>
      </c>
    </row>
    <row r="366">
      <c r="A366" s="60" t="s">
        <v>572</v>
      </c>
      <c r="B366" s="60" t="s">
        <v>573</v>
      </c>
      <c r="C366" s="4" t="s">
        <v>75</v>
      </c>
      <c r="D366" s="4" t="s">
        <v>53</v>
      </c>
      <c r="E366" s="63">
        <v>108.98</v>
      </c>
      <c r="G366" s="5">
        <f t="shared" si="5"/>
        <v>108.98</v>
      </c>
    </row>
    <row r="367">
      <c r="A367" s="60" t="s">
        <v>574</v>
      </c>
      <c r="B367" s="60" t="s">
        <v>575</v>
      </c>
      <c r="C367" s="4" t="s">
        <v>75</v>
      </c>
      <c r="D367" s="4" t="s">
        <v>53</v>
      </c>
      <c r="E367" s="63">
        <v>108.98</v>
      </c>
      <c r="G367" s="5">
        <f t="shared" si="5"/>
        <v>108.98</v>
      </c>
    </row>
    <row r="368">
      <c r="A368" s="60" t="s">
        <v>576</v>
      </c>
      <c r="B368" s="60" t="s">
        <v>577</v>
      </c>
      <c r="C368" s="4" t="s">
        <v>75</v>
      </c>
      <c r="D368" s="4" t="s">
        <v>53</v>
      </c>
      <c r="E368" s="63">
        <v>149.98</v>
      </c>
      <c r="G368" s="5">
        <f t="shared" si="5"/>
        <v>149.98</v>
      </c>
    </row>
    <row r="369">
      <c r="A369" s="60" t="s">
        <v>578</v>
      </c>
      <c r="B369" s="60" t="s">
        <v>579</v>
      </c>
      <c r="C369" s="4" t="s">
        <v>75</v>
      </c>
      <c r="D369" s="4" t="s">
        <v>53</v>
      </c>
      <c r="E369" s="63">
        <v>183.97</v>
      </c>
      <c r="G369" s="5">
        <f t="shared" si="5"/>
        <v>183.97</v>
      </c>
    </row>
    <row r="370">
      <c r="A370" s="60" t="s">
        <v>580</v>
      </c>
      <c r="B370" s="60" t="s">
        <v>581</v>
      </c>
      <c r="C370" s="4" t="s">
        <v>75</v>
      </c>
      <c r="D370" s="4" t="s">
        <v>53</v>
      </c>
      <c r="E370" s="63">
        <v>316.97</v>
      </c>
      <c r="G370" s="5">
        <f t="shared" si="5"/>
        <v>316.97</v>
      </c>
    </row>
    <row r="371">
      <c r="A371" s="60" t="s">
        <v>582</v>
      </c>
      <c r="B371" s="60" t="s">
        <v>583</v>
      </c>
      <c r="C371" s="4" t="s">
        <v>75</v>
      </c>
      <c r="D371" s="4" t="s">
        <v>53</v>
      </c>
      <c r="E371" s="63">
        <v>108.98</v>
      </c>
      <c r="G371" s="5">
        <f t="shared" si="5"/>
        <v>108.98</v>
      </c>
    </row>
    <row r="372">
      <c r="A372" s="60" t="s">
        <v>586</v>
      </c>
      <c r="B372" s="60" t="s">
        <v>587</v>
      </c>
      <c r="C372" s="4" t="s">
        <v>75</v>
      </c>
      <c r="D372" s="4" t="s">
        <v>53</v>
      </c>
      <c r="E372" s="63">
        <v>217.97</v>
      </c>
      <c r="G372" s="5">
        <f t="shared" si="5"/>
        <v>217.97</v>
      </c>
    </row>
    <row r="373">
      <c r="A373" s="60" t="s">
        <v>588</v>
      </c>
      <c r="B373" s="60" t="s">
        <v>589</v>
      </c>
      <c r="C373" s="4" t="s">
        <v>75</v>
      </c>
      <c r="D373" s="4" t="s">
        <v>53</v>
      </c>
      <c r="E373" s="63">
        <v>918.95</v>
      </c>
      <c r="G373" s="5">
        <f t="shared" si="5"/>
        <v>918.95</v>
      </c>
    </row>
    <row r="374">
      <c r="A374" s="60" t="s">
        <v>590</v>
      </c>
      <c r="B374" s="60" t="s">
        <v>591</v>
      </c>
      <c r="C374" s="4" t="s">
        <v>75</v>
      </c>
      <c r="D374" s="4" t="s">
        <v>53</v>
      </c>
      <c r="E374" s="63">
        <v>108.98</v>
      </c>
      <c r="G374" s="5">
        <f t="shared" si="5"/>
        <v>108.98</v>
      </c>
    </row>
    <row r="375">
      <c r="A375" s="60" t="s">
        <v>592</v>
      </c>
      <c r="B375" s="60" t="s">
        <v>593</v>
      </c>
      <c r="C375" s="4" t="s">
        <v>75</v>
      </c>
      <c r="D375" s="4" t="s">
        <v>53</v>
      </c>
      <c r="E375" s="63">
        <v>108.98</v>
      </c>
      <c r="G375" s="5">
        <f t="shared" si="5"/>
        <v>108.98</v>
      </c>
    </row>
    <row r="376">
      <c r="A376" s="60" t="s">
        <v>594</v>
      </c>
      <c r="B376" s="60" t="s">
        <v>595</v>
      </c>
      <c r="C376" s="4" t="s">
        <v>75</v>
      </c>
      <c r="D376" s="4" t="s">
        <v>53</v>
      </c>
      <c r="E376" s="63">
        <v>241.97</v>
      </c>
      <c r="G376" s="5">
        <f t="shared" si="5"/>
        <v>241.97</v>
      </c>
    </row>
    <row r="377">
      <c r="A377" s="60" t="s">
        <v>596</v>
      </c>
      <c r="B377" s="60" t="s">
        <v>597</v>
      </c>
      <c r="C377" s="4" t="s">
        <v>75</v>
      </c>
      <c r="D377" s="4" t="s">
        <v>53</v>
      </c>
      <c r="E377" s="63">
        <v>108.98</v>
      </c>
      <c r="G377" s="5">
        <f t="shared" si="5"/>
        <v>108.98</v>
      </c>
    </row>
    <row r="378">
      <c r="A378" s="60" t="s">
        <v>598</v>
      </c>
      <c r="B378" s="60" t="s">
        <v>599</v>
      </c>
      <c r="C378" s="4" t="s">
        <v>75</v>
      </c>
      <c r="D378" s="4" t="s">
        <v>53</v>
      </c>
      <c r="E378" s="63">
        <v>558.9</v>
      </c>
      <c r="G378" s="5">
        <f t="shared" si="5"/>
        <v>558.9</v>
      </c>
    </row>
    <row r="379">
      <c r="A379" s="60" t="s">
        <v>600</v>
      </c>
      <c r="B379" s="60" t="s">
        <v>601</v>
      </c>
      <c r="C379" s="4" t="s">
        <v>75</v>
      </c>
      <c r="D379" s="4" t="s">
        <v>53</v>
      </c>
      <c r="E379" s="63">
        <v>166.98</v>
      </c>
      <c r="G379" s="5">
        <f t="shared" si="5"/>
        <v>166.98</v>
      </c>
    </row>
    <row r="380">
      <c r="A380" s="60" t="s">
        <v>602</v>
      </c>
      <c r="B380" s="60" t="s">
        <v>603</v>
      </c>
      <c r="C380" s="4" t="s">
        <v>75</v>
      </c>
      <c r="D380" s="4" t="s">
        <v>53</v>
      </c>
      <c r="E380" s="63">
        <v>3138.14</v>
      </c>
      <c r="G380" s="5">
        <f t="shared" si="5"/>
        <v>3138.14</v>
      </c>
    </row>
    <row r="381">
      <c r="A381" s="60" t="s">
        <v>604</v>
      </c>
      <c r="B381" s="60" t="s">
        <v>605</v>
      </c>
      <c r="C381" s="4" t="s">
        <v>75</v>
      </c>
      <c r="D381" s="4" t="s">
        <v>53</v>
      </c>
      <c r="E381" s="63">
        <v>108.98</v>
      </c>
      <c r="G381" s="5">
        <f t="shared" si="5"/>
        <v>108.98</v>
      </c>
    </row>
    <row r="382">
      <c r="A382" s="60" t="s">
        <v>606</v>
      </c>
      <c r="B382" s="60" t="s">
        <v>607</v>
      </c>
      <c r="C382" s="4" t="s">
        <v>75</v>
      </c>
      <c r="D382" s="4" t="s">
        <v>53</v>
      </c>
      <c r="E382" s="63">
        <v>1958.03</v>
      </c>
      <c r="G382" s="5">
        <f t="shared" si="5"/>
        <v>1958.03</v>
      </c>
    </row>
    <row r="383">
      <c r="A383" s="60" t="s">
        <v>608</v>
      </c>
      <c r="B383" s="60" t="s">
        <v>609</v>
      </c>
      <c r="C383" s="4" t="s">
        <v>75</v>
      </c>
      <c r="D383" s="4" t="s">
        <v>53</v>
      </c>
      <c r="E383" s="63">
        <v>173.98</v>
      </c>
      <c r="G383" s="5">
        <f t="shared" si="5"/>
        <v>173.98</v>
      </c>
    </row>
    <row r="384">
      <c r="A384" s="60" t="s">
        <v>610</v>
      </c>
      <c r="B384" s="60" t="s">
        <v>611</v>
      </c>
      <c r="C384" s="4" t="s">
        <v>75</v>
      </c>
      <c r="D384" s="4" t="s">
        <v>53</v>
      </c>
      <c r="E384" s="63">
        <v>414.0</v>
      </c>
      <c r="G384" s="5">
        <f t="shared" si="5"/>
        <v>414</v>
      </c>
    </row>
    <row r="385">
      <c r="A385" s="60" t="s">
        <v>612</v>
      </c>
      <c r="B385" s="60" t="s">
        <v>613</v>
      </c>
      <c r="C385" s="4" t="s">
        <v>75</v>
      </c>
      <c r="D385" s="4" t="s">
        <v>53</v>
      </c>
      <c r="E385" s="63">
        <v>1242.0</v>
      </c>
      <c r="G385" s="5">
        <f t="shared" si="5"/>
        <v>1242</v>
      </c>
    </row>
    <row r="386">
      <c r="A386" s="60" t="s">
        <v>614</v>
      </c>
      <c r="B386" s="60" t="s">
        <v>615</v>
      </c>
      <c r="C386" s="4" t="s">
        <v>75</v>
      </c>
      <c r="D386" s="4" t="s">
        <v>53</v>
      </c>
      <c r="E386" s="63">
        <v>166.98</v>
      </c>
      <c r="G386" s="5">
        <f t="shared" si="5"/>
        <v>166.98</v>
      </c>
    </row>
    <row r="387">
      <c r="A387" s="60" t="s">
        <v>616</v>
      </c>
      <c r="B387" s="60" t="s">
        <v>617</v>
      </c>
      <c r="C387" s="4" t="s">
        <v>75</v>
      </c>
      <c r="D387" s="4" t="s">
        <v>53</v>
      </c>
      <c r="E387" s="63">
        <v>108.98</v>
      </c>
      <c r="G387" s="5">
        <f t="shared" si="5"/>
        <v>108.98</v>
      </c>
    </row>
    <row r="388">
      <c r="A388" s="60" t="s">
        <v>618</v>
      </c>
      <c r="B388" s="60" t="s">
        <v>619</v>
      </c>
      <c r="C388" s="4" t="s">
        <v>75</v>
      </c>
      <c r="D388" s="4" t="s">
        <v>53</v>
      </c>
      <c r="E388" s="63">
        <v>149.98</v>
      </c>
      <c r="G388" s="5">
        <f t="shared" si="5"/>
        <v>149.98</v>
      </c>
    </row>
    <row r="389">
      <c r="A389" s="60" t="s">
        <v>620</v>
      </c>
      <c r="B389" s="60" t="s">
        <v>621</v>
      </c>
      <c r="C389" s="4" t="s">
        <v>75</v>
      </c>
      <c r="D389" s="4" t="s">
        <v>53</v>
      </c>
      <c r="E389" s="63">
        <v>367.95</v>
      </c>
      <c r="G389" s="5">
        <f t="shared" si="5"/>
        <v>367.95</v>
      </c>
    </row>
    <row r="390">
      <c r="A390" s="60" t="s">
        <v>622</v>
      </c>
      <c r="B390" s="60" t="s">
        <v>623</v>
      </c>
      <c r="C390" s="4" t="s">
        <v>75</v>
      </c>
      <c r="D390" s="4" t="s">
        <v>53</v>
      </c>
      <c r="E390" s="63">
        <v>217.97</v>
      </c>
      <c r="G390" s="5">
        <f t="shared" si="5"/>
        <v>217.97</v>
      </c>
    </row>
    <row r="391">
      <c r="A391" s="60" t="s">
        <v>624</v>
      </c>
      <c r="B391" s="60" t="s">
        <v>625</v>
      </c>
      <c r="C391" s="4" t="s">
        <v>75</v>
      </c>
      <c r="D391" s="4" t="s">
        <v>53</v>
      </c>
      <c r="E391" s="63">
        <v>1125.06</v>
      </c>
      <c r="G391" s="5">
        <f t="shared" si="5"/>
        <v>1125.06</v>
      </c>
    </row>
    <row r="392">
      <c r="A392" s="60" t="s">
        <v>626</v>
      </c>
      <c r="B392" s="60" t="s">
        <v>627</v>
      </c>
      <c r="C392" s="4" t="s">
        <v>75</v>
      </c>
      <c r="D392" s="4" t="s">
        <v>53</v>
      </c>
      <c r="E392" s="63">
        <v>84.98</v>
      </c>
      <c r="G392" s="5">
        <f t="shared" si="5"/>
        <v>84.98</v>
      </c>
    </row>
    <row r="393">
      <c r="A393" s="60" t="s">
        <v>628</v>
      </c>
      <c r="B393" s="60" t="s">
        <v>629</v>
      </c>
      <c r="C393" s="4" t="s">
        <v>75</v>
      </c>
      <c r="D393" s="4" t="s">
        <v>53</v>
      </c>
      <c r="E393" s="63">
        <v>149.98</v>
      </c>
      <c r="G393" s="5">
        <f t="shared" si="5"/>
        <v>149.98</v>
      </c>
    </row>
    <row r="394">
      <c r="A394" s="60" t="s">
        <v>630</v>
      </c>
      <c r="B394" s="60" t="s">
        <v>631</v>
      </c>
      <c r="C394" s="4" t="s">
        <v>75</v>
      </c>
      <c r="D394" s="4" t="s">
        <v>53</v>
      </c>
      <c r="E394" s="63">
        <v>2891.15</v>
      </c>
      <c r="G394" s="5">
        <f t="shared" si="5"/>
        <v>2891.15</v>
      </c>
    </row>
    <row r="395">
      <c r="A395" s="60" t="s">
        <v>632</v>
      </c>
      <c r="B395" s="60" t="s">
        <v>633</v>
      </c>
      <c r="C395" s="4" t="s">
        <v>75</v>
      </c>
      <c r="D395" s="4" t="s">
        <v>53</v>
      </c>
      <c r="E395" s="63">
        <v>8261.28</v>
      </c>
      <c r="G395" s="5">
        <f t="shared" si="5"/>
        <v>8261.28</v>
      </c>
    </row>
    <row r="396">
      <c r="A396" s="60" t="s">
        <v>634</v>
      </c>
      <c r="B396" s="60" t="s">
        <v>635</v>
      </c>
      <c r="C396" s="4" t="s">
        <v>75</v>
      </c>
      <c r="D396" s="4" t="s">
        <v>53</v>
      </c>
      <c r="E396" s="63">
        <v>108.98</v>
      </c>
      <c r="G396" s="5">
        <f t="shared" si="5"/>
        <v>108.98</v>
      </c>
    </row>
    <row r="397">
      <c r="A397" s="60" t="s">
        <v>636</v>
      </c>
      <c r="B397" s="60" t="s">
        <v>637</v>
      </c>
      <c r="C397" s="4" t="s">
        <v>75</v>
      </c>
      <c r="D397" s="4" t="s">
        <v>53</v>
      </c>
      <c r="E397" s="63">
        <v>326.95</v>
      </c>
      <c r="G397" s="5">
        <f t="shared" si="5"/>
        <v>326.95</v>
      </c>
    </row>
    <row r="398">
      <c r="A398" s="60" t="s">
        <v>638</v>
      </c>
      <c r="B398" s="60" t="s">
        <v>639</v>
      </c>
      <c r="C398" s="4" t="s">
        <v>75</v>
      </c>
      <c r="D398" s="4" t="s">
        <v>53</v>
      </c>
      <c r="E398" s="63">
        <v>2247.92</v>
      </c>
      <c r="G398" s="5">
        <f t="shared" si="5"/>
        <v>2247.92</v>
      </c>
    </row>
    <row r="399">
      <c r="A399" s="60" t="s">
        <v>640</v>
      </c>
      <c r="B399" s="60" t="s">
        <v>641</v>
      </c>
      <c r="C399" s="4" t="s">
        <v>75</v>
      </c>
      <c r="D399" s="4" t="s">
        <v>53</v>
      </c>
      <c r="E399" s="63">
        <v>4633.51</v>
      </c>
      <c r="G399" s="5">
        <f t="shared" si="5"/>
        <v>4633.51</v>
      </c>
    </row>
    <row r="400">
      <c r="A400" s="60" t="s">
        <v>642</v>
      </c>
      <c r="B400" s="60" t="s">
        <v>643</v>
      </c>
      <c r="C400" s="4" t="s">
        <v>75</v>
      </c>
      <c r="D400" s="4" t="s">
        <v>53</v>
      </c>
      <c r="E400" s="63">
        <v>1734.68</v>
      </c>
      <c r="G400" s="5">
        <f t="shared" si="5"/>
        <v>1734.68</v>
      </c>
    </row>
    <row r="401">
      <c r="A401" s="60" t="s">
        <v>644</v>
      </c>
      <c r="B401" s="60" t="s">
        <v>645</v>
      </c>
      <c r="C401" s="4" t="s">
        <v>75</v>
      </c>
      <c r="D401" s="4" t="s">
        <v>53</v>
      </c>
      <c r="E401" s="63">
        <v>2730.22</v>
      </c>
      <c r="G401" s="5">
        <f t="shared" si="5"/>
        <v>2730.22</v>
      </c>
    </row>
    <row r="402">
      <c r="A402" s="60" t="s">
        <v>646</v>
      </c>
      <c r="B402" s="60" t="s">
        <v>647</v>
      </c>
      <c r="C402" s="4" t="s">
        <v>75</v>
      </c>
      <c r="D402" s="4" t="s">
        <v>53</v>
      </c>
      <c r="E402" s="63">
        <v>292.96</v>
      </c>
      <c r="G402" s="5">
        <f t="shared" si="5"/>
        <v>292.96</v>
      </c>
    </row>
    <row r="403">
      <c r="A403" s="60" t="s">
        <v>648</v>
      </c>
      <c r="B403" s="60" t="s">
        <v>649</v>
      </c>
      <c r="C403" s="4" t="s">
        <v>75</v>
      </c>
      <c r="D403" s="4" t="s">
        <v>53</v>
      </c>
      <c r="E403" s="63">
        <v>2633.75</v>
      </c>
      <c r="G403" s="5">
        <f t="shared" si="5"/>
        <v>2633.75</v>
      </c>
    </row>
    <row r="404">
      <c r="A404" s="60" t="s">
        <v>650</v>
      </c>
      <c r="B404" s="60" t="s">
        <v>651</v>
      </c>
      <c r="C404" s="4" t="s">
        <v>75</v>
      </c>
      <c r="D404" s="4" t="s">
        <v>53</v>
      </c>
      <c r="E404" s="63">
        <v>333.96</v>
      </c>
      <c r="G404" s="5">
        <f t="shared" si="5"/>
        <v>333.96</v>
      </c>
    </row>
    <row r="405">
      <c r="A405" s="60" t="s">
        <v>652</v>
      </c>
      <c r="B405" s="60" t="s">
        <v>653</v>
      </c>
      <c r="C405" s="4" t="s">
        <v>75</v>
      </c>
      <c r="D405" s="4" t="s">
        <v>53</v>
      </c>
      <c r="E405" s="63">
        <v>275.96</v>
      </c>
      <c r="G405" s="5">
        <f t="shared" si="5"/>
        <v>275.96</v>
      </c>
    </row>
    <row r="406">
      <c r="A406" s="60" t="s">
        <v>654</v>
      </c>
      <c r="B406" s="60" t="s">
        <v>655</v>
      </c>
      <c r="C406" s="4" t="s">
        <v>75</v>
      </c>
      <c r="D406" s="4" t="s">
        <v>53</v>
      </c>
      <c r="E406" s="63">
        <v>91.98</v>
      </c>
      <c r="G406" s="5">
        <f t="shared" si="5"/>
        <v>91.98</v>
      </c>
    </row>
    <row r="407">
      <c r="A407" s="60" t="s">
        <v>656</v>
      </c>
      <c r="B407" s="60" t="s">
        <v>657</v>
      </c>
      <c r="C407" s="4" t="s">
        <v>75</v>
      </c>
      <c r="D407" s="4" t="s">
        <v>53</v>
      </c>
      <c r="E407" s="63">
        <v>108.98</v>
      </c>
      <c r="G407" s="5">
        <f t="shared" si="5"/>
        <v>108.98</v>
      </c>
    </row>
    <row r="408">
      <c r="A408" s="60" t="s">
        <v>658</v>
      </c>
      <c r="B408" s="60" t="s">
        <v>659</v>
      </c>
      <c r="C408" s="4" t="s">
        <v>75</v>
      </c>
      <c r="D408" s="4" t="s">
        <v>53</v>
      </c>
      <c r="E408" s="63">
        <v>125.97</v>
      </c>
      <c r="G408" s="5">
        <f t="shared" si="5"/>
        <v>125.97</v>
      </c>
    </row>
    <row r="409">
      <c r="A409" s="60" t="s">
        <v>1427</v>
      </c>
      <c r="B409" s="60" t="s">
        <v>1428</v>
      </c>
      <c r="C409" s="4" t="s">
        <v>75</v>
      </c>
      <c r="D409" s="4" t="s">
        <v>53</v>
      </c>
      <c r="E409" s="63">
        <v>1286.14</v>
      </c>
      <c r="G409" s="5">
        <f t="shared" si="5"/>
        <v>1286.14</v>
      </c>
    </row>
    <row r="410">
      <c r="A410" s="60" t="s">
        <v>660</v>
      </c>
      <c r="B410" s="60" t="s">
        <v>661</v>
      </c>
      <c r="C410" s="4" t="s">
        <v>75</v>
      </c>
      <c r="D410" s="4" t="s">
        <v>53</v>
      </c>
      <c r="E410" s="63">
        <v>1092.68</v>
      </c>
      <c r="G410" s="5">
        <f t="shared" si="5"/>
        <v>1092.68</v>
      </c>
    </row>
    <row r="411">
      <c r="A411" s="60" t="s">
        <v>662</v>
      </c>
      <c r="B411" s="60" t="s">
        <v>663</v>
      </c>
      <c r="C411" s="4" t="s">
        <v>75</v>
      </c>
      <c r="D411" s="4" t="s">
        <v>53</v>
      </c>
      <c r="E411" s="63">
        <v>67.99</v>
      </c>
      <c r="G411" s="5">
        <f t="shared" si="5"/>
        <v>67.99</v>
      </c>
    </row>
    <row r="412">
      <c r="A412" s="60" t="s">
        <v>664</v>
      </c>
      <c r="B412" s="60" t="s">
        <v>665</v>
      </c>
      <c r="C412" s="4" t="s">
        <v>75</v>
      </c>
      <c r="D412" s="4" t="s">
        <v>53</v>
      </c>
      <c r="E412" s="63">
        <v>67.99</v>
      </c>
      <c r="G412" s="5">
        <f t="shared" si="5"/>
        <v>67.99</v>
      </c>
    </row>
    <row r="413">
      <c r="A413" s="60" t="s">
        <v>666</v>
      </c>
      <c r="B413" s="60" t="s">
        <v>667</v>
      </c>
      <c r="C413" s="4" t="s">
        <v>75</v>
      </c>
      <c r="D413" s="4" t="s">
        <v>53</v>
      </c>
      <c r="E413" s="63">
        <v>128.62</v>
      </c>
      <c r="G413" s="5">
        <f t="shared" si="5"/>
        <v>128.62</v>
      </c>
    </row>
    <row r="414">
      <c r="A414" s="60" t="s">
        <v>668</v>
      </c>
      <c r="B414" s="60" t="s">
        <v>669</v>
      </c>
      <c r="C414" s="4" t="s">
        <v>75</v>
      </c>
      <c r="D414" s="4" t="s">
        <v>53</v>
      </c>
      <c r="E414" s="63">
        <v>266.56</v>
      </c>
      <c r="G414" s="5">
        <f t="shared" si="5"/>
        <v>266.56</v>
      </c>
    </row>
    <row r="415">
      <c r="A415" s="60" t="s">
        <v>670</v>
      </c>
      <c r="B415" s="60" t="s">
        <v>671</v>
      </c>
      <c r="C415" s="4" t="s">
        <v>75</v>
      </c>
      <c r="D415" s="4" t="s">
        <v>53</v>
      </c>
      <c r="E415" s="63">
        <v>758.92</v>
      </c>
      <c r="G415" s="5">
        <f t="shared" si="5"/>
        <v>758.92</v>
      </c>
    </row>
    <row r="416">
      <c r="A416" s="60" t="s">
        <v>672</v>
      </c>
      <c r="B416" s="60" t="s">
        <v>673</v>
      </c>
      <c r="C416" s="4" t="s">
        <v>75</v>
      </c>
      <c r="D416" s="4" t="s">
        <v>53</v>
      </c>
      <c r="E416" s="63">
        <v>716.6</v>
      </c>
      <c r="G416" s="5">
        <f t="shared" si="5"/>
        <v>716.6</v>
      </c>
    </row>
    <row r="417">
      <c r="A417" s="60" t="s">
        <v>1429</v>
      </c>
      <c r="B417" s="60" t="s">
        <v>1430</v>
      </c>
      <c r="C417" s="4" t="s">
        <v>75</v>
      </c>
      <c r="D417" s="4" t="s">
        <v>53</v>
      </c>
      <c r="E417" s="63">
        <v>3490.78</v>
      </c>
      <c r="G417" s="5">
        <f t="shared" si="5"/>
        <v>3490.78</v>
      </c>
    </row>
    <row r="418">
      <c r="A418" s="60" t="s">
        <v>674</v>
      </c>
      <c r="B418" s="60" t="s">
        <v>675</v>
      </c>
      <c r="C418" s="4" t="s">
        <v>75</v>
      </c>
      <c r="D418" s="4" t="s">
        <v>53</v>
      </c>
      <c r="E418" s="63">
        <v>357.98</v>
      </c>
      <c r="G418" s="5">
        <f t="shared" si="5"/>
        <v>357.98</v>
      </c>
    </row>
    <row r="419">
      <c r="A419" s="60" t="s">
        <v>676</v>
      </c>
      <c r="B419" s="60" t="s">
        <v>677</v>
      </c>
      <c r="C419" s="4" t="s">
        <v>75</v>
      </c>
      <c r="D419" s="4" t="s">
        <v>53</v>
      </c>
      <c r="E419" s="63">
        <v>1917.15</v>
      </c>
      <c r="G419" s="5">
        <f t="shared" si="5"/>
        <v>1917.15</v>
      </c>
    </row>
    <row r="420">
      <c r="A420" s="60" t="s">
        <v>678</v>
      </c>
      <c r="B420" s="60" t="s">
        <v>679</v>
      </c>
      <c r="C420" s="4" t="s">
        <v>75</v>
      </c>
      <c r="D420" s="4" t="s">
        <v>53</v>
      </c>
      <c r="E420" s="63">
        <v>333.96</v>
      </c>
      <c r="G420" s="5">
        <f t="shared" si="5"/>
        <v>333.96</v>
      </c>
    </row>
    <row r="421">
      <c r="A421" s="60" t="s">
        <v>680</v>
      </c>
      <c r="B421" s="60" t="s">
        <v>681</v>
      </c>
      <c r="C421" s="4" t="s">
        <v>75</v>
      </c>
      <c r="D421" s="4" t="s">
        <v>53</v>
      </c>
      <c r="E421" s="63">
        <v>115.99</v>
      </c>
      <c r="G421" s="5">
        <f t="shared" si="5"/>
        <v>115.99</v>
      </c>
    </row>
    <row r="422">
      <c r="A422" s="60" t="s">
        <v>682</v>
      </c>
      <c r="B422" s="60" t="s">
        <v>683</v>
      </c>
      <c r="C422" s="4" t="s">
        <v>75</v>
      </c>
      <c r="D422" s="4" t="s">
        <v>53</v>
      </c>
      <c r="E422" s="63">
        <v>3513.31</v>
      </c>
      <c r="G422" s="5">
        <f t="shared" si="5"/>
        <v>3513.31</v>
      </c>
    </row>
    <row r="423">
      <c r="A423" s="60" t="s">
        <v>684</v>
      </c>
      <c r="B423" s="60" t="s">
        <v>685</v>
      </c>
      <c r="C423" s="4" t="s">
        <v>75</v>
      </c>
      <c r="D423" s="4" t="s">
        <v>53</v>
      </c>
      <c r="E423" s="63">
        <v>640.93</v>
      </c>
      <c r="G423" s="5">
        <f t="shared" si="5"/>
        <v>640.93</v>
      </c>
    </row>
    <row r="424">
      <c r="A424" s="60" t="s">
        <v>686</v>
      </c>
      <c r="B424" s="60" t="s">
        <v>687</v>
      </c>
      <c r="C424" s="4" t="s">
        <v>75</v>
      </c>
      <c r="D424" s="4" t="s">
        <v>53</v>
      </c>
      <c r="E424" s="63">
        <v>711.91</v>
      </c>
      <c r="G424" s="5">
        <f t="shared" si="5"/>
        <v>711.91</v>
      </c>
    </row>
    <row r="425">
      <c r="A425" s="60" t="s">
        <v>1639</v>
      </c>
      <c r="B425" s="60" t="s">
        <v>1640</v>
      </c>
      <c r="C425" s="4" t="s">
        <v>75</v>
      </c>
      <c r="D425" s="4" t="s">
        <v>53</v>
      </c>
      <c r="E425" s="63">
        <v>562.03</v>
      </c>
      <c r="G425" s="5">
        <f t="shared" si="5"/>
        <v>562.03</v>
      </c>
    </row>
    <row r="426">
      <c r="A426" s="60" t="s">
        <v>688</v>
      </c>
      <c r="B426" s="60" t="s">
        <v>689</v>
      </c>
      <c r="C426" s="4" t="s">
        <v>75</v>
      </c>
      <c r="D426" s="4" t="s">
        <v>53</v>
      </c>
      <c r="E426" s="63">
        <v>275.96</v>
      </c>
      <c r="G426" s="5">
        <f t="shared" si="5"/>
        <v>275.96</v>
      </c>
    </row>
    <row r="427">
      <c r="A427" s="60" t="s">
        <v>690</v>
      </c>
      <c r="B427" s="60" t="s">
        <v>691</v>
      </c>
      <c r="C427" s="4" t="s">
        <v>75</v>
      </c>
      <c r="D427" s="4" t="s">
        <v>53</v>
      </c>
      <c r="E427" s="63">
        <v>108.98</v>
      </c>
      <c r="G427" s="5">
        <f t="shared" si="5"/>
        <v>108.98</v>
      </c>
    </row>
    <row r="428">
      <c r="A428" s="60" t="s">
        <v>692</v>
      </c>
      <c r="B428" s="60" t="s">
        <v>693</v>
      </c>
      <c r="C428" s="4" t="s">
        <v>75</v>
      </c>
      <c r="D428" s="4" t="s">
        <v>53</v>
      </c>
      <c r="E428" s="63">
        <v>91.98</v>
      </c>
      <c r="G428" s="5">
        <f t="shared" si="5"/>
        <v>91.98</v>
      </c>
    </row>
    <row r="429">
      <c r="C429" s="5"/>
      <c r="D429" s="5"/>
      <c r="G429" s="5" t="str">
        <f t="shared" si="5"/>
        <v/>
      </c>
    </row>
    <row r="430">
      <c r="C430" s="5"/>
      <c r="D430" s="5"/>
      <c r="G430" s="5" t="str">
        <f t="shared" si="5"/>
        <v/>
      </c>
    </row>
    <row r="431">
      <c r="C431" s="5"/>
      <c r="D431" s="5"/>
      <c r="G431" s="5" t="str">
        <f t="shared" si="5"/>
        <v/>
      </c>
    </row>
    <row r="432">
      <c r="C432" s="5"/>
      <c r="D432" s="5"/>
      <c r="G432" s="5" t="str">
        <f t="shared" si="5"/>
        <v/>
      </c>
    </row>
    <row r="433">
      <c r="C433" s="5"/>
      <c r="D433" s="5"/>
      <c r="G433" s="5" t="str">
        <f t="shared" si="5"/>
        <v/>
      </c>
    </row>
    <row r="434">
      <c r="C434" s="5"/>
      <c r="D434" s="5"/>
      <c r="G434" s="5" t="str">
        <f t="shared" si="5"/>
        <v/>
      </c>
    </row>
    <row r="435">
      <c r="C435" s="5"/>
      <c r="D435" s="5"/>
      <c r="G435" s="5" t="str">
        <f t="shared" si="5"/>
        <v/>
      </c>
    </row>
    <row r="436">
      <c r="C436" s="5"/>
      <c r="D436" s="5"/>
      <c r="G436" s="5" t="str">
        <f t="shared" si="5"/>
        <v/>
      </c>
    </row>
    <row r="437">
      <c r="C437" s="5"/>
      <c r="D437" s="5"/>
      <c r="G437" s="5" t="str">
        <f t="shared" si="5"/>
        <v/>
      </c>
    </row>
    <row r="438">
      <c r="C438" s="5"/>
      <c r="D438" s="5"/>
      <c r="G438" s="5" t="str">
        <f t="shared" si="5"/>
        <v/>
      </c>
    </row>
    <row r="439">
      <c r="C439" s="5"/>
      <c r="D439" s="5"/>
      <c r="G439" s="5" t="str">
        <f t="shared" si="5"/>
        <v/>
      </c>
    </row>
    <row r="440">
      <c r="C440" s="5"/>
      <c r="D440" s="5"/>
      <c r="G440" s="5" t="str">
        <f t="shared" si="5"/>
        <v/>
      </c>
    </row>
    <row r="441">
      <c r="C441" s="5"/>
      <c r="D441" s="5"/>
      <c r="G441" s="5" t="str">
        <f t="shared" si="5"/>
        <v/>
      </c>
    </row>
    <row r="442">
      <c r="C442" s="5"/>
      <c r="D442" s="5"/>
      <c r="G442" s="5" t="str">
        <f t="shared" si="5"/>
        <v/>
      </c>
    </row>
    <row r="443">
      <c r="C443" s="5"/>
      <c r="D443" s="5"/>
      <c r="G443" s="5" t="str">
        <f t="shared" si="5"/>
        <v/>
      </c>
    </row>
    <row r="444">
      <c r="C444" s="5"/>
      <c r="D444" s="5"/>
      <c r="G444" s="5" t="str">
        <f t="shared" si="5"/>
        <v/>
      </c>
    </row>
    <row r="445">
      <c r="C445" s="5"/>
      <c r="D445" s="5"/>
      <c r="G445" s="5" t="str">
        <f t="shared" si="5"/>
        <v/>
      </c>
    </row>
    <row r="446">
      <c r="C446" s="5"/>
      <c r="D446" s="5"/>
      <c r="G446" s="5" t="str">
        <f t="shared" si="5"/>
        <v/>
      </c>
    </row>
    <row r="447">
      <c r="C447" s="5"/>
      <c r="D447" s="5"/>
      <c r="G447" s="5" t="str">
        <f t="shared" si="5"/>
        <v/>
      </c>
    </row>
    <row r="448">
      <c r="C448" s="5"/>
      <c r="D448" s="5"/>
      <c r="G448" s="5" t="str">
        <f t="shared" si="5"/>
        <v/>
      </c>
    </row>
    <row r="449">
      <c r="C449" s="5"/>
      <c r="D449" s="5"/>
      <c r="G449" s="5" t="str">
        <f t="shared" si="5"/>
        <v/>
      </c>
    </row>
    <row r="450">
      <c r="C450" s="5"/>
      <c r="D450" s="5"/>
      <c r="G450" s="5" t="str">
        <f t="shared" si="5"/>
        <v/>
      </c>
    </row>
    <row r="451">
      <c r="C451" s="5"/>
      <c r="D451" s="5"/>
      <c r="G451" s="5" t="str">
        <f t="shared" si="5"/>
        <v/>
      </c>
    </row>
    <row r="452">
      <c r="C452" s="5"/>
      <c r="D452" s="5"/>
      <c r="G452" s="5" t="str">
        <f t="shared" si="5"/>
        <v/>
      </c>
    </row>
    <row r="453">
      <c r="C453" s="5"/>
      <c r="D453" s="5"/>
      <c r="G453" s="5" t="str">
        <f t="shared" si="5"/>
        <v/>
      </c>
    </row>
    <row r="454">
      <c r="C454" s="5"/>
      <c r="D454" s="5"/>
      <c r="G454" s="5" t="str">
        <f t="shared" si="5"/>
        <v/>
      </c>
    </row>
    <row r="455">
      <c r="C455" s="5"/>
      <c r="D455" s="5"/>
      <c r="G455" s="5" t="str">
        <f t="shared" si="5"/>
        <v/>
      </c>
    </row>
    <row r="456">
      <c r="C456" s="5"/>
      <c r="D456" s="5"/>
      <c r="G456" s="5" t="str">
        <f t="shared" si="5"/>
        <v/>
      </c>
    </row>
    <row r="457">
      <c r="C457" s="5"/>
      <c r="D457" s="5"/>
      <c r="G457" s="5" t="str">
        <f t="shared" si="5"/>
        <v/>
      </c>
    </row>
    <row r="458">
      <c r="C458" s="5"/>
      <c r="D458" s="5"/>
      <c r="G458" s="5" t="str">
        <f t="shared" si="5"/>
        <v/>
      </c>
    </row>
    <row r="459">
      <c r="C459" s="5"/>
      <c r="D459" s="5"/>
      <c r="G459" s="5" t="str">
        <f t="shared" si="5"/>
        <v/>
      </c>
    </row>
    <row r="460">
      <c r="C460" s="5"/>
      <c r="D460" s="5"/>
      <c r="G460" s="5" t="str">
        <f t="shared" si="5"/>
        <v/>
      </c>
    </row>
    <row r="461">
      <c r="C461" s="5"/>
      <c r="D461" s="5"/>
      <c r="G461" s="5" t="str">
        <f t="shared" si="5"/>
        <v/>
      </c>
    </row>
    <row r="462">
      <c r="C462" s="5"/>
      <c r="D462" s="5"/>
      <c r="G462" s="5" t="str">
        <f t="shared" si="5"/>
        <v/>
      </c>
    </row>
    <row r="463">
      <c r="C463" s="5"/>
      <c r="D463" s="5"/>
      <c r="G463" s="5" t="str">
        <f t="shared" si="5"/>
        <v/>
      </c>
    </row>
    <row r="464">
      <c r="C464" s="5"/>
      <c r="D464" s="5"/>
      <c r="G464" s="5" t="str">
        <f t="shared" si="5"/>
        <v/>
      </c>
    </row>
    <row r="465">
      <c r="C465" s="5"/>
      <c r="D465" s="5"/>
      <c r="G465" s="5" t="str">
        <f t="shared" si="5"/>
        <v/>
      </c>
    </row>
    <row r="466">
      <c r="C466" s="5"/>
      <c r="D466" s="5"/>
      <c r="G466" s="5" t="str">
        <f t="shared" si="5"/>
        <v/>
      </c>
    </row>
    <row r="467">
      <c r="C467" s="5"/>
      <c r="D467" s="5"/>
      <c r="G467" s="5" t="str">
        <f t="shared" si="5"/>
        <v/>
      </c>
    </row>
    <row r="468">
      <c r="C468" s="5"/>
      <c r="D468" s="5"/>
      <c r="G468" s="5" t="str">
        <f t="shared" si="5"/>
        <v/>
      </c>
    </row>
    <row r="469">
      <c r="C469" s="5"/>
      <c r="D469" s="5"/>
      <c r="G469" s="5" t="str">
        <f t="shared" si="5"/>
        <v/>
      </c>
    </row>
    <row r="470">
      <c r="C470" s="5"/>
      <c r="D470" s="5"/>
      <c r="G470" s="5" t="str">
        <f t="shared" si="5"/>
        <v/>
      </c>
    </row>
    <row r="471">
      <c r="C471" s="5"/>
      <c r="D471" s="5"/>
      <c r="G471" s="5" t="str">
        <f t="shared" si="5"/>
        <v/>
      </c>
    </row>
    <row r="472">
      <c r="C472" s="5"/>
      <c r="D472" s="5"/>
      <c r="G472" s="5" t="str">
        <f t="shared" si="5"/>
        <v/>
      </c>
    </row>
    <row r="473">
      <c r="C473" s="5"/>
      <c r="D473" s="5"/>
      <c r="G473" s="5" t="str">
        <f t="shared" si="5"/>
        <v/>
      </c>
    </row>
    <row r="474">
      <c r="C474" s="5"/>
      <c r="D474" s="5"/>
      <c r="G474" s="5" t="str">
        <f t="shared" si="5"/>
        <v/>
      </c>
    </row>
    <row r="475">
      <c r="C475" s="5"/>
      <c r="D475" s="5"/>
      <c r="G475" s="5" t="str">
        <f t="shared" si="5"/>
        <v/>
      </c>
    </row>
    <row r="476">
      <c r="C476" s="5"/>
      <c r="D476" s="5"/>
      <c r="G476" s="5" t="str">
        <f t="shared" si="5"/>
        <v/>
      </c>
    </row>
    <row r="477">
      <c r="C477" s="5"/>
      <c r="D477" s="5"/>
      <c r="G477" s="5" t="str">
        <f t="shared" si="5"/>
        <v/>
      </c>
    </row>
    <row r="478">
      <c r="C478" s="5"/>
      <c r="D478" s="5"/>
      <c r="G478" s="5" t="str">
        <f t="shared" si="5"/>
        <v/>
      </c>
    </row>
    <row r="479">
      <c r="C479" s="5"/>
      <c r="D479" s="5"/>
      <c r="G479" s="5" t="str">
        <f t="shared" si="5"/>
        <v/>
      </c>
    </row>
    <row r="480">
      <c r="C480" s="5"/>
      <c r="D480" s="5"/>
      <c r="G480" s="5" t="str">
        <f t="shared" si="5"/>
        <v/>
      </c>
    </row>
    <row r="481">
      <c r="C481" s="5"/>
      <c r="D481" s="5"/>
      <c r="G481" s="5" t="str">
        <f t="shared" si="5"/>
        <v/>
      </c>
    </row>
    <row r="482">
      <c r="C482" s="5"/>
      <c r="D482" s="5"/>
      <c r="G482" s="5" t="str">
        <f t="shared" si="5"/>
        <v/>
      </c>
    </row>
    <row r="483">
      <c r="C483" s="5"/>
      <c r="D483" s="5"/>
      <c r="G483" s="5" t="str">
        <f t="shared" si="5"/>
        <v/>
      </c>
    </row>
    <row r="484">
      <c r="C484" s="5"/>
      <c r="D484" s="5"/>
      <c r="G484" s="5" t="str">
        <f t="shared" si="5"/>
        <v/>
      </c>
    </row>
    <row r="485">
      <c r="C485" s="5"/>
      <c r="D485" s="5"/>
      <c r="G485" s="5" t="str">
        <f t="shared" si="5"/>
        <v/>
      </c>
    </row>
    <row r="486">
      <c r="C486" s="5"/>
      <c r="D486" s="5"/>
      <c r="G486" s="5" t="str">
        <f t="shared" si="5"/>
        <v/>
      </c>
    </row>
    <row r="487">
      <c r="C487" s="5"/>
      <c r="D487" s="5"/>
      <c r="G487" s="5" t="str">
        <f t="shared" si="5"/>
        <v/>
      </c>
    </row>
    <row r="488">
      <c r="C488" s="5"/>
      <c r="D488" s="5"/>
      <c r="G488" s="5" t="str">
        <f t="shared" si="5"/>
        <v/>
      </c>
    </row>
    <row r="489">
      <c r="C489" s="5"/>
      <c r="D489" s="5"/>
      <c r="G489" s="5" t="str">
        <f t="shared" si="5"/>
        <v/>
      </c>
    </row>
    <row r="490">
      <c r="C490" s="5"/>
      <c r="D490" s="5"/>
      <c r="G490" s="5" t="str">
        <f t="shared" si="5"/>
        <v/>
      </c>
    </row>
    <row r="491">
      <c r="C491" s="5"/>
      <c r="D491" s="5"/>
      <c r="G491" s="5" t="str">
        <f t="shared" si="5"/>
        <v/>
      </c>
    </row>
    <row r="492">
      <c r="C492" s="5"/>
      <c r="D492" s="5"/>
      <c r="G492" s="5" t="str">
        <f t="shared" si="5"/>
        <v/>
      </c>
    </row>
    <row r="493">
      <c r="C493" s="5"/>
      <c r="D493" s="5"/>
      <c r="G493" s="5" t="str">
        <f t="shared" si="5"/>
        <v/>
      </c>
    </row>
    <row r="494">
      <c r="C494" s="5"/>
      <c r="D494" s="5"/>
      <c r="G494" s="5" t="str">
        <f t="shared" si="5"/>
        <v/>
      </c>
    </row>
    <row r="495">
      <c r="C495" s="5"/>
      <c r="D495" s="5"/>
      <c r="G495" s="5" t="str">
        <f t="shared" si="5"/>
        <v/>
      </c>
    </row>
    <row r="496">
      <c r="C496" s="5"/>
      <c r="D496" s="5"/>
      <c r="G496" s="5" t="str">
        <f t="shared" si="5"/>
        <v/>
      </c>
    </row>
    <row r="497">
      <c r="C497" s="5"/>
      <c r="D497" s="5"/>
      <c r="G497" s="5" t="str">
        <f t="shared" si="5"/>
        <v/>
      </c>
    </row>
    <row r="498">
      <c r="C498" s="5"/>
      <c r="D498" s="5"/>
      <c r="G498" s="5" t="str">
        <f t="shared" si="5"/>
        <v/>
      </c>
    </row>
    <row r="499">
      <c r="C499" s="5"/>
      <c r="D499" s="5"/>
      <c r="G499" s="5" t="str">
        <f t="shared" si="5"/>
        <v/>
      </c>
    </row>
    <row r="500">
      <c r="C500" s="5"/>
      <c r="D500" s="5"/>
      <c r="G500" s="5" t="str">
        <f t="shared" si="5"/>
        <v/>
      </c>
    </row>
    <row r="501">
      <c r="C501" s="5"/>
      <c r="D501" s="5"/>
      <c r="G501" s="5" t="str">
        <f t="shared" si="5"/>
        <v/>
      </c>
    </row>
    <row r="502">
      <c r="C502" s="5"/>
      <c r="D502" s="5"/>
      <c r="G502" s="5" t="str">
        <f t="shared" si="5"/>
        <v/>
      </c>
    </row>
    <row r="503">
      <c r="A503" s="25" t="s">
        <v>1018</v>
      </c>
      <c r="B503" s="64"/>
      <c r="C503" s="64"/>
      <c r="D503" s="64"/>
      <c r="E503" s="65">
        <f t="shared" ref="E503:G503" si="6">SUM(E19:E502)</f>
        <v>2023784.28</v>
      </c>
      <c r="F503" s="64">
        <f t="shared" si="6"/>
        <v>0</v>
      </c>
      <c r="G503" s="65">
        <f t="shared" si="6"/>
        <v>2023784.28</v>
      </c>
      <c r="H503" s="64"/>
    </row>
  </sheetData>
  <mergeCells count="1">
    <mergeCell ref="A1:H1"/>
  </mergeCells>
  <dataValidations>
    <dataValidation type="list" allowBlank="1" sqref="C19:C502">
      <formula1>Settings!$E$15:$E$38</formula1>
    </dataValidation>
    <dataValidation type="list" allowBlank="1" sqref="D19:D502">
      <formula1>Settings!$C$15:$C$30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1641</v>
      </c>
    </row>
    <row r="3">
      <c r="A3" s="33" t="s">
        <v>95</v>
      </c>
      <c r="B3" s="33" t="s">
        <v>23</v>
      </c>
      <c r="C3" s="33" t="s">
        <v>24</v>
      </c>
      <c r="D3" s="33" t="s">
        <v>25</v>
      </c>
      <c r="E3" s="33" t="s">
        <v>26</v>
      </c>
      <c r="F3" s="33" t="s">
        <v>27</v>
      </c>
      <c r="G3" s="33" t="s">
        <v>96</v>
      </c>
    </row>
    <row r="4">
      <c r="A4" s="34" t="s">
        <v>72</v>
      </c>
      <c r="B4" s="35">
        <v>200148.5</v>
      </c>
      <c r="C4" s="35">
        <v>761851.08</v>
      </c>
      <c r="D4" s="35">
        <v>3163.93</v>
      </c>
      <c r="E4" s="35">
        <v>228323.93</v>
      </c>
      <c r="F4" s="36">
        <f t="shared" ref="F4:F7" si="1">B4+C4-D4-E4</f>
        <v>730511.72</v>
      </c>
      <c r="G4" s="37"/>
    </row>
    <row r="5">
      <c r="A5" s="34" t="s">
        <v>74</v>
      </c>
      <c r="B5" s="35">
        <v>439596.54999999993</v>
      </c>
      <c r="C5" s="35">
        <v>173964.23</v>
      </c>
      <c r="D5" s="36"/>
      <c r="E5" s="36"/>
      <c r="F5" s="36">
        <f t="shared" si="1"/>
        <v>613560.78</v>
      </c>
      <c r="G5" s="37"/>
    </row>
    <row r="6">
      <c r="A6" s="34" t="s">
        <v>76</v>
      </c>
      <c r="B6" s="35">
        <v>1314787.05</v>
      </c>
      <c r="C6" s="35">
        <v>456399.24</v>
      </c>
      <c r="D6" s="35">
        <v>362.25</v>
      </c>
      <c r="E6" s="35">
        <v>1000000.0</v>
      </c>
      <c r="F6" s="36">
        <f t="shared" si="1"/>
        <v>770824.04</v>
      </c>
      <c r="G6" s="37"/>
    </row>
    <row r="7">
      <c r="A7" s="34" t="s">
        <v>97</v>
      </c>
      <c r="B7" s="35">
        <v>675194.1899999997</v>
      </c>
      <c r="C7" s="35">
        <v>1745450.0</v>
      </c>
      <c r="D7" s="35">
        <v>120.75</v>
      </c>
      <c r="E7" s="35">
        <v>2086644.43</v>
      </c>
      <c r="F7" s="36">
        <f t="shared" si="1"/>
        <v>333879.01</v>
      </c>
      <c r="G7" s="37"/>
    </row>
    <row r="8">
      <c r="A8" s="37"/>
      <c r="B8" s="36"/>
      <c r="C8" s="36"/>
      <c r="D8" s="36"/>
      <c r="E8" s="36"/>
      <c r="F8" s="36"/>
      <c r="G8" s="37"/>
    </row>
    <row r="9">
      <c r="A9" s="38" t="s">
        <v>98</v>
      </c>
      <c r="B9" s="39">
        <f t="shared" ref="B9:F9" si="2">SUM(B4:B7)</f>
        <v>2629726.29</v>
      </c>
      <c r="C9" s="39">
        <f t="shared" si="2"/>
        <v>3137664.55</v>
      </c>
      <c r="D9" s="39">
        <f t="shared" si="2"/>
        <v>3646.93</v>
      </c>
      <c r="E9" s="39">
        <f t="shared" si="2"/>
        <v>3314968.36</v>
      </c>
      <c r="F9" s="39">
        <f t="shared" si="2"/>
        <v>2448775.55</v>
      </c>
      <c r="G9" s="40"/>
    </row>
    <row r="10">
      <c r="B10" s="6"/>
      <c r="C10" s="6"/>
      <c r="D10" s="6"/>
      <c r="E10" s="6"/>
      <c r="F10" s="6"/>
    </row>
    <row r="11">
      <c r="A11" s="28" t="s">
        <v>99</v>
      </c>
    </row>
    <row r="12">
      <c r="A12" s="41" t="s">
        <v>95</v>
      </c>
      <c r="B12" s="42" t="s">
        <v>100</v>
      </c>
      <c r="C12" s="42" t="s">
        <v>101</v>
      </c>
      <c r="D12" s="42" t="s">
        <v>102</v>
      </c>
      <c r="E12" s="42" t="s">
        <v>103</v>
      </c>
      <c r="F12" s="42" t="s">
        <v>104</v>
      </c>
      <c r="G12" s="41" t="s">
        <v>96</v>
      </c>
    </row>
    <row r="13">
      <c r="A13" s="34" t="s">
        <v>78</v>
      </c>
      <c r="B13" s="35">
        <v>371.25</v>
      </c>
      <c r="C13" s="35">
        <v>434700.0</v>
      </c>
      <c r="D13" s="35">
        <v>61.32</v>
      </c>
      <c r="E13" s="35">
        <v>434586.45</v>
      </c>
      <c r="F13" s="36">
        <f>B13+C13-D13-E13</f>
        <v>423.48</v>
      </c>
      <c r="G13" s="37"/>
    </row>
    <row r="14">
      <c r="A14" s="37"/>
      <c r="B14" s="36"/>
      <c r="C14" s="36"/>
      <c r="D14" s="36"/>
      <c r="E14" s="36"/>
      <c r="F14" s="36"/>
      <c r="G14" s="37"/>
    </row>
    <row r="15">
      <c r="A15" s="38" t="s">
        <v>105</v>
      </c>
      <c r="B15" s="39">
        <f t="shared" ref="B15:F15" si="3">SUM(B13)</f>
        <v>371.25</v>
      </c>
      <c r="C15" s="39">
        <f t="shared" si="3"/>
        <v>434700</v>
      </c>
      <c r="D15" s="39">
        <f t="shared" si="3"/>
        <v>61.32</v>
      </c>
      <c r="E15" s="39">
        <f t="shared" si="3"/>
        <v>434586.45</v>
      </c>
      <c r="F15" s="39">
        <f t="shared" si="3"/>
        <v>423.48</v>
      </c>
      <c r="G15" s="40"/>
    </row>
    <row r="16">
      <c r="B16" s="6"/>
      <c r="C16" s="6"/>
      <c r="D16" s="6"/>
      <c r="E16" s="6"/>
      <c r="F16" s="6"/>
    </row>
    <row r="17">
      <c r="A17" s="43" t="s">
        <v>106</v>
      </c>
      <c r="B17" s="44">
        <f t="shared" ref="B17:F17" si="4">B9+B15*3.75</f>
        <v>2631118.478</v>
      </c>
      <c r="C17" s="44">
        <f t="shared" si="4"/>
        <v>4767789.55</v>
      </c>
      <c r="D17" s="44">
        <f t="shared" si="4"/>
        <v>3876.88</v>
      </c>
      <c r="E17" s="44">
        <f t="shared" si="4"/>
        <v>4944667.548</v>
      </c>
      <c r="F17" s="44">
        <f t="shared" si="4"/>
        <v>2450363.6</v>
      </c>
      <c r="G17" s="45"/>
    </row>
    <row r="19">
      <c r="A19" s="46" t="s">
        <v>107</v>
      </c>
      <c r="B19" s="47"/>
      <c r="C19" s="48"/>
    </row>
    <row r="20">
      <c r="A20" s="34" t="s">
        <v>108</v>
      </c>
      <c r="B20" s="37"/>
      <c r="C20" s="49">
        <f>F17</f>
        <v>2450363.6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4" width="18.88"/>
    <col customWidth="1" min="5" max="7" width="15.13"/>
  </cols>
  <sheetData>
    <row r="1">
      <c r="A1" s="22" t="s">
        <v>1642</v>
      </c>
    </row>
    <row r="3">
      <c r="A3" s="50" t="s">
        <v>110</v>
      </c>
      <c r="B3" s="51">
        <v>452575.39</v>
      </c>
      <c r="D3" s="50" t="s">
        <v>111</v>
      </c>
      <c r="E3" s="52">
        <f>164800.84+SUM(E7:E101)</f>
        <v>473840.39</v>
      </c>
    </row>
    <row r="5">
      <c r="A5" s="7" t="s">
        <v>112</v>
      </c>
    </row>
    <row r="6">
      <c r="A6" s="41" t="s">
        <v>113</v>
      </c>
      <c r="B6" s="41" t="s">
        <v>114</v>
      </c>
      <c r="C6" s="41" t="s">
        <v>115</v>
      </c>
      <c r="D6" s="41" t="s">
        <v>116</v>
      </c>
      <c r="E6" s="41" t="s">
        <v>117</v>
      </c>
      <c r="F6" s="41" t="s">
        <v>118</v>
      </c>
      <c r="G6" s="41" t="s">
        <v>119</v>
      </c>
    </row>
    <row r="7">
      <c r="A7" s="60" t="s">
        <v>1022</v>
      </c>
      <c r="B7" s="60" t="s">
        <v>1023</v>
      </c>
      <c r="C7" s="60" t="s">
        <v>1024</v>
      </c>
      <c r="D7" s="37"/>
      <c r="E7" s="68">
        <v>1500.0</v>
      </c>
      <c r="F7" s="36"/>
      <c r="G7" s="36">
        <f>IF(E7="","",B3+E7-F7)</f>
        <v>454075.39</v>
      </c>
      <c r="H7" s="5" t="str">
        <f t="shared" ref="H7:H46" si="1">IF(B7="","",IF(IFERROR(MATCH(B7,'Advances_JULY-2025'!B:B,0),0)&gt;0,"C/F","NEW"))</f>
        <v>NEW</v>
      </c>
    </row>
    <row r="8">
      <c r="A8" s="60" t="s">
        <v>1025</v>
      </c>
      <c r="B8" s="60" t="s">
        <v>1026</v>
      </c>
      <c r="C8" s="60" t="s">
        <v>1027</v>
      </c>
      <c r="D8" s="37"/>
      <c r="E8" s="68">
        <v>350.0</v>
      </c>
      <c r="F8" s="36"/>
      <c r="G8" s="36">
        <f t="shared" ref="G8:G100" si="2">IF(E8="","",G7+E8-F8)</f>
        <v>454425.39</v>
      </c>
      <c r="H8" s="5" t="str">
        <f t="shared" si="1"/>
        <v>NEW</v>
      </c>
    </row>
    <row r="9">
      <c r="A9" s="60" t="s">
        <v>1025</v>
      </c>
      <c r="B9" s="60" t="s">
        <v>1026</v>
      </c>
      <c r="C9" s="60" t="s">
        <v>1028</v>
      </c>
      <c r="D9" s="37"/>
      <c r="E9" s="68">
        <v>143.48</v>
      </c>
      <c r="F9" s="36"/>
      <c r="G9" s="36">
        <f t="shared" si="2"/>
        <v>454568.87</v>
      </c>
      <c r="H9" s="5" t="str">
        <f t="shared" si="1"/>
        <v>NEW</v>
      </c>
    </row>
    <row r="10">
      <c r="A10" s="60" t="s">
        <v>1025</v>
      </c>
      <c r="B10" s="60" t="s">
        <v>1026</v>
      </c>
      <c r="C10" s="60" t="s">
        <v>1028</v>
      </c>
      <c r="D10" s="37"/>
      <c r="E10" s="68">
        <v>600.0</v>
      </c>
      <c r="F10" s="36"/>
      <c r="G10" s="36">
        <f t="shared" si="2"/>
        <v>455168.87</v>
      </c>
      <c r="H10" s="5" t="str">
        <f t="shared" si="1"/>
        <v>NEW</v>
      </c>
    </row>
    <row r="11">
      <c r="A11" s="60" t="s">
        <v>1029</v>
      </c>
      <c r="B11" s="60" t="s">
        <v>1030</v>
      </c>
      <c r="C11" s="60" t="s">
        <v>1031</v>
      </c>
      <c r="D11" s="37"/>
      <c r="E11" s="68">
        <v>34000.0</v>
      </c>
      <c r="F11" s="36"/>
      <c r="G11" s="36">
        <f t="shared" si="2"/>
        <v>489168.87</v>
      </c>
      <c r="H11" s="5" t="str">
        <f t="shared" si="1"/>
        <v>NEW</v>
      </c>
    </row>
    <row r="12">
      <c r="A12" s="60" t="s">
        <v>1032</v>
      </c>
      <c r="B12" s="60" t="s">
        <v>1033</v>
      </c>
      <c r="C12" s="60" t="s">
        <v>1034</v>
      </c>
      <c r="D12" s="37"/>
      <c r="E12" s="68">
        <v>500.0</v>
      </c>
      <c r="F12" s="36"/>
      <c r="G12" s="36">
        <f t="shared" si="2"/>
        <v>489668.87</v>
      </c>
      <c r="H12" s="5" t="str">
        <f t="shared" si="1"/>
        <v>NEW</v>
      </c>
    </row>
    <row r="13">
      <c r="A13" s="69">
        <v>45298.0</v>
      </c>
      <c r="B13" s="60" t="s">
        <v>1035</v>
      </c>
      <c r="C13" s="60" t="s">
        <v>1036</v>
      </c>
      <c r="D13" s="37"/>
      <c r="E13" s="68">
        <v>4000.0</v>
      </c>
      <c r="F13" s="36"/>
      <c r="G13" s="36">
        <f t="shared" si="2"/>
        <v>493668.87</v>
      </c>
      <c r="H13" s="5" t="str">
        <f t="shared" si="1"/>
        <v>NEW</v>
      </c>
    </row>
    <row r="14">
      <c r="A14" s="69">
        <v>45450.0</v>
      </c>
      <c r="B14" s="60" t="s">
        <v>1037</v>
      </c>
      <c r="C14" s="60" t="s">
        <v>1038</v>
      </c>
      <c r="D14" s="37"/>
      <c r="E14" s="68">
        <v>2790.0</v>
      </c>
      <c r="F14" s="36"/>
      <c r="G14" s="36">
        <f t="shared" si="2"/>
        <v>496458.87</v>
      </c>
      <c r="H14" s="5" t="str">
        <f t="shared" si="1"/>
        <v>NEW</v>
      </c>
    </row>
    <row r="15">
      <c r="A15" s="60" t="s">
        <v>1039</v>
      </c>
      <c r="B15" s="60" t="s">
        <v>1040</v>
      </c>
      <c r="C15" s="60" t="s">
        <v>1041</v>
      </c>
      <c r="D15" s="37"/>
      <c r="E15" s="68">
        <v>74656.7</v>
      </c>
      <c r="F15" s="36"/>
      <c r="G15" s="36">
        <f t="shared" si="2"/>
        <v>571115.57</v>
      </c>
      <c r="H15" s="5" t="str">
        <f t="shared" si="1"/>
        <v>NEW</v>
      </c>
    </row>
    <row r="16">
      <c r="A16" s="60" t="s">
        <v>1039</v>
      </c>
      <c r="B16" s="60" t="s">
        <v>1042</v>
      </c>
      <c r="C16" s="60" t="s">
        <v>1043</v>
      </c>
      <c r="D16" s="37"/>
      <c r="E16" s="68">
        <v>25655.23</v>
      </c>
      <c r="F16" s="36"/>
      <c r="G16" s="36">
        <f t="shared" si="2"/>
        <v>596770.8</v>
      </c>
      <c r="H16" s="5" t="str">
        <f t="shared" si="1"/>
        <v>NEW</v>
      </c>
    </row>
    <row r="17">
      <c r="A17" s="60" t="s">
        <v>1044</v>
      </c>
      <c r="B17" s="60" t="s">
        <v>1045</v>
      </c>
      <c r="C17" s="60" t="s">
        <v>1046</v>
      </c>
      <c r="D17" s="37"/>
      <c r="E17" s="68">
        <v>5000.0</v>
      </c>
      <c r="F17" s="36"/>
      <c r="G17" s="36">
        <f t="shared" si="2"/>
        <v>601770.8</v>
      </c>
      <c r="H17" s="5" t="str">
        <f t="shared" si="1"/>
        <v>NEW</v>
      </c>
    </row>
    <row r="18">
      <c r="A18" s="60" t="s">
        <v>1047</v>
      </c>
      <c r="B18" s="60" t="s">
        <v>1048</v>
      </c>
      <c r="C18" s="60" t="s">
        <v>1049</v>
      </c>
      <c r="D18" s="37"/>
      <c r="E18" s="68">
        <v>4650.0</v>
      </c>
      <c r="F18" s="36"/>
      <c r="G18" s="36">
        <f t="shared" si="2"/>
        <v>606420.8</v>
      </c>
      <c r="H18" s="5" t="str">
        <f t="shared" si="1"/>
        <v>NEW</v>
      </c>
    </row>
    <row r="19">
      <c r="A19" s="60" t="s">
        <v>1050</v>
      </c>
      <c r="B19" s="60" t="s">
        <v>1051</v>
      </c>
      <c r="C19" s="60" t="s">
        <v>1052</v>
      </c>
      <c r="D19" s="37"/>
      <c r="E19" s="68">
        <v>500.0</v>
      </c>
      <c r="F19" s="36"/>
      <c r="G19" s="36">
        <f t="shared" si="2"/>
        <v>606920.8</v>
      </c>
      <c r="H19" s="5" t="str">
        <f t="shared" si="1"/>
        <v>NEW</v>
      </c>
    </row>
    <row r="20">
      <c r="A20" s="63" t="s">
        <v>1053</v>
      </c>
      <c r="B20" s="70"/>
      <c r="C20" s="60" t="s">
        <v>1054</v>
      </c>
      <c r="D20" s="37"/>
      <c r="E20" s="68">
        <v>16857.45</v>
      </c>
      <c r="F20" s="36"/>
      <c r="G20" s="36">
        <f t="shared" si="2"/>
        <v>623778.25</v>
      </c>
      <c r="H20" s="5" t="str">
        <f t="shared" si="1"/>
        <v/>
      </c>
    </row>
    <row r="21">
      <c r="A21" s="69">
        <v>45546.0</v>
      </c>
      <c r="B21" s="60" t="s">
        <v>1055</v>
      </c>
      <c r="C21" s="60" t="s">
        <v>1056</v>
      </c>
      <c r="D21" s="37"/>
      <c r="E21" s="68">
        <v>4450.0</v>
      </c>
      <c r="F21" s="36"/>
      <c r="G21" s="36">
        <f t="shared" si="2"/>
        <v>628228.25</v>
      </c>
      <c r="H21" s="5" t="str">
        <f t="shared" si="1"/>
        <v>NEW</v>
      </c>
    </row>
    <row r="22">
      <c r="A22" s="71">
        <v>45637.0</v>
      </c>
      <c r="B22" s="60" t="s">
        <v>1057</v>
      </c>
      <c r="C22" s="60" t="s">
        <v>1058</v>
      </c>
      <c r="D22" s="37"/>
      <c r="E22" s="68">
        <v>80.0</v>
      </c>
      <c r="F22" s="36"/>
      <c r="G22" s="36">
        <f t="shared" si="2"/>
        <v>628308.25</v>
      </c>
      <c r="H22" s="5" t="str">
        <f t="shared" si="1"/>
        <v>NEW</v>
      </c>
    </row>
    <row r="23">
      <c r="A23" s="71">
        <v>45577.0</v>
      </c>
      <c r="B23" s="60" t="s">
        <v>1059</v>
      </c>
      <c r="C23" s="60" t="s">
        <v>1043</v>
      </c>
      <c r="D23" s="37"/>
      <c r="E23" s="68">
        <v>49001.48</v>
      </c>
      <c r="F23" s="36"/>
      <c r="G23" s="36">
        <f t="shared" si="2"/>
        <v>677309.73</v>
      </c>
      <c r="H23" s="5" t="str">
        <f t="shared" si="1"/>
        <v>NEW</v>
      </c>
    </row>
    <row r="24">
      <c r="A24" s="60" t="s">
        <v>1060</v>
      </c>
      <c r="B24" s="60" t="s">
        <v>1061</v>
      </c>
      <c r="C24" s="60" t="s">
        <v>1062</v>
      </c>
      <c r="D24" s="37"/>
      <c r="E24" s="68">
        <v>300.0</v>
      </c>
      <c r="F24" s="36"/>
      <c r="G24" s="36">
        <f t="shared" si="2"/>
        <v>677609.73</v>
      </c>
      <c r="H24" s="5" t="str">
        <f t="shared" si="1"/>
        <v>NEW</v>
      </c>
    </row>
    <row r="25">
      <c r="A25" s="60" t="s">
        <v>1063</v>
      </c>
      <c r="B25" s="60" t="s">
        <v>1064</v>
      </c>
      <c r="C25" s="60" t="s">
        <v>1065</v>
      </c>
      <c r="D25" s="37"/>
      <c r="E25" s="68">
        <v>150.0</v>
      </c>
      <c r="F25" s="36"/>
      <c r="G25" s="36">
        <f t="shared" si="2"/>
        <v>677759.73</v>
      </c>
      <c r="H25" s="5" t="str">
        <f t="shared" si="1"/>
        <v>NEW</v>
      </c>
    </row>
    <row r="26">
      <c r="A26" s="60" t="s">
        <v>1066</v>
      </c>
      <c r="B26" s="60" t="s">
        <v>1067</v>
      </c>
      <c r="C26" s="60" t="s">
        <v>1068</v>
      </c>
      <c r="D26" s="37"/>
      <c r="E26" s="68">
        <v>51310.45</v>
      </c>
      <c r="F26" s="36"/>
      <c r="G26" s="36">
        <f t="shared" si="2"/>
        <v>729070.18</v>
      </c>
      <c r="H26" s="5" t="str">
        <f t="shared" si="1"/>
        <v>NEW</v>
      </c>
    </row>
    <row r="27">
      <c r="A27" s="69">
        <v>45749.0</v>
      </c>
      <c r="B27" s="60" t="s">
        <v>1069</v>
      </c>
      <c r="C27" s="60" t="s">
        <v>1070</v>
      </c>
      <c r="D27" s="37"/>
      <c r="E27" s="68">
        <v>200.0</v>
      </c>
      <c r="F27" s="36"/>
      <c r="G27" s="36">
        <f t="shared" si="2"/>
        <v>729270.18</v>
      </c>
      <c r="H27" s="5" t="str">
        <f t="shared" si="1"/>
        <v>NEW</v>
      </c>
    </row>
    <row r="28">
      <c r="A28" s="60" t="s">
        <v>1071</v>
      </c>
      <c r="B28" s="60" t="s">
        <v>1072</v>
      </c>
      <c r="C28" s="60" t="s">
        <v>1073</v>
      </c>
      <c r="D28" s="37"/>
      <c r="E28" s="68">
        <v>334.8</v>
      </c>
      <c r="F28" s="36"/>
      <c r="G28" s="36">
        <f t="shared" si="2"/>
        <v>729604.98</v>
      </c>
      <c r="H28" s="5" t="str">
        <f t="shared" si="1"/>
        <v>NEW</v>
      </c>
    </row>
    <row r="29">
      <c r="A29" s="60" t="s">
        <v>1071</v>
      </c>
      <c r="B29" s="60" t="s">
        <v>1072</v>
      </c>
      <c r="C29" s="60" t="s">
        <v>1074</v>
      </c>
      <c r="D29" s="37"/>
      <c r="E29" s="68">
        <v>300.0</v>
      </c>
      <c r="F29" s="36"/>
      <c r="G29" s="36">
        <f t="shared" si="2"/>
        <v>729904.98</v>
      </c>
      <c r="H29" s="5" t="str">
        <f t="shared" si="1"/>
        <v>NEW</v>
      </c>
    </row>
    <row r="30">
      <c r="A30" s="60" t="s">
        <v>1071</v>
      </c>
      <c r="B30" s="60" t="s">
        <v>1072</v>
      </c>
      <c r="C30" s="60" t="s">
        <v>1073</v>
      </c>
      <c r="D30" s="37"/>
      <c r="E30" s="68">
        <v>350.0</v>
      </c>
      <c r="F30" s="36"/>
      <c r="G30" s="36">
        <f t="shared" si="2"/>
        <v>730254.98</v>
      </c>
      <c r="H30" s="5" t="str">
        <f t="shared" si="1"/>
        <v>NEW</v>
      </c>
    </row>
    <row r="31">
      <c r="A31" s="69">
        <v>45752.0</v>
      </c>
      <c r="B31" s="60" t="s">
        <v>1075</v>
      </c>
      <c r="C31" s="60" t="s">
        <v>1076</v>
      </c>
      <c r="D31" s="37"/>
      <c r="E31" s="68">
        <v>200.0</v>
      </c>
      <c r="F31" s="36"/>
      <c r="G31" s="36">
        <f t="shared" si="2"/>
        <v>730454.98</v>
      </c>
      <c r="H31" s="5" t="str">
        <f t="shared" si="1"/>
        <v>NEW</v>
      </c>
    </row>
    <row r="32">
      <c r="A32" s="60" t="s">
        <v>1077</v>
      </c>
      <c r="B32" s="60" t="s">
        <v>1078</v>
      </c>
      <c r="C32" s="60" t="s">
        <v>1079</v>
      </c>
      <c r="D32" s="37"/>
      <c r="E32" s="68">
        <v>170.0</v>
      </c>
      <c r="F32" s="36"/>
      <c r="G32" s="36">
        <f t="shared" si="2"/>
        <v>730624.98</v>
      </c>
      <c r="H32" s="5" t="str">
        <f t="shared" si="1"/>
        <v>NEW</v>
      </c>
    </row>
    <row r="33">
      <c r="A33" s="63" t="s">
        <v>1080</v>
      </c>
      <c r="B33" s="70"/>
      <c r="C33" s="60" t="s">
        <v>1081</v>
      </c>
      <c r="D33" s="37"/>
      <c r="E33" s="68">
        <v>219.0</v>
      </c>
      <c r="F33" s="36"/>
      <c r="G33" s="36">
        <f t="shared" si="2"/>
        <v>730843.98</v>
      </c>
      <c r="H33" s="5" t="str">
        <f t="shared" si="1"/>
        <v/>
      </c>
    </row>
    <row r="34">
      <c r="A34" s="69">
        <v>45997.0</v>
      </c>
      <c r="B34" s="60" t="s">
        <v>1082</v>
      </c>
      <c r="C34" s="60" t="s">
        <v>1083</v>
      </c>
      <c r="D34" s="37"/>
      <c r="E34" s="68">
        <v>260.96</v>
      </c>
      <c r="F34" s="36"/>
      <c r="G34" s="36">
        <f t="shared" si="2"/>
        <v>731104.94</v>
      </c>
      <c r="H34" s="5" t="str">
        <f t="shared" si="1"/>
        <v>NEW</v>
      </c>
    </row>
    <row r="35">
      <c r="A35" s="60" t="s">
        <v>1084</v>
      </c>
      <c r="B35" s="60" t="s">
        <v>1085</v>
      </c>
      <c r="C35" s="60" t="s">
        <v>1086</v>
      </c>
      <c r="D35" s="37"/>
      <c r="E35" s="68">
        <v>9000.0</v>
      </c>
      <c r="F35" s="36"/>
      <c r="G35" s="36">
        <f t="shared" si="2"/>
        <v>740104.94</v>
      </c>
      <c r="H35" s="5" t="str">
        <f t="shared" si="1"/>
        <v>NEW</v>
      </c>
    </row>
    <row r="36">
      <c r="A36" s="63" t="s">
        <v>1087</v>
      </c>
      <c r="B36" s="60" t="s">
        <v>1088</v>
      </c>
      <c r="C36" s="60" t="s">
        <v>1089</v>
      </c>
      <c r="D36" s="37"/>
      <c r="E36" s="68">
        <v>100.0</v>
      </c>
      <c r="F36" s="36"/>
      <c r="G36" s="36">
        <f t="shared" si="2"/>
        <v>740204.94</v>
      </c>
      <c r="H36" s="5" t="str">
        <f t="shared" si="1"/>
        <v>NEW</v>
      </c>
    </row>
    <row r="37">
      <c r="A37" s="60" t="s">
        <v>1090</v>
      </c>
      <c r="B37" s="60" t="s">
        <v>1091</v>
      </c>
      <c r="C37" s="60" t="s">
        <v>1092</v>
      </c>
      <c r="D37" s="37"/>
      <c r="E37" s="68">
        <v>200.0</v>
      </c>
      <c r="F37" s="36"/>
      <c r="G37" s="36">
        <f t="shared" si="2"/>
        <v>740404.94</v>
      </c>
      <c r="H37" s="5" t="str">
        <f t="shared" si="1"/>
        <v>NEW</v>
      </c>
    </row>
    <row r="38">
      <c r="A38" s="69">
        <v>45816.0</v>
      </c>
      <c r="B38" s="60" t="s">
        <v>1643</v>
      </c>
      <c r="C38" s="60" t="s">
        <v>1644</v>
      </c>
      <c r="D38" s="37"/>
      <c r="E38" s="68">
        <v>8660.0</v>
      </c>
      <c r="F38" s="36"/>
      <c r="G38" s="36">
        <f t="shared" si="2"/>
        <v>749064.94</v>
      </c>
      <c r="H38" s="5" t="str">
        <f t="shared" si="1"/>
        <v>NEW</v>
      </c>
    </row>
    <row r="39">
      <c r="A39" s="60" t="s">
        <v>1464</v>
      </c>
      <c r="B39" s="60" t="s">
        <v>1465</v>
      </c>
      <c r="C39" s="60" t="s">
        <v>1466</v>
      </c>
      <c r="D39" s="37"/>
      <c r="E39" s="68">
        <v>5000.0</v>
      </c>
      <c r="F39" s="36"/>
      <c r="G39" s="36">
        <f t="shared" si="2"/>
        <v>754064.94</v>
      </c>
      <c r="H39" s="5" t="str">
        <f t="shared" si="1"/>
        <v>NEW</v>
      </c>
    </row>
    <row r="40">
      <c r="A40" s="60" t="s">
        <v>1093</v>
      </c>
      <c r="B40" s="60" t="s">
        <v>1094</v>
      </c>
      <c r="C40" s="60" t="s">
        <v>1095</v>
      </c>
      <c r="D40" s="37"/>
      <c r="E40" s="68">
        <v>1500.0</v>
      </c>
      <c r="F40" s="36"/>
      <c r="G40" s="36">
        <f t="shared" si="2"/>
        <v>755564.94</v>
      </c>
      <c r="H40" s="5" t="str">
        <f t="shared" si="1"/>
        <v>NEW</v>
      </c>
    </row>
    <row r="41">
      <c r="A41" s="60" t="s">
        <v>1093</v>
      </c>
      <c r="B41" s="60" t="s">
        <v>1094</v>
      </c>
      <c r="C41" s="60" t="s">
        <v>1096</v>
      </c>
      <c r="D41" s="37"/>
      <c r="E41" s="68">
        <v>450.0</v>
      </c>
      <c r="F41" s="36"/>
      <c r="G41" s="36">
        <f t="shared" si="2"/>
        <v>756014.94</v>
      </c>
      <c r="H41" s="5" t="str">
        <f t="shared" si="1"/>
        <v>NEW</v>
      </c>
    </row>
    <row r="42">
      <c r="A42" s="60" t="s">
        <v>1097</v>
      </c>
      <c r="B42" s="60" t="s">
        <v>1098</v>
      </c>
      <c r="C42" s="60" t="s">
        <v>1099</v>
      </c>
      <c r="D42" s="37"/>
      <c r="E42" s="68">
        <v>100.0</v>
      </c>
      <c r="F42" s="36"/>
      <c r="G42" s="36">
        <f t="shared" si="2"/>
        <v>756114.94</v>
      </c>
      <c r="H42" s="5" t="str">
        <f t="shared" si="1"/>
        <v>NEW</v>
      </c>
    </row>
    <row r="43">
      <c r="A43" s="60" t="s">
        <v>1645</v>
      </c>
      <c r="B43" s="60" t="s">
        <v>1646</v>
      </c>
      <c r="C43" s="60" t="s">
        <v>1647</v>
      </c>
      <c r="D43" s="37"/>
      <c r="E43" s="68">
        <v>2000.0</v>
      </c>
      <c r="F43" s="36"/>
      <c r="G43" s="36">
        <f t="shared" si="2"/>
        <v>758114.94</v>
      </c>
      <c r="H43" s="5" t="str">
        <f t="shared" si="1"/>
        <v>NEW</v>
      </c>
    </row>
    <row r="44">
      <c r="A44" s="60" t="s">
        <v>1215</v>
      </c>
      <c r="B44" s="60" t="s">
        <v>1648</v>
      </c>
      <c r="C44" s="60" t="s">
        <v>1649</v>
      </c>
      <c r="D44" s="37"/>
      <c r="E44" s="68">
        <v>1000.0</v>
      </c>
      <c r="F44" s="36"/>
      <c r="G44" s="36">
        <f t="shared" si="2"/>
        <v>759114.94</v>
      </c>
      <c r="H44" s="5" t="str">
        <f t="shared" si="1"/>
        <v>NEW</v>
      </c>
    </row>
    <row r="45">
      <c r="A45" s="60" t="s">
        <v>1215</v>
      </c>
      <c r="B45" s="60" t="s">
        <v>1648</v>
      </c>
      <c r="C45" s="60" t="s">
        <v>1649</v>
      </c>
      <c r="D45" s="37"/>
      <c r="E45" s="68">
        <v>500.0</v>
      </c>
      <c r="F45" s="36"/>
      <c r="G45" s="36">
        <f t="shared" si="2"/>
        <v>759614.94</v>
      </c>
      <c r="H45" s="5" t="str">
        <f t="shared" si="1"/>
        <v>NEW</v>
      </c>
    </row>
    <row r="46">
      <c r="A46" s="60" t="s">
        <v>1215</v>
      </c>
      <c r="B46" s="60" t="s">
        <v>1648</v>
      </c>
      <c r="C46" s="60" t="s">
        <v>1649</v>
      </c>
      <c r="D46" s="37"/>
      <c r="E46" s="68">
        <v>2000.0</v>
      </c>
      <c r="F46" s="36"/>
      <c r="G46" s="36">
        <f t="shared" si="2"/>
        <v>761614.94</v>
      </c>
      <c r="H46" s="5" t="str">
        <f t="shared" si="1"/>
        <v>NEW</v>
      </c>
    </row>
    <row r="47">
      <c r="A47" s="37"/>
      <c r="B47" s="37"/>
      <c r="C47" s="37"/>
      <c r="D47" s="37"/>
      <c r="E47" s="36"/>
      <c r="F47" s="36"/>
      <c r="G47" s="36" t="str">
        <f t="shared" si="2"/>
        <v/>
      </c>
    </row>
    <row r="48">
      <c r="A48" s="37"/>
      <c r="B48" s="37"/>
      <c r="C48" s="37"/>
      <c r="D48" s="37"/>
      <c r="E48" s="36"/>
      <c r="F48" s="36"/>
      <c r="G48" s="36" t="str">
        <f t="shared" si="2"/>
        <v/>
      </c>
    </row>
    <row r="49">
      <c r="A49" s="37"/>
      <c r="B49" s="37"/>
      <c r="C49" s="37"/>
      <c r="D49" s="37"/>
      <c r="E49" s="36"/>
      <c r="F49" s="36"/>
      <c r="G49" s="36" t="str">
        <f t="shared" si="2"/>
        <v/>
      </c>
    </row>
    <row r="50">
      <c r="A50" s="37"/>
      <c r="B50" s="37"/>
      <c r="C50" s="37"/>
      <c r="D50" s="37"/>
      <c r="E50" s="36"/>
      <c r="F50" s="36"/>
      <c r="G50" s="36" t="str">
        <f t="shared" si="2"/>
        <v/>
      </c>
    </row>
    <row r="51">
      <c r="A51" s="37"/>
      <c r="B51" s="37"/>
      <c r="C51" s="37"/>
      <c r="D51" s="37"/>
      <c r="E51" s="36"/>
      <c r="F51" s="36"/>
      <c r="G51" s="36" t="str">
        <f t="shared" si="2"/>
        <v/>
      </c>
    </row>
    <row r="52">
      <c r="A52" s="37"/>
      <c r="B52" s="37"/>
      <c r="C52" s="37"/>
      <c r="D52" s="37"/>
      <c r="E52" s="36"/>
      <c r="F52" s="36"/>
      <c r="G52" s="36" t="str">
        <f t="shared" si="2"/>
        <v/>
      </c>
    </row>
    <row r="53">
      <c r="A53" s="37"/>
      <c r="B53" s="37"/>
      <c r="C53" s="37"/>
      <c r="D53" s="37"/>
      <c r="E53" s="36"/>
      <c r="F53" s="36"/>
      <c r="G53" s="36" t="str">
        <f t="shared" si="2"/>
        <v/>
      </c>
    </row>
    <row r="54">
      <c r="A54" s="37"/>
      <c r="B54" s="37"/>
      <c r="C54" s="37"/>
      <c r="D54" s="37"/>
      <c r="E54" s="36"/>
      <c r="F54" s="36"/>
      <c r="G54" s="36" t="str">
        <f t="shared" si="2"/>
        <v/>
      </c>
    </row>
    <row r="55">
      <c r="A55" s="37"/>
      <c r="B55" s="37"/>
      <c r="C55" s="37"/>
      <c r="D55" s="37"/>
      <c r="E55" s="36"/>
      <c r="F55" s="36"/>
      <c r="G55" s="36" t="str">
        <f t="shared" si="2"/>
        <v/>
      </c>
    </row>
    <row r="56">
      <c r="A56" s="37"/>
      <c r="B56" s="37"/>
      <c r="C56" s="37"/>
      <c r="D56" s="37"/>
      <c r="E56" s="36"/>
      <c r="F56" s="36"/>
      <c r="G56" s="36" t="str">
        <f t="shared" si="2"/>
        <v/>
      </c>
    </row>
    <row r="57">
      <c r="A57" s="37"/>
      <c r="B57" s="37"/>
      <c r="C57" s="37"/>
      <c r="D57" s="37"/>
      <c r="E57" s="36"/>
      <c r="F57" s="36"/>
      <c r="G57" s="36" t="str">
        <f t="shared" si="2"/>
        <v/>
      </c>
    </row>
    <row r="58">
      <c r="A58" s="37"/>
      <c r="B58" s="37"/>
      <c r="C58" s="37"/>
      <c r="D58" s="37"/>
      <c r="E58" s="36"/>
      <c r="F58" s="36"/>
      <c r="G58" s="36" t="str">
        <f t="shared" si="2"/>
        <v/>
      </c>
    </row>
    <row r="59">
      <c r="A59" s="37"/>
      <c r="B59" s="37"/>
      <c r="C59" s="37"/>
      <c r="D59" s="37"/>
      <c r="E59" s="36"/>
      <c r="F59" s="36"/>
      <c r="G59" s="36" t="str">
        <f t="shared" si="2"/>
        <v/>
      </c>
    </row>
    <row r="60">
      <c r="A60" s="37"/>
      <c r="B60" s="37"/>
      <c r="C60" s="37"/>
      <c r="D60" s="37"/>
      <c r="E60" s="36"/>
      <c r="F60" s="36"/>
      <c r="G60" s="36" t="str">
        <f t="shared" si="2"/>
        <v/>
      </c>
    </row>
    <row r="61">
      <c r="A61" s="37"/>
      <c r="B61" s="37"/>
      <c r="C61" s="37"/>
      <c r="D61" s="37"/>
      <c r="E61" s="36"/>
      <c r="F61" s="36"/>
      <c r="G61" s="36" t="str">
        <f t="shared" si="2"/>
        <v/>
      </c>
    </row>
    <row r="62">
      <c r="A62" s="37"/>
      <c r="B62" s="37"/>
      <c r="C62" s="37"/>
      <c r="D62" s="37"/>
      <c r="E62" s="36"/>
      <c r="F62" s="36"/>
      <c r="G62" s="36" t="str">
        <f t="shared" si="2"/>
        <v/>
      </c>
    </row>
    <row r="63">
      <c r="A63" s="37"/>
      <c r="B63" s="37"/>
      <c r="C63" s="37"/>
      <c r="D63" s="37"/>
      <c r="E63" s="36"/>
      <c r="F63" s="36"/>
      <c r="G63" s="36" t="str">
        <f t="shared" si="2"/>
        <v/>
      </c>
    </row>
    <row r="64">
      <c r="A64" s="37"/>
      <c r="B64" s="37"/>
      <c r="C64" s="37"/>
      <c r="D64" s="37"/>
      <c r="E64" s="36"/>
      <c r="F64" s="36"/>
      <c r="G64" s="36" t="str">
        <f t="shared" si="2"/>
        <v/>
      </c>
    </row>
    <row r="65">
      <c r="A65" s="37"/>
      <c r="B65" s="37"/>
      <c r="C65" s="37"/>
      <c r="D65" s="37"/>
      <c r="E65" s="36"/>
      <c r="F65" s="36"/>
      <c r="G65" s="36" t="str">
        <f t="shared" si="2"/>
        <v/>
      </c>
    </row>
    <row r="66">
      <c r="A66" s="37"/>
      <c r="B66" s="37"/>
      <c r="C66" s="37"/>
      <c r="D66" s="37"/>
      <c r="E66" s="36"/>
      <c r="F66" s="36"/>
      <c r="G66" s="36" t="str">
        <f t="shared" si="2"/>
        <v/>
      </c>
    </row>
    <row r="67">
      <c r="A67" s="37"/>
      <c r="B67" s="37"/>
      <c r="C67" s="37"/>
      <c r="D67" s="37"/>
      <c r="E67" s="36"/>
      <c r="F67" s="36"/>
      <c r="G67" s="36" t="str">
        <f t="shared" si="2"/>
        <v/>
      </c>
    </row>
    <row r="68">
      <c r="A68" s="37"/>
      <c r="B68" s="37"/>
      <c r="C68" s="37"/>
      <c r="D68" s="37"/>
      <c r="E68" s="36"/>
      <c r="F68" s="36"/>
      <c r="G68" s="36" t="str">
        <f t="shared" si="2"/>
        <v/>
      </c>
    </row>
    <row r="69">
      <c r="A69" s="37"/>
      <c r="B69" s="37"/>
      <c r="C69" s="37"/>
      <c r="D69" s="37"/>
      <c r="E69" s="36"/>
      <c r="F69" s="36"/>
      <c r="G69" s="36" t="str">
        <f t="shared" si="2"/>
        <v/>
      </c>
    </row>
    <row r="70">
      <c r="A70" s="37"/>
      <c r="B70" s="37"/>
      <c r="C70" s="37"/>
      <c r="D70" s="37"/>
      <c r="E70" s="36"/>
      <c r="F70" s="36"/>
      <c r="G70" s="36" t="str">
        <f t="shared" si="2"/>
        <v/>
      </c>
    </row>
    <row r="71">
      <c r="A71" s="37"/>
      <c r="B71" s="37"/>
      <c r="C71" s="37"/>
      <c r="D71" s="37"/>
      <c r="E71" s="36"/>
      <c r="F71" s="36"/>
      <c r="G71" s="36" t="str">
        <f t="shared" si="2"/>
        <v/>
      </c>
    </row>
    <row r="72">
      <c r="A72" s="37"/>
      <c r="B72" s="37"/>
      <c r="C72" s="37"/>
      <c r="D72" s="37"/>
      <c r="E72" s="36"/>
      <c r="F72" s="36"/>
      <c r="G72" s="36" t="str">
        <f t="shared" si="2"/>
        <v/>
      </c>
    </row>
    <row r="73">
      <c r="A73" s="37"/>
      <c r="B73" s="37"/>
      <c r="C73" s="37"/>
      <c r="D73" s="37"/>
      <c r="E73" s="36"/>
      <c r="F73" s="36"/>
      <c r="G73" s="36" t="str">
        <f t="shared" si="2"/>
        <v/>
      </c>
    </row>
    <row r="74">
      <c r="A74" s="37"/>
      <c r="B74" s="37"/>
      <c r="C74" s="37"/>
      <c r="D74" s="37"/>
      <c r="E74" s="36"/>
      <c r="F74" s="36"/>
      <c r="G74" s="36" t="str">
        <f t="shared" si="2"/>
        <v/>
      </c>
    </row>
    <row r="75">
      <c r="A75" s="37"/>
      <c r="B75" s="37"/>
      <c r="C75" s="37"/>
      <c r="D75" s="37"/>
      <c r="E75" s="36"/>
      <c r="F75" s="36"/>
      <c r="G75" s="36" t="str">
        <f t="shared" si="2"/>
        <v/>
      </c>
    </row>
    <row r="76">
      <c r="A76" s="37"/>
      <c r="B76" s="37"/>
      <c r="C76" s="37"/>
      <c r="D76" s="37"/>
      <c r="E76" s="36"/>
      <c r="F76" s="36"/>
      <c r="G76" s="36" t="str">
        <f t="shared" si="2"/>
        <v/>
      </c>
    </row>
    <row r="77">
      <c r="A77" s="37"/>
      <c r="B77" s="37"/>
      <c r="C77" s="37"/>
      <c r="D77" s="37"/>
      <c r="E77" s="36"/>
      <c r="F77" s="36"/>
      <c r="G77" s="36" t="str">
        <f t="shared" si="2"/>
        <v/>
      </c>
    </row>
    <row r="78">
      <c r="A78" s="37"/>
      <c r="B78" s="37"/>
      <c r="C78" s="37"/>
      <c r="D78" s="37"/>
      <c r="E78" s="36"/>
      <c r="F78" s="36"/>
      <c r="G78" s="36" t="str">
        <f t="shared" si="2"/>
        <v/>
      </c>
    </row>
    <row r="79">
      <c r="A79" s="37"/>
      <c r="B79" s="37"/>
      <c r="C79" s="37"/>
      <c r="D79" s="37"/>
      <c r="E79" s="36"/>
      <c r="F79" s="36"/>
      <c r="G79" s="36" t="str">
        <f t="shared" si="2"/>
        <v/>
      </c>
    </row>
    <row r="80">
      <c r="A80" s="37"/>
      <c r="B80" s="37"/>
      <c r="C80" s="37"/>
      <c r="D80" s="37"/>
      <c r="E80" s="36"/>
      <c r="F80" s="36"/>
      <c r="G80" s="36" t="str">
        <f t="shared" si="2"/>
        <v/>
      </c>
    </row>
    <row r="81">
      <c r="A81" s="37"/>
      <c r="B81" s="37"/>
      <c r="C81" s="37"/>
      <c r="D81" s="37"/>
      <c r="E81" s="36"/>
      <c r="F81" s="36"/>
      <c r="G81" s="36" t="str">
        <f t="shared" si="2"/>
        <v/>
      </c>
    </row>
    <row r="82">
      <c r="A82" s="37"/>
      <c r="B82" s="37"/>
      <c r="C82" s="37"/>
      <c r="D82" s="37"/>
      <c r="E82" s="36"/>
      <c r="F82" s="36"/>
      <c r="G82" s="36" t="str">
        <f t="shared" si="2"/>
        <v/>
      </c>
    </row>
    <row r="83">
      <c r="A83" s="37"/>
      <c r="B83" s="37"/>
      <c r="C83" s="37"/>
      <c r="D83" s="37"/>
      <c r="E83" s="36"/>
      <c r="F83" s="36"/>
      <c r="G83" s="36" t="str">
        <f t="shared" si="2"/>
        <v/>
      </c>
    </row>
    <row r="84">
      <c r="A84" s="37"/>
      <c r="B84" s="37"/>
      <c r="C84" s="37"/>
      <c r="D84" s="37"/>
      <c r="E84" s="36"/>
      <c r="F84" s="36"/>
      <c r="G84" s="36" t="str">
        <f t="shared" si="2"/>
        <v/>
      </c>
    </row>
    <row r="85">
      <c r="A85" s="37"/>
      <c r="B85" s="37"/>
      <c r="C85" s="37"/>
      <c r="D85" s="37"/>
      <c r="E85" s="36"/>
      <c r="F85" s="36"/>
      <c r="G85" s="36" t="str">
        <f t="shared" si="2"/>
        <v/>
      </c>
    </row>
    <row r="86">
      <c r="A86" s="37"/>
      <c r="B86" s="37"/>
      <c r="C86" s="37"/>
      <c r="D86" s="37"/>
      <c r="E86" s="36"/>
      <c r="F86" s="36"/>
      <c r="G86" s="36" t="str">
        <f t="shared" si="2"/>
        <v/>
      </c>
    </row>
    <row r="87">
      <c r="A87" s="37"/>
      <c r="B87" s="37"/>
      <c r="C87" s="37"/>
      <c r="D87" s="37"/>
      <c r="E87" s="36"/>
      <c r="F87" s="36"/>
      <c r="G87" s="36" t="str">
        <f t="shared" si="2"/>
        <v/>
      </c>
    </row>
    <row r="88">
      <c r="A88" s="37"/>
      <c r="B88" s="37"/>
      <c r="C88" s="37"/>
      <c r="D88" s="37"/>
      <c r="E88" s="36"/>
      <c r="F88" s="36"/>
      <c r="G88" s="36" t="str">
        <f t="shared" si="2"/>
        <v/>
      </c>
    </row>
    <row r="89">
      <c r="A89" s="37"/>
      <c r="B89" s="37"/>
      <c r="C89" s="37"/>
      <c r="D89" s="37"/>
      <c r="E89" s="36"/>
      <c r="F89" s="36"/>
      <c r="G89" s="36" t="str">
        <f t="shared" si="2"/>
        <v/>
      </c>
    </row>
    <row r="90">
      <c r="A90" s="37"/>
      <c r="B90" s="37"/>
      <c r="C90" s="37"/>
      <c r="D90" s="37"/>
      <c r="E90" s="36"/>
      <c r="F90" s="36"/>
      <c r="G90" s="36" t="str">
        <f t="shared" si="2"/>
        <v/>
      </c>
    </row>
    <row r="91">
      <c r="A91" s="37"/>
      <c r="B91" s="37"/>
      <c r="C91" s="37"/>
      <c r="D91" s="37"/>
      <c r="E91" s="36"/>
      <c r="F91" s="36"/>
      <c r="G91" s="36" t="str">
        <f t="shared" si="2"/>
        <v/>
      </c>
    </row>
    <row r="92">
      <c r="A92" s="37"/>
      <c r="B92" s="37"/>
      <c r="C92" s="37"/>
      <c r="D92" s="37"/>
      <c r="E92" s="36"/>
      <c r="F92" s="36"/>
      <c r="G92" s="36" t="str">
        <f t="shared" si="2"/>
        <v/>
      </c>
    </row>
    <row r="93">
      <c r="A93" s="37"/>
      <c r="B93" s="37"/>
      <c r="C93" s="37"/>
      <c r="D93" s="37"/>
      <c r="E93" s="36"/>
      <c r="F93" s="36"/>
      <c r="G93" s="36" t="str">
        <f t="shared" si="2"/>
        <v/>
      </c>
    </row>
    <row r="94">
      <c r="A94" s="37"/>
      <c r="B94" s="37"/>
      <c r="C94" s="37"/>
      <c r="D94" s="37"/>
      <c r="E94" s="36"/>
      <c r="F94" s="36"/>
      <c r="G94" s="36" t="str">
        <f t="shared" si="2"/>
        <v/>
      </c>
    </row>
    <row r="95">
      <c r="A95" s="37"/>
      <c r="B95" s="37"/>
      <c r="C95" s="37"/>
      <c r="D95" s="37"/>
      <c r="E95" s="36"/>
      <c r="F95" s="36"/>
      <c r="G95" s="36" t="str">
        <f t="shared" si="2"/>
        <v/>
      </c>
    </row>
    <row r="96">
      <c r="A96" s="37"/>
      <c r="B96" s="37"/>
      <c r="C96" s="37"/>
      <c r="D96" s="37"/>
      <c r="E96" s="36"/>
      <c r="F96" s="36"/>
      <c r="G96" s="36" t="str">
        <f t="shared" si="2"/>
        <v/>
      </c>
    </row>
    <row r="97">
      <c r="A97" s="37"/>
      <c r="B97" s="37"/>
      <c r="C97" s="37"/>
      <c r="D97" s="37"/>
      <c r="E97" s="36"/>
      <c r="F97" s="36"/>
      <c r="G97" s="36" t="str">
        <f t="shared" si="2"/>
        <v/>
      </c>
    </row>
    <row r="98">
      <c r="A98" s="37"/>
      <c r="B98" s="37"/>
      <c r="C98" s="37"/>
      <c r="D98" s="37"/>
      <c r="E98" s="36"/>
      <c r="F98" s="36"/>
      <c r="G98" s="36" t="str">
        <f t="shared" si="2"/>
        <v/>
      </c>
    </row>
    <row r="99">
      <c r="A99" s="37"/>
      <c r="B99" s="37"/>
      <c r="C99" s="37"/>
      <c r="D99" s="37"/>
      <c r="E99" s="36"/>
      <c r="F99" s="36"/>
      <c r="G99" s="36" t="str">
        <f t="shared" si="2"/>
        <v/>
      </c>
    </row>
    <row r="100">
      <c r="A100" s="37"/>
      <c r="B100" s="37"/>
      <c r="C100" s="37"/>
      <c r="D100" s="37"/>
      <c r="E100" s="36"/>
      <c r="F100" s="36"/>
      <c r="G100" s="36" t="str">
        <f t="shared" si="2"/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>
        <f t="shared" ref="E102:F102" si="3">SUM(E7:E101)</f>
        <v>309039.55</v>
      </c>
      <c r="F102" s="55">
        <f t="shared" si="3"/>
        <v>0</v>
      </c>
      <c r="G102" s="56"/>
    </row>
  </sheetData>
  <mergeCells count="2">
    <mergeCell ref="A1:G1"/>
    <mergeCell ref="A5:G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1650</v>
      </c>
    </row>
    <row r="3">
      <c r="A3" s="57" t="s">
        <v>110</v>
      </c>
      <c r="B3" s="58">
        <v>-289792.79000000027</v>
      </c>
      <c r="D3" s="57" t="s">
        <v>111</v>
      </c>
      <c r="E3" s="59">
        <f>-17267.64+SUM(E7:E1000)-SUM(F7:F1000)</f>
        <v>-61737.78</v>
      </c>
    </row>
    <row r="5">
      <c r="A5" s="7" t="s">
        <v>121</v>
      </c>
    </row>
    <row r="6">
      <c r="A6" s="41" t="s">
        <v>113</v>
      </c>
      <c r="B6" s="41" t="s">
        <v>122</v>
      </c>
      <c r="C6" s="41" t="s">
        <v>115</v>
      </c>
      <c r="D6" s="41" t="s">
        <v>123</v>
      </c>
      <c r="E6" s="41" t="s">
        <v>124</v>
      </c>
      <c r="F6" s="41" t="s">
        <v>125</v>
      </c>
      <c r="G6" s="41" t="s">
        <v>119</v>
      </c>
    </row>
    <row r="7">
      <c r="A7" s="63" t="s">
        <v>1066</v>
      </c>
      <c r="B7" s="60" t="s">
        <v>1164</v>
      </c>
      <c r="C7" s="60" t="s">
        <v>1165</v>
      </c>
      <c r="D7" s="37"/>
      <c r="E7" s="68">
        <v>0.0</v>
      </c>
      <c r="F7" s="68">
        <v>1.0</v>
      </c>
      <c r="G7" s="36">
        <f>IF(AND(E7="",F7=""),"",B3+E7-F7)</f>
        <v>-289793.79</v>
      </c>
    </row>
    <row r="8">
      <c r="A8" s="60" t="s">
        <v>1166</v>
      </c>
      <c r="B8" s="60" t="s">
        <v>1167</v>
      </c>
      <c r="C8" s="60" t="s">
        <v>1168</v>
      </c>
      <c r="D8" s="37"/>
      <c r="E8" s="68">
        <v>0.0</v>
      </c>
      <c r="F8" s="68">
        <v>2550.0</v>
      </c>
      <c r="G8" s="36">
        <f t="shared" ref="G8:G100" si="1">IF(AND(E8="",F8=""),"",G7+E8-F8)</f>
        <v>-292343.79</v>
      </c>
    </row>
    <row r="9">
      <c r="A9" s="69">
        <v>45690.0</v>
      </c>
      <c r="B9" s="60" t="s">
        <v>1169</v>
      </c>
      <c r="C9" s="60" t="s">
        <v>1160</v>
      </c>
      <c r="D9" s="37"/>
      <c r="E9" s="68">
        <v>0.0</v>
      </c>
      <c r="F9" s="68">
        <v>2500.0</v>
      </c>
      <c r="G9" s="36">
        <f t="shared" si="1"/>
        <v>-294843.79</v>
      </c>
    </row>
    <row r="10">
      <c r="A10" s="69">
        <v>45750.0</v>
      </c>
      <c r="B10" s="60" t="s">
        <v>1170</v>
      </c>
      <c r="C10" s="60" t="s">
        <v>1160</v>
      </c>
      <c r="D10" s="37"/>
      <c r="E10" s="68">
        <v>0.0</v>
      </c>
      <c r="F10" s="68">
        <v>2000.0</v>
      </c>
      <c r="G10" s="36">
        <f t="shared" si="1"/>
        <v>-296843.79</v>
      </c>
    </row>
    <row r="11">
      <c r="A11" s="63" t="s">
        <v>1171</v>
      </c>
      <c r="B11" s="85"/>
      <c r="C11" s="60" t="s">
        <v>1172</v>
      </c>
      <c r="D11" s="37"/>
      <c r="E11" s="68">
        <v>201.0</v>
      </c>
      <c r="F11" s="68">
        <v>0.0</v>
      </c>
      <c r="G11" s="36">
        <f t="shared" si="1"/>
        <v>-296642.79</v>
      </c>
    </row>
    <row r="12">
      <c r="A12" s="69">
        <v>45873.0</v>
      </c>
      <c r="B12" s="60" t="s">
        <v>1173</v>
      </c>
      <c r="C12" s="60" t="s">
        <v>1160</v>
      </c>
      <c r="D12" s="37"/>
      <c r="E12" s="68">
        <v>0.0</v>
      </c>
      <c r="F12" s="68">
        <v>1500.0</v>
      </c>
      <c r="G12" s="36">
        <f t="shared" si="1"/>
        <v>-298142.79</v>
      </c>
    </row>
    <row r="13">
      <c r="A13" s="69">
        <v>45965.0</v>
      </c>
      <c r="B13" s="60" t="s">
        <v>1174</v>
      </c>
      <c r="C13" s="60" t="s">
        <v>1175</v>
      </c>
      <c r="D13" s="37"/>
      <c r="E13" s="68">
        <v>0.0</v>
      </c>
      <c r="F13" s="68">
        <v>0.02</v>
      </c>
      <c r="G13" s="36">
        <f t="shared" si="1"/>
        <v>-298142.81</v>
      </c>
    </row>
    <row r="14">
      <c r="A14" s="60" t="s">
        <v>1176</v>
      </c>
      <c r="B14" s="60" t="s">
        <v>1177</v>
      </c>
      <c r="C14" s="60" t="s">
        <v>1160</v>
      </c>
      <c r="D14" s="37"/>
      <c r="E14" s="68">
        <v>0.0</v>
      </c>
      <c r="F14" s="68">
        <v>285.96</v>
      </c>
      <c r="G14" s="36">
        <f t="shared" si="1"/>
        <v>-298428.77</v>
      </c>
    </row>
    <row r="15">
      <c r="A15" s="60" t="s">
        <v>1176</v>
      </c>
      <c r="B15" s="60" t="s">
        <v>1178</v>
      </c>
      <c r="C15" s="60" t="s">
        <v>1160</v>
      </c>
      <c r="D15" s="37"/>
      <c r="E15" s="68">
        <v>0.0</v>
      </c>
      <c r="F15" s="68">
        <v>1380.0</v>
      </c>
      <c r="G15" s="36">
        <f t="shared" si="1"/>
        <v>-299808.77</v>
      </c>
    </row>
    <row r="16">
      <c r="A16" s="60" t="s">
        <v>1179</v>
      </c>
      <c r="B16" s="60" t="s">
        <v>1180</v>
      </c>
      <c r="C16" s="60" t="s">
        <v>1160</v>
      </c>
      <c r="D16" s="37"/>
      <c r="E16" s="68">
        <v>0.0</v>
      </c>
      <c r="F16" s="68">
        <v>1000.0</v>
      </c>
      <c r="G16" s="36">
        <f t="shared" si="1"/>
        <v>-300808.77</v>
      </c>
    </row>
    <row r="17">
      <c r="A17" s="80">
        <v>45301.0</v>
      </c>
      <c r="B17" s="60" t="s">
        <v>1181</v>
      </c>
      <c r="C17" s="60" t="s">
        <v>1182</v>
      </c>
      <c r="D17" s="37"/>
      <c r="E17" s="79"/>
      <c r="F17" s="68">
        <v>4000.0</v>
      </c>
      <c r="G17" s="36">
        <f t="shared" si="1"/>
        <v>-304808.77</v>
      </c>
    </row>
    <row r="18">
      <c r="A18" s="69">
        <v>45721.0</v>
      </c>
      <c r="B18" s="60" t="s">
        <v>1183</v>
      </c>
      <c r="C18" s="60" t="s">
        <v>1184</v>
      </c>
      <c r="D18" s="37"/>
      <c r="E18" s="68">
        <v>0.0</v>
      </c>
      <c r="F18" s="68">
        <v>0.01</v>
      </c>
      <c r="G18" s="36">
        <f t="shared" si="1"/>
        <v>-304808.78</v>
      </c>
    </row>
    <row r="19">
      <c r="A19" s="69">
        <v>45782.0</v>
      </c>
      <c r="B19" s="60" t="s">
        <v>1185</v>
      </c>
      <c r="C19" s="60" t="s">
        <v>1168</v>
      </c>
      <c r="D19" s="37"/>
      <c r="E19" s="68">
        <v>0.0</v>
      </c>
      <c r="F19" s="68">
        <v>1600.0</v>
      </c>
      <c r="G19" s="36">
        <f t="shared" si="1"/>
        <v>-306408.78</v>
      </c>
    </row>
    <row r="20">
      <c r="A20" s="69">
        <v>45996.0</v>
      </c>
      <c r="B20" s="60" t="s">
        <v>1186</v>
      </c>
      <c r="C20" s="60" t="s">
        <v>1168</v>
      </c>
      <c r="D20" s="37"/>
      <c r="E20" s="68">
        <v>0.0</v>
      </c>
      <c r="F20" s="68">
        <v>1000.0</v>
      </c>
      <c r="G20" s="36">
        <f t="shared" si="1"/>
        <v>-307408.78</v>
      </c>
    </row>
    <row r="21">
      <c r="A21" s="60" t="s">
        <v>1187</v>
      </c>
      <c r="B21" s="60" t="s">
        <v>1188</v>
      </c>
      <c r="C21" s="60" t="s">
        <v>1168</v>
      </c>
      <c r="D21" s="37"/>
      <c r="E21" s="68">
        <v>0.0</v>
      </c>
      <c r="F21" s="68">
        <v>1389.0</v>
      </c>
      <c r="G21" s="36">
        <f t="shared" si="1"/>
        <v>-308797.78</v>
      </c>
    </row>
    <row r="22">
      <c r="A22" s="60" t="s">
        <v>1189</v>
      </c>
      <c r="B22" s="60" t="s">
        <v>1190</v>
      </c>
      <c r="C22" s="60" t="s">
        <v>1191</v>
      </c>
      <c r="D22" s="37"/>
      <c r="E22" s="68">
        <v>0.0</v>
      </c>
      <c r="F22" s="68">
        <v>523.92</v>
      </c>
      <c r="G22" s="36">
        <f t="shared" si="1"/>
        <v>-309321.7</v>
      </c>
    </row>
    <row r="23">
      <c r="A23" s="60" t="s">
        <v>1192</v>
      </c>
      <c r="B23" s="60" t="s">
        <v>1193</v>
      </c>
      <c r="C23" s="60" t="s">
        <v>1168</v>
      </c>
      <c r="D23" s="37"/>
      <c r="E23" s="68">
        <v>0.0</v>
      </c>
      <c r="F23" s="68">
        <v>1000.0</v>
      </c>
      <c r="G23" s="36">
        <f t="shared" si="1"/>
        <v>-310321.7</v>
      </c>
    </row>
    <row r="24">
      <c r="A24" s="60" t="s">
        <v>1194</v>
      </c>
      <c r="B24" s="60" t="s">
        <v>1195</v>
      </c>
      <c r="C24" s="60" t="s">
        <v>1168</v>
      </c>
      <c r="D24" s="37"/>
      <c r="E24" s="68">
        <v>0.0</v>
      </c>
      <c r="F24" s="68">
        <v>1488.0</v>
      </c>
      <c r="G24" s="36">
        <f t="shared" si="1"/>
        <v>-311809.7</v>
      </c>
    </row>
    <row r="25">
      <c r="A25" s="69">
        <v>45783.0</v>
      </c>
      <c r="B25" s="60" t="s">
        <v>1196</v>
      </c>
      <c r="C25" s="60" t="s">
        <v>1160</v>
      </c>
      <c r="D25" s="37"/>
      <c r="E25" s="68">
        <v>0.0</v>
      </c>
      <c r="F25" s="68">
        <v>1005.88</v>
      </c>
      <c r="G25" s="36">
        <f t="shared" si="1"/>
        <v>-312815.58</v>
      </c>
    </row>
    <row r="26">
      <c r="A26" s="69">
        <v>45906.0</v>
      </c>
      <c r="B26" s="60" t="s">
        <v>1197</v>
      </c>
      <c r="C26" s="60" t="s">
        <v>1191</v>
      </c>
      <c r="D26" s="37"/>
      <c r="E26" s="68">
        <v>0.0</v>
      </c>
      <c r="F26" s="68">
        <v>108.98</v>
      </c>
      <c r="G26" s="36">
        <f t="shared" si="1"/>
        <v>-312924.56</v>
      </c>
    </row>
    <row r="27">
      <c r="A27" s="60" t="s">
        <v>1198</v>
      </c>
      <c r="B27" s="60" t="s">
        <v>1199</v>
      </c>
      <c r="C27" s="60" t="s">
        <v>1160</v>
      </c>
      <c r="D27" s="37"/>
      <c r="E27" s="68">
        <v>0.0</v>
      </c>
      <c r="F27" s="68">
        <v>1020.84</v>
      </c>
      <c r="G27" s="36">
        <f t="shared" si="1"/>
        <v>-313945.4</v>
      </c>
    </row>
    <row r="28">
      <c r="A28" s="60" t="s">
        <v>1200</v>
      </c>
      <c r="B28" s="60" t="s">
        <v>1201</v>
      </c>
      <c r="C28" s="60" t="s">
        <v>1202</v>
      </c>
      <c r="D28" s="37"/>
      <c r="E28" s="68">
        <v>0.0</v>
      </c>
      <c r="F28" s="68">
        <v>0.01</v>
      </c>
      <c r="G28" s="36">
        <f t="shared" si="1"/>
        <v>-313945.41</v>
      </c>
    </row>
    <row r="29">
      <c r="A29" s="63" t="s">
        <v>1084</v>
      </c>
      <c r="B29" s="60" t="s">
        <v>1203</v>
      </c>
      <c r="C29" s="60" t="s">
        <v>1160</v>
      </c>
      <c r="D29" s="37"/>
      <c r="E29" s="68">
        <v>0.0</v>
      </c>
      <c r="F29" s="68">
        <v>290.0</v>
      </c>
      <c r="G29" s="36">
        <f t="shared" si="1"/>
        <v>-314235.41</v>
      </c>
    </row>
    <row r="30">
      <c r="A30" s="63" t="s">
        <v>1204</v>
      </c>
      <c r="B30" s="85"/>
      <c r="C30" s="60" t="s">
        <v>1205</v>
      </c>
      <c r="D30" s="37"/>
      <c r="E30" s="68">
        <v>0.0</v>
      </c>
      <c r="F30" s="68">
        <v>29.0</v>
      </c>
      <c r="G30" s="36">
        <f t="shared" si="1"/>
        <v>-314264.41</v>
      </c>
    </row>
    <row r="31">
      <c r="A31" s="60" t="s">
        <v>1473</v>
      </c>
      <c r="B31" s="60" t="s">
        <v>1474</v>
      </c>
      <c r="C31" s="60" t="s">
        <v>1475</v>
      </c>
      <c r="D31" s="37"/>
      <c r="E31" s="68">
        <v>0.0</v>
      </c>
      <c r="F31" s="68">
        <v>613.0</v>
      </c>
      <c r="G31" s="36">
        <f t="shared" si="1"/>
        <v>-314877.41</v>
      </c>
    </row>
    <row r="32">
      <c r="A32" s="60" t="s">
        <v>1476</v>
      </c>
      <c r="B32" s="60" t="s">
        <v>1477</v>
      </c>
      <c r="C32" s="60" t="s">
        <v>1478</v>
      </c>
      <c r="D32" s="37"/>
      <c r="E32" s="68">
        <v>0.0</v>
      </c>
      <c r="F32" s="68">
        <v>3111.0</v>
      </c>
      <c r="G32" s="36">
        <f t="shared" si="1"/>
        <v>-317988.41</v>
      </c>
    </row>
    <row r="33">
      <c r="A33" s="60" t="s">
        <v>1206</v>
      </c>
      <c r="B33" s="60" t="s">
        <v>1207</v>
      </c>
      <c r="C33" s="60" t="s">
        <v>1208</v>
      </c>
      <c r="D33" s="37"/>
      <c r="E33" s="68">
        <v>3938.28</v>
      </c>
      <c r="F33" s="68">
        <v>0.0</v>
      </c>
      <c r="G33" s="36">
        <f t="shared" si="1"/>
        <v>-314050.13</v>
      </c>
    </row>
    <row r="34">
      <c r="A34" s="60" t="s">
        <v>1206</v>
      </c>
      <c r="B34" s="60" t="s">
        <v>1207</v>
      </c>
      <c r="C34" s="60" t="s">
        <v>1208</v>
      </c>
      <c r="D34" s="37"/>
      <c r="E34" s="68">
        <v>3938.28</v>
      </c>
      <c r="F34" s="68">
        <v>0.0</v>
      </c>
      <c r="G34" s="36">
        <f t="shared" si="1"/>
        <v>-310111.85</v>
      </c>
    </row>
    <row r="35">
      <c r="A35" s="63" t="s">
        <v>1479</v>
      </c>
      <c r="B35" s="60" t="s">
        <v>1480</v>
      </c>
      <c r="C35" s="60" t="s">
        <v>1478</v>
      </c>
      <c r="D35" s="37"/>
      <c r="E35" s="68">
        <v>0.0</v>
      </c>
      <c r="F35" s="68">
        <v>579.0</v>
      </c>
      <c r="G35" s="36">
        <f t="shared" si="1"/>
        <v>-310690.85</v>
      </c>
    </row>
    <row r="36">
      <c r="A36" s="69">
        <v>45755.0</v>
      </c>
      <c r="B36" s="60" t="s">
        <v>1651</v>
      </c>
      <c r="C36" s="60" t="s">
        <v>1160</v>
      </c>
      <c r="D36" s="37"/>
      <c r="E36" s="68">
        <v>0.0</v>
      </c>
      <c r="F36" s="68">
        <v>789.88</v>
      </c>
      <c r="G36" s="36">
        <f t="shared" si="1"/>
        <v>-311480.73</v>
      </c>
    </row>
    <row r="37">
      <c r="A37" s="69">
        <v>45785.0</v>
      </c>
      <c r="B37" s="60" t="s">
        <v>1652</v>
      </c>
      <c r="C37" s="60" t="s">
        <v>1653</v>
      </c>
      <c r="D37" s="37"/>
      <c r="E37" s="68">
        <v>0.0</v>
      </c>
      <c r="F37" s="68">
        <v>107.0</v>
      </c>
      <c r="G37" s="36">
        <f t="shared" si="1"/>
        <v>-311587.73</v>
      </c>
    </row>
    <row r="38">
      <c r="A38" s="69">
        <v>45816.0</v>
      </c>
      <c r="B38" s="60" t="s">
        <v>1654</v>
      </c>
      <c r="C38" s="60" t="s">
        <v>1530</v>
      </c>
      <c r="D38" s="37"/>
      <c r="E38" s="68">
        <v>0.0</v>
      </c>
      <c r="F38" s="68">
        <v>3200.0</v>
      </c>
      <c r="G38" s="36">
        <f t="shared" si="1"/>
        <v>-314787.73</v>
      </c>
    </row>
    <row r="39">
      <c r="A39" s="69">
        <v>45816.0</v>
      </c>
      <c r="B39" s="60" t="s">
        <v>1655</v>
      </c>
      <c r="C39" s="60" t="s">
        <v>1656</v>
      </c>
      <c r="D39" s="37"/>
      <c r="E39" s="68">
        <v>0.0</v>
      </c>
      <c r="F39" s="68">
        <v>2754.0</v>
      </c>
      <c r="G39" s="36">
        <f t="shared" si="1"/>
        <v>-317541.73</v>
      </c>
    </row>
    <row r="40">
      <c r="A40" s="69">
        <v>45877.0</v>
      </c>
      <c r="B40" s="60" t="s">
        <v>1657</v>
      </c>
      <c r="C40" s="60" t="s">
        <v>1653</v>
      </c>
      <c r="D40" s="37"/>
      <c r="E40" s="68">
        <v>0.0</v>
      </c>
      <c r="F40" s="68">
        <v>462.0</v>
      </c>
      <c r="G40" s="36">
        <f t="shared" si="1"/>
        <v>-318003.73</v>
      </c>
    </row>
    <row r="41">
      <c r="A41" s="69">
        <v>45938.0</v>
      </c>
      <c r="B41" s="60" t="s">
        <v>1658</v>
      </c>
      <c r="C41" s="60" t="s">
        <v>1653</v>
      </c>
      <c r="D41" s="37"/>
      <c r="E41" s="68">
        <v>0.0</v>
      </c>
      <c r="F41" s="68">
        <v>799.0</v>
      </c>
      <c r="G41" s="36">
        <f t="shared" si="1"/>
        <v>-318802.73</v>
      </c>
    </row>
    <row r="42">
      <c r="A42" s="69">
        <v>45999.0</v>
      </c>
      <c r="B42" s="60" t="s">
        <v>1659</v>
      </c>
      <c r="C42" s="60" t="s">
        <v>1656</v>
      </c>
      <c r="D42" s="37"/>
      <c r="E42" s="68">
        <v>0.0</v>
      </c>
      <c r="F42" s="68">
        <v>607.0</v>
      </c>
      <c r="G42" s="36">
        <f t="shared" si="1"/>
        <v>-319409.73</v>
      </c>
    </row>
    <row r="43">
      <c r="A43" s="69">
        <v>45999.0</v>
      </c>
      <c r="B43" s="60" t="s">
        <v>1481</v>
      </c>
      <c r="C43" s="60" t="s">
        <v>1160</v>
      </c>
      <c r="D43" s="37"/>
      <c r="E43" s="68">
        <v>0.0</v>
      </c>
      <c r="F43" s="68">
        <v>681.03</v>
      </c>
      <c r="G43" s="36">
        <f t="shared" si="1"/>
        <v>-320090.76</v>
      </c>
    </row>
    <row r="44">
      <c r="A44" s="69">
        <v>45999.0</v>
      </c>
      <c r="B44" s="60" t="s">
        <v>1482</v>
      </c>
      <c r="C44" s="60" t="s">
        <v>1160</v>
      </c>
      <c r="D44" s="37"/>
      <c r="E44" s="68">
        <v>0.0</v>
      </c>
      <c r="F44" s="68">
        <v>804.26</v>
      </c>
      <c r="G44" s="36">
        <f t="shared" si="1"/>
        <v>-320895.02</v>
      </c>
    </row>
    <row r="45">
      <c r="A45" s="60" t="s">
        <v>1660</v>
      </c>
      <c r="B45" s="60" t="s">
        <v>1661</v>
      </c>
      <c r="C45" s="60" t="s">
        <v>1653</v>
      </c>
      <c r="D45" s="37"/>
      <c r="E45" s="68">
        <v>0.0</v>
      </c>
      <c r="F45" s="68">
        <v>935.0</v>
      </c>
      <c r="G45" s="36">
        <f t="shared" si="1"/>
        <v>-321830.02</v>
      </c>
    </row>
    <row r="46">
      <c r="A46" s="60" t="s">
        <v>1660</v>
      </c>
      <c r="B46" s="60" t="s">
        <v>1662</v>
      </c>
      <c r="C46" s="60" t="s">
        <v>1656</v>
      </c>
      <c r="D46" s="37"/>
      <c r="E46" s="68">
        <v>0.0</v>
      </c>
      <c r="F46" s="68">
        <v>124.0</v>
      </c>
      <c r="G46" s="36">
        <f t="shared" si="1"/>
        <v>-321954.02</v>
      </c>
    </row>
    <row r="47">
      <c r="A47" s="60" t="s">
        <v>1093</v>
      </c>
      <c r="B47" s="60" t="s">
        <v>1483</v>
      </c>
      <c r="C47" s="60" t="s">
        <v>1484</v>
      </c>
      <c r="D47" s="37"/>
      <c r="E47" s="68">
        <v>0.0</v>
      </c>
      <c r="F47" s="68">
        <v>460.0</v>
      </c>
      <c r="G47" s="36">
        <f t="shared" si="1"/>
        <v>-322414.02</v>
      </c>
    </row>
    <row r="48">
      <c r="A48" s="60" t="s">
        <v>1485</v>
      </c>
      <c r="B48" s="60" t="s">
        <v>1486</v>
      </c>
      <c r="C48" s="60" t="s">
        <v>1478</v>
      </c>
      <c r="D48" s="37"/>
      <c r="E48" s="68">
        <v>0.0</v>
      </c>
      <c r="F48" s="68">
        <v>511.0</v>
      </c>
      <c r="G48" s="36">
        <f t="shared" si="1"/>
        <v>-322925.02</v>
      </c>
    </row>
    <row r="49">
      <c r="A49" s="60" t="s">
        <v>1485</v>
      </c>
      <c r="B49" s="60" t="s">
        <v>1663</v>
      </c>
      <c r="C49" s="60" t="s">
        <v>1656</v>
      </c>
      <c r="D49" s="37"/>
      <c r="E49" s="68">
        <v>0.0</v>
      </c>
      <c r="F49" s="68">
        <v>2270.0</v>
      </c>
      <c r="G49" s="36">
        <f t="shared" si="1"/>
        <v>-325195.02</v>
      </c>
    </row>
    <row r="50">
      <c r="A50" s="60" t="s">
        <v>1487</v>
      </c>
      <c r="B50" s="60" t="s">
        <v>1664</v>
      </c>
      <c r="C50" s="60" t="s">
        <v>1557</v>
      </c>
      <c r="D50" s="37"/>
      <c r="E50" s="68">
        <v>6687.5</v>
      </c>
      <c r="F50" s="68">
        <v>0.0</v>
      </c>
      <c r="G50" s="36">
        <f t="shared" si="1"/>
        <v>-318507.52</v>
      </c>
    </row>
    <row r="51">
      <c r="A51" s="60" t="s">
        <v>1487</v>
      </c>
      <c r="B51" s="60" t="s">
        <v>1488</v>
      </c>
      <c r="C51" s="60" t="s">
        <v>1478</v>
      </c>
      <c r="D51" s="37"/>
      <c r="E51" s="68">
        <v>0.0</v>
      </c>
      <c r="F51" s="68">
        <v>300.0</v>
      </c>
      <c r="G51" s="36">
        <f t="shared" si="1"/>
        <v>-318807.52</v>
      </c>
    </row>
    <row r="52">
      <c r="A52" s="60" t="s">
        <v>1489</v>
      </c>
      <c r="B52" s="60" t="s">
        <v>1665</v>
      </c>
      <c r="C52" s="60" t="s">
        <v>1530</v>
      </c>
      <c r="D52" s="37"/>
      <c r="E52" s="68">
        <v>0.0</v>
      </c>
      <c r="F52" s="68">
        <v>2604.0</v>
      </c>
      <c r="G52" s="36">
        <f t="shared" si="1"/>
        <v>-321411.52</v>
      </c>
    </row>
    <row r="53">
      <c r="A53" s="60" t="s">
        <v>1489</v>
      </c>
      <c r="B53" s="60" t="s">
        <v>1490</v>
      </c>
      <c r="C53" s="60" t="s">
        <v>1160</v>
      </c>
      <c r="D53" s="37"/>
      <c r="E53" s="68">
        <v>0.0</v>
      </c>
      <c r="F53" s="68">
        <v>2237.16</v>
      </c>
      <c r="G53" s="36">
        <f t="shared" si="1"/>
        <v>-323648.68</v>
      </c>
    </row>
    <row r="54">
      <c r="A54" s="60" t="s">
        <v>1209</v>
      </c>
      <c r="B54" s="60" t="s">
        <v>1666</v>
      </c>
      <c r="C54" s="60" t="s">
        <v>1653</v>
      </c>
      <c r="D54" s="37"/>
      <c r="E54" s="68">
        <v>0.0</v>
      </c>
      <c r="F54" s="68">
        <v>58.0</v>
      </c>
      <c r="G54" s="36">
        <f t="shared" si="1"/>
        <v>-323706.68</v>
      </c>
    </row>
    <row r="55">
      <c r="A55" s="60" t="s">
        <v>1209</v>
      </c>
      <c r="B55" s="60" t="s">
        <v>1210</v>
      </c>
      <c r="C55" s="60" t="s">
        <v>1160</v>
      </c>
      <c r="D55" s="37"/>
      <c r="E55" s="68">
        <v>0.0</v>
      </c>
      <c r="F55" s="68">
        <v>607.92</v>
      </c>
      <c r="G55" s="36">
        <f t="shared" si="1"/>
        <v>-324314.6</v>
      </c>
    </row>
    <row r="56">
      <c r="A56" s="60" t="s">
        <v>1209</v>
      </c>
      <c r="B56" s="60" t="s">
        <v>1491</v>
      </c>
      <c r="C56" s="60" t="s">
        <v>1160</v>
      </c>
      <c r="D56" s="37"/>
      <c r="E56" s="68">
        <v>0.0</v>
      </c>
      <c r="F56" s="68">
        <v>494.02</v>
      </c>
      <c r="G56" s="36">
        <f t="shared" si="1"/>
        <v>-324808.62</v>
      </c>
    </row>
    <row r="57">
      <c r="A57" s="60" t="s">
        <v>1667</v>
      </c>
      <c r="B57" s="60" t="s">
        <v>1668</v>
      </c>
      <c r="C57" s="60" t="s">
        <v>1653</v>
      </c>
      <c r="D57" s="37"/>
      <c r="E57" s="68">
        <v>0.0</v>
      </c>
      <c r="F57" s="68">
        <v>465.0</v>
      </c>
      <c r="G57" s="36">
        <f t="shared" si="1"/>
        <v>-325273.62</v>
      </c>
    </row>
    <row r="58">
      <c r="A58" s="60" t="s">
        <v>1667</v>
      </c>
      <c r="B58" s="60" t="s">
        <v>1669</v>
      </c>
      <c r="C58" s="60" t="s">
        <v>1653</v>
      </c>
      <c r="D58" s="37"/>
      <c r="E58" s="68">
        <v>0.0</v>
      </c>
      <c r="F58" s="68">
        <v>5.0</v>
      </c>
      <c r="G58" s="36">
        <f t="shared" si="1"/>
        <v>-325278.62</v>
      </c>
    </row>
    <row r="59">
      <c r="A59" s="60" t="s">
        <v>1211</v>
      </c>
      <c r="B59" s="60" t="s">
        <v>1212</v>
      </c>
      <c r="C59" s="60" t="s">
        <v>1213</v>
      </c>
      <c r="D59" s="37"/>
      <c r="E59" s="68">
        <v>3938.28</v>
      </c>
      <c r="F59" s="68">
        <v>0.0</v>
      </c>
      <c r="G59" s="36">
        <f t="shared" si="1"/>
        <v>-321340.34</v>
      </c>
    </row>
    <row r="60">
      <c r="A60" s="60" t="s">
        <v>1211</v>
      </c>
      <c r="B60" s="60" t="s">
        <v>1212</v>
      </c>
      <c r="C60" s="60" t="s">
        <v>1214</v>
      </c>
      <c r="D60" s="37"/>
      <c r="E60" s="68">
        <v>3938.28</v>
      </c>
      <c r="F60" s="68">
        <v>0.0</v>
      </c>
      <c r="G60" s="36">
        <f t="shared" si="1"/>
        <v>-317402.06</v>
      </c>
    </row>
    <row r="61">
      <c r="A61" s="60" t="s">
        <v>1645</v>
      </c>
      <c r="B61" s="60" t="s">
        <v>1670</v>
      </c>
      <c r="C61" s="60" t="s">
        <v>1583</v>
      </c>
      <c r="D61" s="37"/>
      <c r="E61" s="68">
        <v>5599.69</v>
      </c>
      <c r="F61" s="68">
        <v>0.0</v>
      </c>
      <c r="G61" s="36">
        <f t="shared" si="1"/>
        <v>-311802.37</v>
      </c>
    </row>
    <row r="62">
      <c r="A62" s="60" t="s">
        <v>1645</v>
      </c>
      <c r="B62" s="60" t="s">
        <v>1671</v>
      </c>
      <c r="C62" s="60" t="s">
        <v>1583</v>
      </c>
      <c r="D62" s="37"/>
      <c r="E62" s="68">
        <v>0.0</v>
      </c>
      <c r="F62" s="68">
        <v>1597.45</v>
      </c>
      <c r="G62" s="36">
        <f t="shared" si="1"/>
        <v>-313399.82</v>
      </c>
    </row>
    <row r="63">
      <c r="A63" s="60" t="s">
        <v>1215</v>
      </c>
      <c r="B63" s="60" t="s">
        <v>1216</v>
      </c>
      <c r="C63" s="60" t="s">
        <v>1217</v>
      </c>
      <c r="D63" s="37"/>
      <c r="E63" s="68">
        <v>5000.0</v>
      </c>
      <c r="F63" s="68">
        <v>0.0</v>
      </c>
      <c r="G63" s="36">
        <f t="shared" si="1"/>
        <v>-308399.82</v>
      </c>
    </row>
    <row r="64">
      <c r="A64" s="60" t="s">
        <v>1215</v>
      </c>
      <c r="B64" s="60" t="s">
        <v>1492</v>
      </c>
      <c r="C64" s="60" t="s">
        <v>1493</v>
      </c>
      <c r="D64" s="37"/>
      <c r="E64" s="68">
        <v>0.0</v>
      </c>
      <c r="F64" s="68">
        <v>141.0</v>
      </c>
      <c r="G64" s="36">
        <f t="shared" si="1"/>
        <v>-308540.82</v>
      </c>
    </row>
    <row r="65">
      <c r="A65" s="60" t="s">
        <v>1215</v>
      </c>
      <c r="B65" s="60" t="s">
        <v>1672</v>
      </c>
      <c r="C65" s="60" t="s">
        <v>1493</v>
      </c>
      <c r="D65" s="37"/>
      <c r="E65" s="68">
        <v>0.0</v>
      </c>
      <c r="F65" s="68">
        <v>178.69</v>
      </c>
      <c r="G65" s="36">
        <f t="shared" si="1"/>
        <v>-308719.51</v>
      </c>
    </row>
    <row r="66">
      <c r="A66" s="60" t="s">
        <v>1215</v>
      </c>
      <c r="B66" s="60" t="s">
        <v>1673</v>
      </c>
      <c r="C66" s="60" t="s">
        <v>1493</v>
      </c>
      <c r="D66" s="37"/>
      <c r="E66" s="68">
        <v>0.0</v>
      </c>
      <c r="F66" s="68">
        <v>1935.82</v>
      </c>
      <c r="G66" s="36">
        <f t="shared" si="1"/>
        <v>-310655.33</v>
      </c>
    </row>
    <row r="67">
      <c r="A67" s="60" t="s">
        <v>1215</v>
      </c>
      <c r="B67" s="60" t="s">
        <v>1674</v>
      </c>
      <c r="C67" s="60" t="s">
        <v>1675</v>
      </c>
      <c r="D67" s="37"/>
      <c r="E67" s="68">
        <v>0.0</v>
      </c>
      <c r="F67" s="68">
        <v>1171.83</v>
      </c>
      <c r="G67" s="36">
        <f t="shared" si="1"/>
        <v>-311827.16</v>
      </c>
    </row>
    <row r="68">
      <c r="A68" s="60" t="s">
        <v>1215</v>
      </c>
      <c r="B68" s="60" t="s">
        <v>1676</v>
      </c>
      <c r="C68" s="60" t="s">
        <v>1675</v>
      </c>
      <c r="D68" s="37"/>
      <c r="E68" s="68">
        <v>0.0</v>
      </c>
      <c r="F68" s="68">
        <v>2213.7</v>
      </c>
      <c r="G68" s="36">
        <f t="shared" si="1"/>
        <v>-314040.86</v>
      </c>
    </row>
    <row r="69">
      <c r="A69" s="63" t="s">
        <v>1215</v>
      </c>
      <c r="B69" s="85"/>
      <c r="C69" s="60" t="s">
        <v>1218</v>
      </c>
      <c r="D69" s="37"/>
      <c r="E69" s="66">
        <v>1344.0</v>
      </c>
      <c r="F69" s="79"/>
      <c r="G69" s="36">
        <f t="shared" si="1"/>
        <v>-312696.86</v>
      </c>
    </row>
    <row r="70">
      <c r="A70" s="63" t="s">
        <v>1215</v>
      </c>
      <c r="B70" s="85"/>
      <c r="C70" s="60" t="s">
        <v>1218</v>
      </c>
      <c r="D70" s="37"/>
      <c r="E70" s="66">
        <v>276.0</v>
      </c>
      <c r="F70" s="79"/>
      <c r="G70" s="36">
        <f t="shared" si="1"/>
        <v>-312420.86</v>
      </c>
    </row>
    <row r="71">
      <c r="A71" s="63" t="s">
        <v>1215</v>
      </c>
      <c r="B71" s="85"/>
      <c r="C71" s="60" t="s">
        <v>1218</v>
      </c>
      <c r="D71" s="37"/>
      <c r="E71" s="66">
        <v>345.0</v>
      </c>
      <c r="F71" s="79"/>
      <c r="G71" s="36">
        <f t="shared" si="1"/>
        <v>-312075.86</v>
      </c>
    </row>
    <row r="72">
      <c r="A72" s="85"/>
      <c r="B72" s="85"/>
      <c r="C72" s="60" t="s">
        <v>1205</v>
      </c>
      <c r="D72" s="37"/>
      <c r="E72" s="66">
        <v>48.0</v>
      </c>
      <c r="F72" s="79"/>
      <c r="G72" s="36">
        <f t="shared" si="1"/>
        <v>-312027.86</v>
      </c>
    </row>
    <row r="73">
      <c r="A73" s="60"/>
      <c r="B73" s="60"/>
      <c r="C73" s="60"/>
      <c r="D73" s="37"/>
      <c r="E73" s="68"/>
      <c r="F73" s="68"/>
      <c r="G73" s="36" t="str">
        <f t="shared" si="1"/>
        <v/>
      </c>
    </row>
    <row r="74">
      <c r="A74" s="60"/>
      <c r="B74" s="60"/>
      <c r="C74" s="60"/>
      <c r="D74" s="37"/>
      <c r="E74" s="68"/>
      <c r="F74" s="68"/>
      <c r="G74" s="36" t="str">
        <f t="shared" si="1"/>
        <v/>
      </c>
    </row>
    <row r="75">
      <c r="A75" s="60"/>
      <c r="B75" s="60"/>
      <c r="C75" s="60"/>
      <c r="D75" s="37"/>
      <c r="E75" s="68"/>
      <c r="F75" s="68"/>
      <c r="G75" s="36" t="str">
        <f t="shared" si="1"/>
        <v/>
      </c>
    </row>
    <row r="76">
      <c r="A76" s="60"/>
      <c r="B76" s="60"/>
      <c r="C76" s="60"/>
      <c r="D76" s="37"/>
      <c r="E76" s="68"/>
      <c r="F76" s="68"/>
      <c r="G76" s="36" t="str">
        <f t="shared" si="1"/>
        <v/>
      </c>
    </row>
    <row r="77">
      <c r="A77" s="60"/>
      <c r="B77" s="60"/>
      <c r="C77" s="60"/>
      <c r="D77" s="37"/>
      <c r="E77" s="68"/>
      <c r="F77" s="68"/>
      <c r="G77" s="36" t="str">
        <f t="shared" si="1"/>
        <v/>
      </c>
    </row>
    <row r="78">
      <c r="A78" s="60"/>
      <c r="B78" s="60"/>
      <c r="C78" s="60"/>
      <c r="D78" s="37"/>
      <c r="E78" s="68"/>
      <c r="F78" s="68"/>
      <c r="G78" s="36" t="str">
        <f t="shared" si="1"/>
        <v/>
      </c>
    </row>
    <row r="79">
      <c r="A79" s="60"/>
      <c r="B79" s="60"/>
      <c r="C79" s="60"/>
      <c r="D79" s="37"/>
      <c r="E79" s="68"/>
      <c r="F79" s="68"/>
      <c r="G79" s="36" t="str">
        <f t="shared" si="1"/>
        <v/>
      </c>
    </row>
    <row r="80">
      <c r="A80" s="60"/>
      <c r="B80" s="60"/>
      <c r="C80" s="60"/>
      <c r="D80" s="37"/>
      <c r="E80" s="68"/>
      <c r="F80" s="68"/>
      <c r="G80" s="36" t="str">
        <f t="shared" si="1"/>
        <v/>
      </c>
    </row>
    <row r="81">
      <c r="A81" s="63"/>
      <c r="B81" s="70"/>
      <c r="C81" s="60"/>
      <c r="D81" s="37"/>
      <c r="E81" s="66"/>
      <c r="F81" s="79"/>
      <c r="G81" s="36" t="str">
        <f t="shared" si="1"/>
        <v/>
      </c>
    </row>
    <row r="82">
      <c r="A82" s="63"/>
      <c r="B82" s="70"/>
      <c r="C82" s="60"/>
      <c r="D82" s="37"/>
      <c r="E82" s="66"/>
      <c r="F82" s="79"/>
      <c r="G82" s="36" t="str">
        <f t="shared" si="1"/>
        <v/>
      </c>
    </row>
    <row r="83">
      <c r="A83" s="63"/>
      <c r="B83" s="70"/>
      <c r="C83" s="60"/>
      <c r="D83" s="37"/>
      <c r="E83" s="66"/>
      <c r="F83" s="79"/>
      <c r="G83" s="36" t="str">
        <f t="shared" si="1"/>
        <v/>
      </c>
    </row>
    <row r="84">
      <c r="A84" s="70"/>
      <c r="B84" s="70"/>
      <c r="C84" s="60"/>
      <c r="D84" s="37"/>
      <c r="E84" s="66"/>
      <c r="F84" s="79"/>
      <c r="G84" s="36" t="str">
        <f t="shared" si="1"/>
        <v/>
      </c>
    </row>
    <row r="85">
      <c r="A85" s="37"/>
      <c r="B85" s="37"/>
      <c r="C85" s="37"/>
      <c r="D85" s="37"/>
      <c r="E85" s="36"/>
      <c r="F85" s="36"/>
      <c r="G85" s="36" t="str">
        <f t="shared" si="1"/>
        <v/>
      </c>
    </row>
    <row r="86">
      <c r="A86" s="37"/>
      <c r="B86" s="37"/>
      <c r="C86" s="37"/>
      <c r="D86" s="37"/>
      <c r="E86" s="36"/>
      <c r="F86" s="36"/>
      <c r="G86" s="36" t="str">
        <f t="shared" si="1"/>
        <v/>
      </c>
    </row>
    <row r="87">
      <c r="A87" s="37"/>
      <c r="B87" s="37"/>
      <c r="C87" s="37"/>
      <c r="D87" s="37"/>
      <c r="E87" s="36"/>
      <c r="F87" s="36"/>
      <c r="G87" s="36" t="str">
        <f t="shared" si="1"/>
        <v/>
      </c>
    </row>
    <row r="88">
      <c r="A88" s="37"/>
      <c r="B88" s="37"/>
      <c r="C88" s="37"/>
      <c r="D88" s="37"/>
      <c r="E88" s="36"/>
      <c r="F88" s="36"/>
      <c r="G88" s="36" t="str">
        <f t="shared" si="1"/>
        <v/>
      </c>
    </row>
    <row r="89">
      <c r="A89" s="37"/>
      <c r="B89" s="37"/>
      <c r="C89" s="37"/>
      <c r="D89" s="37"/>
      <c r="E89" s="36"/>
      <c r="F89" s="36"/>
      <c r="G89" s="36" t="str">
        <f t="shared" si="1"/>
        <v/>
      </c>
    </row>
    <row r="90">
      <c r="A90" s="37"/>
      <c r="B90" s="37"/>
      <c r="C90" s="37"/>
      <c r="D90" s="37"/>
      <c r="E90" s="36"/>
      <c r="F90" s="36"/>
      <c r="G90" s="36" t="str">
        <f t="shared" si="1"/>
        <v/>
      </c>
    </row>
    <row r="91">
      <c r="A91" s="37"/>
      <c r="B91" s="37"/>
      <c r="C91" s="37"/>
      <c r="D91" s="37"/>
      <c r="E91" s="36"/>
      <c r="F91" s="36"/>
      <c r="G91" s="36" t="str">
        <f t="shared" si="1"/>
        <v/>
      </c>
    </row>
    <row r="92">
      <c r="A92" s="37"/>
      <c r="B92" s="37"/>
      <c r="C92" s="37"/>
      <c r="D92" s="37"/>
      <c r="E92" s="36"/>
      <c r="F92" s="36"/>
      <c r="G92" s="36" t="str">
        <f t="shared" si="1"/>
        <v/>
      </c>
    </row>
    <row r="93">
      <c r="A93" s="37"/>
      <c r="B93" s="37"/>
      <c r="C93" s="37"/>
      <c r="D93" s="37"/>
      <c r="E93" s="36"/>
      <c r="F93" s="36"/>
      <c r="G93" s="36" t="str">
        <f t="shared" si="1"/>
        <v/>
      </c>
    </row>
    <row r="94">
      <c r="A94" s="37"/>
      <c r="B94" s="37"/>
      <c r="C94" s="37"/>
      <c r="D94" s="37"/>
      <c r="E94" s="36"/>
      <c r="F94" s="36"/>
      <c r="G94" s="36" t="str">
        <f t="shared" si="1"/>
        <v/>
      </c>
    </row>
    <row r="95">
      <c r="A95" s="37"/>
      <c r="B95" s="37"/>
      <c r="C95" s="37"/>
      <c r="D95" s="37"/>
      <c r="E95" s="36"/>
      <c r="F95" s="36"/>
      <c r="G95" s="36" t="str">
        <f t="shared" si="1"/>
        <v/>
      </c>
    </row>
    <row r="96">
      <c r="A96" s="37"/>
      <c r="B96" s="37"/>
      <c r="C96" s="37"/>
      <c r="D96" s="37"/>
      <c r="E96" s="36"/>
      <c r="F96" s="36"/>
      <c r="G96" s="36" t="str">
        <f t="shared" si="1"/>
        <v/>
      </c>
    </row>
    <row r="97">
      <c r="A97" s="37"/>
      <c r="B97" s="37"/>
      <c r="C97" s="37"/>
      <c r="D97" s="37"/>
      <c r="E97" s="36"/>
      <c r="F97" s="36"/>
      <c r="G97" s="36" t="str">
        <f t="shared" si="1"/>
        <v/>
      </c>
    </row>
    <row r="98">
      <c r="A98" s="37"/>
      <c r="B98" s="37"/>
      <c r="C98" s="37"/>
      <c r="D98" s="37"/>
      <c r="E98" s="36"/>
      <c r="F98" s="36"/>
      <c r="G98" s="36" t="str">
        <f t="shared" si="1"/>
        <v/>
      </c>
    </row>
    <row r="99">
      <c r="A99" s="37"/>
      <c r="B99" s="37"/>
      <c r="C99" s="37"/>
      <c r="D99" s="37"/>
      <c r="E99" s="36"/>
      <c r="F99" s="36"/>
      <c r="G99" s="36" t="str">
        <f t="shared" si="1"/>
        <v/>
      </c>
    </row>
    <row r="100">
      <c r="A100" s="37"/>
      <c r="B100" s="37"/>
      <c r="C100" s="37"/>
      <c r="D100" s="37"/>
      <c r="E100" s="36"/>
      <c r="F100" s="36"/>
      <c r="G100" s="36" t="str">
        <f t="shared" si="1"/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>
        <f t="shared" ref="E102:F102" si="2">SUM(E7:E101)</f>
        <v>35254.31</v>
      </c>
      <c r="F102" s="55">
        <f t="shared" si="2"/>
        <v>57489.38</v>
      </c>
      <c r="G102" s="56"/>
    </row>
  </sheetData>
  <mergeCells count="2">
    <mergeCell ref="A1:G1"/>
    <mergeCell ref="A5:G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3.0"/>
    <col customWidth="1" min="2" max="2" width="12.63"/>
    <col customWidth="1" min="3" max="3" width="63.88"/>
    <col customWidth="1" min="4" max="4" width="18.88"/>
    <col customWidth="1" min="5" max="7" width="15.13"/>
  </cols>
  <sheetData>
    <row r="1">
      <c r="A1" s="22" t="s">
        <v>1677</v>
      </c>
    </row>
    <row r="3">
      <c r="A3" s="50" t="s">
        <v>110</v>
      </c>
      <c r="B3" s="86">
        <v>163800.84</v>
      </c>
      <c r="D3" s="50" t="s">
        <v>111</v>
      </c>
      <c r="E3" s="52">
        <f>164800.84+SUM(E7:E101)</f>
        <v>479608.52</v>
      </c>
    </row>
    <row r="5">
      <c r="A5" s="7" t="s">
        <v>112</v>
      </c>
    </row>
    <row r="6">
      <c r="A6" s="41" t="s">
        <v>113</v>
      </c>
      <c r="B6" s="41" t="s">
        <v>114</v>
      </c>
      <c r="C6" s="41" t="s">
        <v>115</v>
      </c>
      <c r="D6" s="41" t="s">
        <v>116</v>
      </c>
      <c r="E6" s="41" t="s">
        <v>117</v>
      </c>
      <c r="F6" s="41" t="s">
        <v>118</v>
      </c>
      <c r="G6" s="41" t="s">
        <v>119</v>
      </c>
      <c r="H6" s="41" t="s">
        <v>1678</v>
      </c>
    </row>
    <row r="7">
      <c r="A7" s="69">
        <v>45447.0</v>
      </c>
      <c r="B7" s="60" t="s">
        <v>1679</v>
      </c>
      <c r="C7" s="60" t="s">
        <v>1680</v>
      </c>
      <c r="D7" s="37"/>
      <c r="E7" s="68">
        <v>3000.0</v>
      </c>
      <c r="F7" s="35"/>
      <c r="G7" s="36">
        <f>IF(E7="","",B$3+IF(H7="C/F",0,E7)-F7)</f>
        <v>166800.84</v>
      </c>
      <c r="H7" s="5" t="str">
        <f t="shared" ref="H7:H100" si="1">IF(B7="","","NEW")</f>
        <v>NEW</v>
      </c>
    </row>
    <row r="8">
      <c r="A8" s="60" t="s">
        <v>1022</v>
      </c>
      <c r="B8" s="60" t="s">
        <v>1681</v>
      </c>
      <c r="C8" s="60" t="s">
        <v>1682</v>
      </c>
      <c r="D8" s="37"/>
      <c r="E8" s="68">
        <v>8625.0</v>
      </c>
      <c r="F8" s="36"/>
      <c r="G8" s="36">
        <f t="shared" ref="G8:G100" si="2">IF(E8="","",G7+IF(H8="C/F",0,E8)-F8)</f>
        <v>175425.84</v>
      </c>
      <c r="H8" s="5" t="str">
        <f t="shared" si="1"/>
        <v>NEW</v>
      </c>
    </row>
    <row r="9">
      <c r="A9" s="60" t="s">
        <v>1022</v>
      </c>
      <c r="B9" s="60" t="s">
        <v>1023</v>
      </c>
      <c r="C9" s="60" t="s">
        <v>1024</v>
      </c>
      <c r="D9" s="37"/>
      <c r="E9" s="68">
        <v>1500.0</v>
      </c>
      <c r="F9" s="36"/>
      <c r="G9" s="36">
        <f t="shared" si="2"/>
        <v>176925.84</v>
      </c>
      <c r="H9" s="5" t="str">
        <f t="shared" si="1"/>
        <v>NEW</v>
      </c>
    </row>
    <row r="10">
      <c r="A10" s="60" t="s">
        <v>1683</v>
      </c>
      <c r="B10" s="60" t="s">
        <v>1684</v>
      </c>
      <c r="C10" s="60" t="s">
        <v>1685</v>
      </c>
      <c r="D10" s="37"/>
      <c r="E10" s="68">
        <v>20.0</v>
      </c>
      <c r="F10" s="36"/>
      <c r="G10" s="36">
        <f t="shared" si="2"/>
        <v>176945.84</v>
      </c>
      <c r="H10" s="5" t="str">
        <f t="shared" si="1"/>
        <v>NEW</v>
      </c>
    </row>
    <row r="11">
      <c r="A11" s="60" t="s">
        <v>1025</v>
      </c>
      <c r="B11" s="60" t="s">
        <v>1026</v>
      </c>
      <c r="C11" s="60" t="s">
        <v>1027</v>
      </c>
      <c r="D11" s="37"/>
      <c r="E11" s="68">
        <v>350.0</v>
      </c>
      <c r="F11" s="36"/>
      <c r="G11" s="36">
        <f t="shared" si="2"/>
        <v>177295.84</v>
      </c>
      <c r="H11" s="5" t="str">
        <f t="shared" si="1"/>
        <v>NEW</v>
      </c>
    </row>
    <row r="12">
      <c r="A12" s="60" t="s">
        <v>1025</v>
      </c>
      <c r="B12" s="60" t="s">
        <v>1026</v>
      </c>
      <c r="C12" s="60" t="s">
        <v>1028</v>
      </c>
      <c r="D12" s="37"/>
      <c r="E12" s="68">
        <v>143.48</v>
      </c>
      <c r="F12" s="36"/>
      <c r="G12" s="36">
        <f t="shared" si="2"/>
        <v>177439.32</v>
      </c>
      <c r="H12" s="5" t="str">
        <f t="shared" si="1"/>
        <v>NEW</v>
      </c>
    </row>
    <row r="13">
      <c r="A13" s="60" t="s">
        <v>1025</v>
      </c>
      <c r="B13" s="60" t="s">
        <v>1026</v>
      </c>
      <c r="C13" s="60" t="s">
        <v>1028</v>
      </c>
      <c r="D13" s="37"/>
      <c r="E13" s="68">
        <v>600.0</v>
      </c>
      <c r="F13" s="36"/>
      <c r="G13" s="36">
        <f t="shared" si="2"/>
        <v>178039.32</v>
      </c>
      <c r="H13" s="5" t="str">
        <f t="shared" si="1"/>
        <v>NEW</v>
      </c>
    </row>
    <row r="14">
      <c r="A14" s="69">
        <v>45602.0</v>
      </c>
      <c r="B14" s="60" t="s">
        <v>1686</v>
      </c>
      <c r="C14" s="60" t="s">
        <v>1687</v>
      </c>
      <c r="D14" s="37"/>
      <c r="E14" s="68">
        <v>15.0</v>
      </c>
      <c r="F14" s="36"/>
      <c r="G14" s="36">
        <f t="shared" si="2"/>
        <v>178054.32</v>
      </c>
      <c r="H14" s="5" t="str">
        <f t="shared" si="1"/>
        <v>NEW</v>
      </c>
    </row>
    <row r="15">
      <c r="A15" s="60" t="s">
        <v>1029</v>
      </c>
      <c r="B15" s="60" t="s">
        <v>1688</v>
      </c>
      <c r="C15" s="60" t="s">
        <v>1689</v>
      </c>
      <c r="D15" s="37"/>
      <c r="E15" s="68">
        <v>2730.0</v>
      </c>
      <c r="F15" s="36"/>
      <c r="G15" s="36">
        <f t="shared" si="2"/>
        <v>180784.32</v>
      </c>
      <c r="H15" s="5" t="str">
        <f t="shared" si="1"/>
        <v>NEW</v>
      </c>
    </row>
    <row r="16">
      <c r="A16" s="60" t="s">
        <v>1029</v>
      </c>
      <c r="B16" s="60" t="s">
        <v>1030</v>
      </c>
      <c r="C16" s="60" t="s">
        <v>1031</v>
      </c>
      <c r="D16" s="37"/>
      <c r="E16" s="68">
        <v>34000.0</v>
      </c>
      <c r="F16" s="36"/>
      <c r="G16" s="36">
        <f t="shared" si="2"/>
        <v>214784.32</v>
      </c>
      <c r="H16" s="5" t="str">
        <f t="shared" si="1"/>
        <v>NEW</v>
      </c>
    </row>
    <row r="17">
      <c r="A17" s="60" t="s">
        <v>1032</v>
      </c>
      <c r="B17" s="60" t="s">
        <v>1033</v>
      </c>
      <c r="C17" s="60" t="s">
        <v>1034</v>
      </c>
      <c r="D17" s="37"/>
      <c r="E17" s="68">
        <v>500.0</v>
      </c>
      <c r="F17" s="36"/>
      <c r="G17" s="36">
        <f t="shared" si="2"/>
        <v>215284.32</v>
      </c>
      <c r="H17" s="5" t="str">
        <f t="shared" si="1"/>
        <v>NEW</v>
      </c>
    </row>
    <row r="18">
      <c r="A18" s="69">
        <v>45298.0</v>
      </c>
      <c r="B18" s="60" t="s">
        <v>1035</v>
      </c>
      <c r="C18" s="60" t="s">
        <v>1036</v>
      </c>
      <c r="D18" s="37"/>
      <c r="E18" s="68">
        <v>4000.0</v>
      </c>
      <c r="F18" s="36"/>
      <c r="G18" s="36">
        <f t="shared" si="2"/>
        <v>219284.32</v>
      </c>
      <c r="H18" s="5" t="str">
        <f t="shared" si="1"/>
        <v>NEW</v>
      </c>
    </row>
    <row r="19">
      <c r="A19" s="69">
        <v>45358.0</v>
      </c>
      <c r="B19" s="60" t="s">
        <v>1690</v>
      </c>
      <c r="C19" s="60" t="s">
        <v>1691</v>
      </c>
      <c r="D19" s="37"/>
      <c r="E19" s="68">
        <v>2000.0</v>
      </c>
      <c r="F19" s="36"/>
      <c r="G19" s="36">
        <f t="shared" si="2"/>
        <v>221284.32</v>
      </c>
      <c r="H19" s="5" t="str">
        <f t="shared" si="1"/>
        <v>NEW</v>
      </c>
    </row>
    <row r="20">
      <c r="A20" s="69">
        <v>45450.0</v>
      </c>
      <c r="B20" s="60" t="s">
        <v>1037</v>
      </c>
      <c r="C20" s="60" t="s">
        <v>1038</v>
      </c>
      <c r="D20" s="37"/>
      <c r="E20" s="68">
        <v>2790.0</v>
      </c>
      <c r="F20" s="36"/>
      <c r="G20" s="36">
        <f t="shared" si="2"/>
        <v>224074.32</v>
      </c>
      <c r="H20" s="5" t="str">
        <f t="shared" si="1"/>
        <v>NEW</v>
      </c>
    </row>
    <row r="21">
      <c r="A21" s="69">
        <v>45603.0</v>
      </c>
      <c r="B21" s="60" t="s">
        <v>1692</v>
      </c>
      <c r="C21" s="60" t="s">
        <v>1693</v>
      </c>
      <c r="D21" s="37"/>
      <c r="E21" s="68">
        <v>50.0</v>
      </c>
      <c r="F21" s="36"/>
      <c r="G21" s="36">
        <f t="shared" si="2"/>
        <v>224124.32</v>
      </c>
      <c r="H21" s="5" t="str">
        <f t="shared" si="1"/>
        <v>NEW</v>
      </c>
    </row>
    <row r="22">
      <c r="A22" s="60" t="s">
        <v>1694</v>
      </c>
      <c r="B22" s="60" t="s">
        <v>1695</v>
      </c>
      <c r="C22" s="60" t="s">
        <v>1696</v>
      </c>
      <c r="D22" s="37"/>
      <c r="E22" s="68">
        <v>113.0</v>
      </c>
      <c r="F22" s="36"/>
      <c r="G22" s="36">
        <f t="shared" si="2"/>
        <v>224237.32</v>
      </c>
      <c r="H22" s="5" t="str">
        <f t="shared" si="1"/>
        <v>NEW</v>
      </c>
    </row>
    <row r="23">
      <c r="A23" s="60" t="s">
        <v>1697</v>
      </c>
      <c r="B23" s="60" t="s">
        <v>1698</v>
      </c>
      <c r="C23" s="60" t="s">
        <v>1699</v>
      </c>
      <c r="D23" s="37"/>
      <c r="E23" s="68">
        <v>100.0</v>
      </c>
      <c r="F23" s="36"/>
      <c r="G23" s="36">
        <f t="shared" si="2"/>
        <v>224337.32</v>
      </c>
      <c r="H23" s="5" t="str">
        <f t="shared" si="1"/>
        <v>NEW</v>
      </c>
    </row>
    <row r="24">
      <c r="A24" s="69">
        <v>45573.0</v>
      </c>
      <c r="B24" s="60" t="s">
        <v>1700</v>
      </c>
      <c r="C24" s="60" t="s">
        <v>1701</v>
      </c>
      <c r="D24" s="37"/>
      <c r="E24" s="68">
        <v>60.0</v>
      </c>
      <c r="F24" s="36"/>
      <c r="G24" s="36">
        <f t="shared" si="2"/>
        <v>224397.32</v>
      </c>
      <c r="H24" s="5" t="str">
        <f t="shared" si="1"/>
        <v>NEW</v>
      </c>
    </row>
    <row r="25">
      <c r="A25" s="60" t="s">
        <v>1039</v>
      </c>
      <c r="B25" s="60" t="s">
        <v>1040</v>
      </c>
      <c r="C25" s="60" t="s">
        <v>1041</v>
      </c>
      <c r="D25" s="37"/>
      <c r="E25" s="68">
        <v>74656.7</v>
      </c>
      <c r="F25" s="36"/>
      <c r="G25" s="36">
        <f t="shared" si="2"/>
        <v>299054.02</v>
      </c>
      <c r="H25" s="5" t="str">
        <f t="shared" si="1"/>
        <v>NEW</v>
      </c>
    </row>
    <row r="26">
      <c r="A26" s="60" t="s">
        <v>1039</v>
      </c>
      <c r="B26" s="60" t="s">
        <v>1042</v>
      </c>
      <c r="C26" s="60" t="s">
        <v>1043</v>
      </c>
      <c r="D26" s="37"/>
      <c r="E26" s="68">
        <v>25655.23</v>
      </c>
      <c r="F26" s="36"/>
      <c r="G26" s="36">
        <f t="shared" si="2"/>
        <v>324709.25</v>
      </c>
      <c r="H26" s="5" t="str">
        <f t="shared" si="1"/>
        <v>NEW</v>
      </c>
    </row>
    <row r="27">
      <c r="A27" s="60" t="s">
        <v>1044</v>
      </c>
      <c r="B27" s="60" t="s">
        <v>1045</v>
      </c>
      <c r="C27" s="60" t="s">
        <v>1046</v>
      </c>
      <c r="D27" s="37"/>
      <c r="E27" s="68">
        <v>5000.0</v>
      </c>
      <c r="F27" s="36"/>
      <c r="G27" s="36">
        <f t="shared" si="2"/>
        <v>329709.25</v>
      </c>
      <c r="H27" s="5" t="str">
        <f t="shared" si="1"/>
        <v>NEW</v>
      </c>
    </row>
    <row r="28">
      <c r="A28" s="60" t="s">
        <v>1702</v>
      </c>
      <c r="B28" s="60" t="s">
        <v>1703</v>
      </c>
      <c r="C28" s="60" t="s">
        <v>1704</v>
      </c>
      <c r="D28" s="37"/>
      <c r="E28" s="68">
        <v>45.0</v>
      </c>
      <c r="F28" s="36"/>
      <c r="G28" s="36">
        <f t="shared" si="2"/>
        <v>329754.25</v>
      </c>
      <c r="H28" s="5" t="str">
        <f t="shared" si="1"/>
        <v>NEW</v>
      </c>
    </row>
    <row r="29">
      <c r="A29" s="87">
        <v>45326.0</v>
      </c>
      <c r="B29" s="82" t="s">
        <v>1705</v>
      </c>
      <c r="C29" s="82" t="s">
        <v>1706</v>
      </c>
      <c r="D29" s="37"/>
      <c r="E29" s="88">
        <v>30.0</v>
      </c>
      <c r="F29" s="36"/>
      <c r="G29" s="36">
        <f t="shared" si="2"/>
        <v>329784.25</v>
      </c>
      <c r="H29" s="5" t="str">
        <f t="shared" si="1"/>
        <v>NEW</v>
      </c>
    </row>
    <row r="30">
      <c r="A30" s="69">
        <v>45605.0</v>
      </c>
      <c r="B30" s="60" t="s">
        <v>1707</v>
      </c>
      <c r="C30" s="60" t="s">
        <v>1708</v>
      </c>
      <c r="D30" s="37"/>
      <c r="E30" s="68">
        <v>613.5</v>
      </c>
      <c r="F30" s="36"/>
      <c r="G30" s="36">
        <f t="shared" si="2"/>
        <v>330397.75</v>
      </c>
      <c r="H30" s="5" t="str">
        <f t="shared" si="1"/>
        <v>NEW</v>
      </c>
    </row>
    <row r="31">
      <c r="A31" s="60" t="s">
        <v>1709</v>
      </c>
      <c r="B31" s="60" t="s">
        <v>1710</v>
      </c>
      <c r="C31" s="60" t="s">
        <v>1711</v>
      </c>
      <c r="D31" s="37"/>
      <c r="E31" s="68">
        <v>113.0</v>
      </c>
      <c r="F31" s="36"/>
      <c r="G31" s="36">
        <f t="shared" si="2"/>
        <v>330510.75</v>
      </c>
      <c r="H31" s="5" t="str">
        <f t="shared" si="1"/>
        <v>NEW</v>
      </c>
    </row>
    <row r="32">
      <c r="A32" s="60" t="s">
        <v>1709</v>
      </c>
      <c r="B32" s="60" t="s">
        <v>1710</v>
      </c>
      <c r="C32" s="60" t="s">
        <v>1711</v>
      </c>
      <c r="D32" s="37"/>
      <c r="E32" s="68">
        <v>75.0</v>
      </c>
      <c r="F32" s="36"/>
      <c r="G32" s="36">
        <f t="shared" si="2"/>
        <v>330585.75</v>
      </c>
      <c r="H32" s="5" t="str">
        <f t="shared" si="1"/>
        <v>NEW</v>
      </c>
    </row>
    <row r="33">
      <c r="A33" s="60" t="s">
        <v>1047</v>
      </c>
      <c r="B33" s="60" t="s">
        <v>1048</v>
      </c>
      <c r="C33" s="60" t="s">
        <v>1049</v>
      </c>
      <c r="D33" s="37"/>
      <c r="E33" s="68">
        <v>4650.0</v>
      </c>
      <c r="F33" s="36"/>
      <c r="G33" s="36">
        <f t="shared" si="2"/>
        <v>335235.75</v>
      </c>
      <c r="H33" s="5" t="str">
        <f t="shared" si="1"/>
        <v>NEW</v>
      </c>
    </row>
    <row r="34">
      <c r="A34" s="60" t="s">
        <v>1050</v>
      </c>
      <c r="B34" s="60" t="s">
        <v>1051</v>
      </c>
      <c r="C34" s="60" t="s">
        <v>1052</v>
      </c>
      <c r="D34" s="37"/>
      <c r="E34" s="68">
        <v>500.0</v>
      </c>
      <c r="F34" s="36"/>
      <c r="G34" s="36">
        <f t="shared" si="2"/>
        <v>335735.75</v>
      </c>
      <c r="H34" s="5" t="str">
        <f t="shared" si="1"/>
        <v>NEW</v>
      </c>
    </row>
    <row r="35">
      <c r="A35" s="60" t="s">
        <v>1712</v>
      </c>
      <c r="B35" s="60" t="s">
        <v>1713</v>
      </c>
      <c r="C35" s="60" t="s">
        <v>1714</v>
      </c>
      <c r="D35" s="37"/>
      <c r="E35" s="68">
        <v>2000.0</v>
      </c>
      <c r="F35" s="36"/>
      <c r="G35" s="36">
        <f t="shared" si="2"/>
        <v>337735.75</v>
      </c>
      <c r="H35" s="5" t="str">
        <f t="shared" si="1"/>
        <v>NEW</v>
      </c>
    </row>
    <row r="36">
      <c r="A36" s="63" t="s">
        <v>1053</v>
      </c>
      <c r="B36" s="70"/>
      <c r="C36" s="60" t="s">
        <v>1054</v>
      </c>
      <c r="D36" s="37"/>
      <c r="E36" s="68">
        <v>16857.45</v>
      </c>
      <c r="F36" s="36"/>
      <c r="G36" s="36">
        <f t="shared" si="2"/>
        <v>354593.2</v>
      </c>
      <c r="H36" s="5" t="str">
        <f t="shared" si="1"/>
        <v/>
      </c>
    </row>
    <row r="37">
      <c r="A37" s="60" t="s">
        <v>1053</v>
      </c>
      <c r="B37" s="60" t="s">
        <v>1715</v>
      </c>
      <c r="C37" s="60" t="s">
        <v>1716</v>
      </c>
      <c r="D37" s="37"/>
      <c r="E37" s="68">
        <v>2000.0</v>
      </c>
      <c r="F37" s="36"/>
      <c r="G37" s="36">
        <f t="shared" si="2"/>
        <v>356593.2</v>
      </c>
      <c r="H37" s="5" t="str">
        <f t="shared" si="1"/>
        <v>NEW</v>
      </c>
    </row>
    <row r="38">
      <c r="A38" s="69">
        <v>45546.0</v>
      </c>
      <c r="B38" s="60" t="s">
        <v>1055</v>
      </c>
      <c r="C38" s="60" t="s">
        <v>1056</v>
      </c>
      <c r="D38" s="37"/>
      <c r="E38" s="68">
        <v>4450.0</v>
      </c>
      <c r="F38" s="36"/>
      <c r="G38" s="36">
        <f t="shared" si="2"/>
        <v>361043.2</v>
      </c>
      <c r="H38" s="5" t="str">
        <f t="shared" si="1"/>
        <v>NEW</v>
      </c>
    </row>
    <row r="39">
      <c r="A39" s="71">
        <v>45637.0</v>
      </c>
      <c r="B39" s="60" t="s">
        <v>1057</v>
      </c>
      <c r="C39" s="60" t="s">
        <v>1058</v>
      </c>
      <c r="D39" s="37"/>
      <c r="E39" s="68">
        <v>80.0</v>
      </c>
      <c r="F39" s="36"/>
      <c r="G39" s="36">
        <f t="shared" si="2"/>
        <v>361123.2</v>
      </c>
      <c r="H39" s="5" t="str">
        <f t="shared" si="1"/>
        <v>NEW</v>
      </c>
    </row>
    <row r="40">
      <c r="A40" s="60" t="s">
        <v>1717</v>
      </c>
      <c r="B40" s="60" t="s">
        <v>1718</v>
      </c>
      <c r="C40" s="60" t="s">
        <v>1704</v>
      </c>
      <c r="D40" s="37"/>
      <c r="E40" s="68">
        <v>20.0</v>
      </c>
      <c r="F40" s="36"/>
      <c r="G40" s="36">
        <f t="shared" si="2"/>
        <v>361143.2</v>
      </c>
      <c r="H40" s="5" t="str">
        <f t="shared" si="1"/>
        <v>NEW</v>
      </c>
    </row>
    <row r="41">
      <c r="A41" s="69">
        <v>45303.0</v>
      </c>
      <c r="B41" s="60" t="s">
        <v>1719</v>
      </c>
      <c r="C41" s="60" t="s">
        <v>1720</v>
      </c>
      <c r="D41" s="37"/>
      <c r="E41" s="68">
        <v>20.87</v>
      </c>
      <c r="F41" s="36"/>
      <c r="G41" s="36">
        <f t="shared" si="2"/>
        <v>361164.07</v>
      </c>
      <c r="H41" s="5" t="str">
        <f t="shared" si="1"/>
        <v>NEW</v>
      </c>
    </row>
    <row r="42">
      <c r="A42" s="69">
        <v>45303.0</v>
      </c>
      <c r="B42" s="60" t="s">
        <v>1719</v>
      </c>
      <c r="C42" s="60" t="s">
        <v>1721</v>
      </c>
      <c r="D42" s="37"/>
      <c r="E42" s="68">
        <v>34.78</v>
      </c>
      <c r="F42" s="36"/>
      <c r="G42" s="36">
        <f t="shared" si="2"/>
        <v>361198.85</v>
      </c>
      <c r="H42" s="5" t="str">
        <f t="shared" si="1"/>
        <v>NEW</v>
      </c>
    </row>
    <row r="43">
      <c r="A43" s="69">
        <v>45303.0</v>
      </c>
      <c r="B43" s="60" t="s">
        <v>1719</v>
      </c>
      <c r="C43" s="60" t="s">
        <v>1722</v>
      </c>
      <c r="D43" s="37"/>
      <c r="E43" s="68">
        <v>60.87</v>
      </c>
      <c r="F43" s="36"/>
      <c r="G43" s="36">
        <f t="shared" si="2"/>
        <v>361259.72</v>
      </c>
      <c r="H43" s="5" t="str">
        <f t="shared" si="1"/>
        <v>NEW</v>
      </c>
    </row>
    <row r="44">
      <c r="A44" s="69">
        <v>45394.0</v>
      </c>
      <c r="B44" s="60" t="s">
        <v>1723</v>
      </c>
      <c r="C44" s="60" t="s">
        <v>1724</v>
      </c>
      <c r="D44" s="37"/>
      <c r="E44" s="68">
        <v>80.5</v>
      </c>
      <c r="F44" s="36"/>
      <c r="G44" s="36">
        <f t="shared" si="2"/>
        <v>361340.22</v>
      </c>
      <c r="H44" s="5" t="str">
        <f t="shared" si="1"/>
        <v>NEW</v>
      </c>
    </row>
    <row r="45">
      <c r="A45" s="69">
        <v>45394.0</v>
      </c>
      <c r="B45" s="60" t="s">
        <v>1723</v>
      </c>
      <c r="C45" s="60" t="s">
        <v>1725</v>
      </c>
      <c r="D45" s="37"/>
      <c r="E45" s="68">
        <v>11.5</v>
      </c>
      <c r="F45" s="36"/>
      <c r="G45" s="36">
        <f t="shared" si="2"/>
        <v>361351.72</v>
      </c>
      <c r="H45" s="5" t="str">
        <f t="shared" si="1"/>
        <v>NEW</v>
      </c>
    </row>
    <row r="46">
      <c r="A46" s="71">
        <v>45577.0</v>
      </c>
      <c r="B46" s="60" t="s">
        <v>1059</v>
      </c>
      <c r="C46" s="60" t="s">
        <v>1043</v>
      </c>
      <c r="D46" s="37"/>
      <c r="E46" s="68">
        <v>49001.48</v>
      </c>
      <c r="F46" s="36"/>
      <c r="G46" s="36">
        <f t="shared" si="2"/>
        <v>410353.2</v>
      </c>
      <c r="H46" s="5" t="str">
        <f t="shared" si="1"/>
        <v>NEW</v>
      </c>
    </row>
    <row r="47">
      <c r="A47" s="60" t="s">
        <v>1726</v>
      </c>
      <c r="B47" s="60" t="s">
        <v>1727</v>
      </c>
      <c r="C47" s="60" t="s">
        <v>1728</v>
      </c>
      <c r="D47" s="37"/>
      <c r="E47" s="68">
        <v>180.0</v>
      </c>
      <c r="F47" s="36"/>
      <c r="G47" s="36">
        <f t="shared" si="2"/>
        <v>410533.2</v>
      </c>
      <c r="H47" s="5" t="str">
        <f t="shared" si="1"/>
        <v>NEW</v>
      </c>
    </row>
    <row r="48">
      <c r="A48" s="60" t="s">
        <v>1729</v>
      </c>
      <c r="B48" s="60" t="s">
        <v>1730</v>
      </c>
      <c r="C48" s="60" t="s">
        <v>1731</v>
      </c>
      <c r="D48" s="37"/>
      <c r="E48" s="68">
        <v>1337.87</v>
      </c>
      <c r="F48" s="36"/>
      <c r="G48" s="36">
        <f t="shared" si="2"/>
        <v>411871.07</v>
      </c>
      <c r="H48" s="5" t="str">
        <f t="shared" si="1"/>
        <v>NEW</v>
      </c>
    </row>
    <row r="49">
      <c r="A49" s="60" t="s">
        <v>1729</v>
      </c>
      <c r="B49" s="60" t="s">
        <v>1732</v>
      </c>
      <c r="C49" s="60" t="s">
        <v>1733</v>
      </c>
      <c r="D49" s="37"/>
      <c r="E49" s="68">
        <v>7500.0</v>
      </c>
      <c r="F49" s="36"/>
      <c r="G49" s="36">
        <f t="shared" si="2"/>
        <v>419371.07</v>
      </c>
      <c r="H49" s="5" t="str">
        <f t="shared" si="1"/>
        <v>NEW</v>
      </c>
    </row>
    <row r="50">
      <c r="A50" s="60" t="s">
        <v>1734</v>
      </c>
      <c r="B50" s="60" t="s">
        <v>1735</v>
      </c>
      <c r="C50" s="60" t="s">
        <v>1736</v>
      </c>
      <c r="D50" s="37"/>
      <c r="E50" s="68">
        <v>85.0</v>
      </c>
      <c r="F50" s="36"/>
      <c r="G50" s="36">
        <f t="shared" si="2"/>
        <v>419456.07</v>
      </c>
      <c r="H50" s="5" t="str">
        <f t="shared" si="1"/>
        <v>NEW</v>
      </c>
    </row>
    <row r="51">
      <c r="A51" s="60" t="s">
        <v>1060</v>
      </c>
      <c r="B51" s="60" t="s">
        <v>1061</v>
      </c>
      <c r="C51" s="60" t="s">
        <v>1062</v>
      </c>
      <c r="D51" s="37"/>
      <c r="E51" s="68">
        <v>300.0</v>
      </c>
      <c r="F51" s="36"/>
      <c r="G51" s="36">
        <f t="shared" si="2"/>
        <v>419756.07</v>
      </c>
      <c r="H51" s="5" t="str">
        <f t="shared" si="1"/>
        <v>NEW</v>
      </c>
    </row>
    <row r="52">
      <c r="A52" s="60" t="s">
        <v>1063</v>
      </c>
      <c r="B52" s="60" t="s">
        <v>1064</v>
      </c>
      <c r="C52" s="60" t="s">
        <v>1065</v>
      </c>
      <c r="D52" s="37"/>
      <c r="E52" s="68">
        <v>150.0</v>
      </c>
      <c r="F52" s="36"/>
      <c r="G52" s="36">
        <f t="shared" si="2"/>
        <v>419906.07</v>
      </c>
      <c r="H52" s="5" t="str">
        <f t="shared" si="1"/>
        <v>NEW</v>
      </c>
    </row>
    <row r="53">
      <c r="A53" s="69">
        <v>45748.0</v>
      </c>
      <c r="B53" s="60" t="s">
        <v>1737</v>
      </c>
      <c r="C53" s="60" t="s">
        <v>1738</v>
      </c>
      <c r="D53" s="37"/>
      <c r="E53" s="68">
        <v>100.0</v>
      </c>
      <c r="F53" s="36"/>
      <c r="G53" s="36">
        <f t="shared" si="2"/>
        <v>420006.07</v>
      </c>
      <c r="H53" s="5" t="str">
        <f t="shared" si="1"/>
        <v>NEW</v>
      </c>
    </row>
    <row r="54">
      <c r="A54" s="69">
        <v>45901.0</v>
      </c>
      <c r="B54" s="60" t="s">
        <v>1739</v>
      </c>
      <c r="C54" s="60" t="s">
        <v>1740</v>
      </c>
      <c r="D54" s="37"/>
      <c r="E54" s="68">
        <v>450.0</v>
      </c>
      <c r="F54" s="36"/>
      <c r="G54" s="36">
        <f t="shared" si="2"/>
        <v>420456.07</v>
      </c>
      <c r="H54" s="5" t="str">
        <f t="shared" si="1"/>
        <v>NEW</v>
      </c>
    </row>
    <row r="55">
      <c r="A55" s="60" t="s">
        <v>1066</v>
      </c>
      <c r="B55" s="60" t="s">
        <v>1067</v>
      </c>
      <c r="C55" s="60" t="s">
        <v>1068</v>
      </c>
      <c r="D55" s="37"/>
      <c r="E55" s="68">
        <v>51310.45</v>
      </c>
      <c r="F55" s="36"/>
      <c r="G55" s="36">
        <f t="shared" si="2"/>
        <v>471766.52</v>
      </c>
      <c r="H55" s="5" t="str">
        <f t="shared" si="1"/>
        <v>NEW</v>
      </c>
    </row>
    <row r="56">
      <c r="A56" s="60" t="s">
        <v>1741</v>
      </c>
      <c r="B56" s="60" t="s">
        <v>1742</v>
      </c>
      <c r="C56" s="60" t="s">
        <v>1471</v>
      </c>
      <c r="D56" s="37"/>
      <c r="E56" s="68">
        <v>400.0</v>
      </c>
      <c r="F56" s="36"/>
      <c r="G56" s="36">
        <f t="shared" si="2"/>
        <v>472166.52</v>
      </c>
      <c r="H56" s="5" t="str">
        <f t="shared" si="1"/>
        <v>NEW</v>
      </c>
    </row>
    <row r="57">
      <c r="A57" s="60" t="s">
        <v>1166</v>
      </c>
      <c r="B57" s="60" t="s">
        <v>1743</v>
      </c>
      <c r="C57" s="60" t="s">
        <v>1744</v>
      </c>
      <c r="D57" s="37"/>
      <c r="E57" s="68">
        <v>170.0</v>
      </c>
      <c r="F57" s="36"/>
      <c r="G57" s="36">
        <f t="shared" si="2"/>
        <v>472336.52</v>
      </c>
      <c r="H57" s="5" t="str">
        <f t="shared" si="1"/>
        <v>NEW</v>
      </c>
    </row>
    <row r="58">
      <c r="A58" s="60" t="s">
        <v>1745</v>
      </c>
      <c r="B58" s="60" t="s">
        <v>1746</v>
      </c>
      <c r="C58" s="60" t="s">
        <v>1747</v>
      </c>
      <c r="D58" s="37"/>
      <c r="E58" s="68">
        <v>2000.0</v>
      </c>
      <c r="F58" s="36"/>
      <c r="G58" s="36">
        <f t="shared" si="2"/>
        <v>474336.52</v>
      </c>
      <c r="H58" s="5" t="str">
        <f t="shared" si="1"/>
        <v>NEW</v>
      </c>
    </row>
    <row r="59">
      <c r="A59" s="60" t="s">
        <v>1748</v>
      </c>
      <c r="B59" s="60" t="s">
        <v>1749</v>
      </c>
      <c r="C59" s="60" t="s">
        <v>1747</v>
      </c>
      <c r="D59" s="37"/>
      <c r="E59" s="68">
        <v>1500.0</v>
      </c>
      <c r="F59" s="36"/>
      <c r="G59" s="36">
        <f t="shared" si="2"/>
        <v>475836.52</v>
      </c>
      <c r="H59" s="5" t="str">
        <f t="shared" si="1"/>
        <v>NEW</v>
      </c>
    </row>
    <row r="60">
      <c r="A60" s="60" t="s">
        <v>1750</v>
      </c>
      <c r="B60" s="60" t="s">
        <v>1751</v>
      </c>
      <c r="C60" s="60" t="s">
        <v>1752</v>
      </c>
      <c r="D60" s="37"/>
      <c r="E60" s="68">
        <v>200.0</v>
      </c>
      <c r="F60" s="36"/>
      <c r="G60" s="36">
        <f t="shared" si="2"/>
        <v>476036.52</v>
      </c>
      <c r="H60" s="5" t="str">
        <f t="shared" si="1"/>
        <v>NEW</v>
      </c>
    </row>
    <row r="61">
      <c r="A61" s="60" t="s">
        <v>1753</v>
      </c>
      <c r="B61" s="60" t="s">
        <v>1754</v>
      </c>
      <c r="C61" s="60" t="s">
        <v>1755</v>
      </c>
      <c r="D61" s="37"/>
      <c r="E61" s="68">
        <v>100.0</v>
      </c>
      <c r="F61" s="36"/>
      <c r="G61" s="36">
        <f t="shared" si="2"/>
        <v>476136.52</v>
      </c>
      <c r="H61" s="5" t="str">
        <f t="shared" si="1"/>
        <v>NEW</v>
      </c>
    </row>
    <row r="62">
      <c r="A62" s="60" t="s">
        <v>1753</v>
      </c>
      <c r="B62" s="60" t="s">
        <v>1754</v>
      </c>
      <c r="C62" s="60" t="s">
        <v>1076</v>
      </c>
      <c r="D62" s="37"/>
      <c r="E62" s="68">
        <v>215.0</v>
      </c>
      <c r="F62" s="36"/>
      <c r="G62" s="36">
        <f t="shared" si="2"/>
        <v>476351.52</v>
      </c>
      <c r="H62" s="5" t="str">
        <f t="shared" si="1"/>
        <v>NEW</v>
      </c>
    </row>
    <row r="63">
      <c r="A63" s="60" t="s">
        <v>1753</v>
      </c>
      <c r="B63" s="60" t="s">
        <v>1754</v>
      </c>
      <c r="C63" s="60" t="s">
        <v>1076</v>
      </c>
      <c r="D63" s="37"/>
      <c r="E63" s="68">
        <v>1100.0</v>
      </c>
      <c r="F63" s="36"/>
      <c r="G63" s="36">
        <f t="shared" si="2"/>
        <v>477451.52</v>
      </c>
      <c r="H63" s="5" t="str">
        <f t="shared" si="1"/>
        <v>NEW</v>
      </c>
    </row>
    <row r="64">
      <c r="A64" s="60" t="s">
        <v>1756</v>
      </c>
      <c r="B64" s="60" t="s">
        <v>1757</v>
      </c>
      <c r="C64" s="60" t="s">
        <v>1758</v>
      </c>
      <c r="D64" s="37"/>
      <c r="E64" s="68">
        <v>1000.0</v>
      </c>
      <c r="F64" s="36"/>
      <c r="G64" s="36">
        <f t="shared" si="2"/>
        <v>478451.52</v>
      </c>
      <c r="H64" s="5" t="str">
        <f t="shared" si="1"/>
        <v>NEW</v>
      </c>
    </row>
    <row r="65">
      <c r="A65" s="60" t="s">
        <v>1756</v>
      </c>
      <c r="B65" s="60" t="s">
        <v>1757</v>
      </c>
      <c r="C65" s="60" t="s">
        <v>1759</v>
      </c>
      <c r="D65" s="37"/>
      <c r="E65" s="68">
        <v>157.0</v>
      </c>
      <c r="F65" s="36"/>
      <c r="G65" s="36">
        <f t="shared" si="2"/>
        <v>478608.52</v>
      </c>
      <c r="H65" s="5" t="str">
        <f t="shared" si="1"/>
        <v>NEW</v>
      </c>
    </row>
    <row r="66">
      <c r="A66" s="37"/>
      <c r="B66" s="37"/>
      <c r="C66" s="37"/>
      <c r="D66" s="37"/>
      <c r="E66" s="36"/>
      <c r="F66" s="36"/>
      <c r="G66" s="36" t="str">
        <f t="shared" si="2"/>
        <v/>
      </c>
      <c r="H66" s="5" t="str">
        <f t="shared" si="1"/>
        <v/>
      </c>
    </row>
    <row r="67">
      <c r="A67" s="37"/>
      <c r="B67" s="37"/>
      <c r="C67" s="37"/>
      <c r="D67" s="37"/>
      <c r="E67" s="36"/>
      <c r="F67" s="36"/>
      <c r="G67" s="36" t="str">
        <f t="shared" si="2"/>
        <v/>
      </c>
      <c r="H67" s="5" t="str">
        <f t="shared" si="1"/>
        <v/>
      </c>
    </row>
    <row r="68">
      <c r="A68" s="37"/>
      <c r="B68" s="37"/>
      <c r="C68" s="37"/>
      <c r="D68" s="37"/>
      <c r="E68" s="36"/>
      <c r="F68" s="36"/>
      <c r="G68" s="36" t="str">
        <f t="shared" si="2"/>
        <v/>
      </c>
      <c r="H68" s="5" t="str">
        <f t="shared" si="1"/>
        <v/>
      </c>
    </row>
    <row r="69">
      <c r="A69" s="37"/>
      <c r="B69" s="37"/>
      <c r="C69" s="37"/>
      <c r="D69" s="37"/>
      <c r="E69" s="36"/>
      <c r="F69" s="36"/>
      <c r="G69" s="36" t="str">
        <f t="shared" si="2"/>
        <v/>
      </c>
      <c r="H69" s="5" t="str">
        <f t="shared" si="1"/>
        <v/>
      </c>
    </row>
    <row r="70">
      <c r="A70" s="37"/>
      <c r="B70" s="37"/>
      <c r="C70" s="37"/>
      <c r="D70" s="37"/>
      <c r="E70" s="36"/>
      <c r="F70" s="36"/>
      <c r="G70" s="36" t="str">
        <f t="shared" si="2"/>
        <v/>
      </c>
      <c r="H70" s="5" t="str">
        <f t="shared" si="1"/>
        <v/>
      </c>
    </row>
    <row r="71">
      <c r="A71" s="37"/>
      <c r="B71" s="37"/>
      <c r="C71" s="37"/>
      <c r="D71" s="37"/>
      <c r="E71" s="36"/>
      <c r="F71" s="36"/>
      <c r="G71" s="36" t="str">
        <f t="shared" si="2"/>
        <v/>
      </c>
      <c r="H71" s="5" t="str">
        <f t="shared" si="1"/>
        <v/>
      </c>
    </row>
    <row r="72">
      <c r="A72" s="37"/>
      <c r="B72" s="37"/>
      <c r="C72" s="37"/>
      <c r="D72" s="37"/>
      <c r="E72" s="36"/>
      <c r="F72" s="36"/>
      <c r="G72" s="36" t="str">
        <f t="shared" si="2"/>
        <v/>
      </c>
      <c r="H72" s="5" t="str">
        <f t="shared" si="1"/>
        <v/>
      </c>
    </row>
    <row r="73">
      <c r="A73" s="37"/>
      <c r="B73" s="37"/>
      <c r="C73" s="37"/>
      <c r="D73" s="37"/>
      <c r="E73" s="36"/>
      <c r="F73" s="36"/>
      <c r="G73" s="36" t="str">
        <f t="shared" si="2"/>
        <v/>
      </c>
      <c r="H73" s="5" t="str">
        <f t="shared" si="1"/>
        <v/>
      </c>
    </row>
    <row r="74">
      <c r="A74" s="37"/>
      <c r="B74" s="37"/>
      <c r="C74" s="37"/>
      <c r="D74" s="37"/>
      <c r="E74" s="36"/>
      <c r="F74" s="36"/>
      <c r="G74" s="36" t="str">
        <f t="shared" si="2"/>
        <v/>
      </c>
      <c r="H74" s="5" t="str">
        <f t="shared" si="1"/>
        <v/>
      </c>
    </row>
    <row r="75">
      <c r="A75" s="37"/>
      <c r="B75" s="37"/>
      <c r="C75" s="37"/>
      <c r="D75" s="37"/>
      <c r="E75" s="36"/>
      <c r="F75" s="36"/>
      <c r="G75" s="36" t="str">
        <f t="shared" si="2"/>
        <v/>
      </c>
      <c r="H75" s="5" t="str">
        <f t="shared" si="1"/>
        <v/>
      </c>
    </row>
    <row r="76">
      <c r="A76" s="37"/>
      <c r="B76" s="37"/>
      <c r="C76" s="37"/>
      <c r="D76" s="37"/>
      <c r="E76" s="36"/>
      <c r="F76" s="36"/>
      <c r="G76" s="36" t="str">
        <f t="shared" si="2"/>
        <v/>
      </c>
      <c r="H76" s="5" t="str">
        <f t="shared" si="1"/>
        <v/>
      </c>
    </row>
    <row r="77">
      <c r="A77" s="37"/>
      <c r="B77" s="37"/>
      <c r="C77" s="37"/>
      <c r="D77" s="37"/>
      <c r="E77" s="36"/>
      <c r="F77" s="36"/>
      <c r="G77" s="36" t="str">
        <f t="shared" si="2"/>
        <v/>
      </c>
      <c r="H77" s="5" t="str">
        <f t="shared" si="1"/>
        <v/>
      </c>
    </row>
    <row r="78">
      <c r="A78" s="37"/>
      <c r="B78" s="37"/>
      <c r="C78" s="37"/>
      <c r="D78" s="37"/>
      <c r="E78" s="36"/>
      <c r="F78" s="36"/>
      <c r="G78" s="36" t="str">
        <f t="shared" si="2"/>
        <v/>
      </c>
      <c r="H78" s="5" t="str">
        <f t="shared" si="1"/>
        <v/>
      </c>
    </row>
    <row r="79">
      <c r="A79" s="37"/>
      <c r="B79" s="37"/>
      <c r="C79" s="37"/>
      <c r="D79" s="37"/>
      <c r="E79" s="36"/>
      <c r="F79" s="36"/>
      <c r="G79" s="36" t="str">
        <f t="shared" si="2"/>
        <v/>
      </c>
      <c r="H79" s="5" t="str">
        <f t="shared" si="1"/>
        <v/>
      </c>
    </row>
    <row r="80">
      <c r="A80" s="37"/>
      <c r="B80" s="37"/>
      <c r="C80" s="37"/>
      <c r="D80" s="37"/>
      <c r="E80" s="36"/>
      <c r="F80" s="36"/>
      <c r="G80" s="36" t="str">
        <f t="shared" si="2"/>
        <v/>
      </c>
      <c r="H80" s="5" t="str">
        <f t="shared" si="1"/>
        <v/>
      </c>
    </row>
    <row r="81">
      <c r="A81" s="37"/>
      <c r="B81" s="37"/>
      <c r="C81" s="37"/>
      <c r="D81" s="37"/>
      <c r="E81" s="36"/>
      <c r="F81" s="36"/>
      <c r="G81" s="36" t="str">
        <f t="shared" si="2"/>
        <v/>
      </c>
      <c r="H81" s="5" t="str">
        <f t="shared" si="1"/>
        <v/>
      </c>
    </row>
    <row r="82">
      <c r="A82" s="37"/>
      <c r="B82" s="37"/>
      <c r="C82" s="37"/>
      <c r="D82" s="37"/>
      <c r="E82" s="36"/>
      <c r="F82" s="36"/>
      <c r="G82" s="36" t="str">
        <f t="shared" si="2"/>
        <v/>
      </c>
      <c r="H82" s="5" t="str">
        <f t="shared" si="1"/>
        <v/>
      </c>
    </row>
    <row r="83">
      <c r="A83" s="37"/>
      <c r="B83" s="37"/>
      <c r="C83" s="37"/>
      <c r="D83" s="37"/>
      <c r="E83" s="36"/>
      <c r="F83" s="36"/>
      <c r="G83" s="36" t="str">
        <f t="shared" si="2"/>
        <v/>
      </c>
      <c r="H83" s="5" t="str">
        <f t="shared" si="1"/>
        <v/>
      </c>
    </row>
    <row r="84">
      <c r="A84" s="37"/>
      <c r="B84" s="37"/>
      <c r="C84" s="37"/>
      <c r="D84" s="37"/>
      <c r="E84" s="36"/>
      <c r="F84" s="36"/>
      <c r="G84" s="36" t="str">
        <f t="shared" si="2"/>
        <v/>
      </c>
      <c r="H84" s="5" t="str">
        <f t="shared" si="1"/>
        <v/>
      </c>
    </row>
    <row r="85">
      <c r="A85" s="37"/>
      <c r="B85" s="37"/>
      <c r="C85" s="37"/>
      <c r="D85" s="37"/>
      <c r="E85" s="36"/>
      <c r="F85" s="36"/>
      <c r="G85" s="36" t="str">
        <f t="shared" si="2"/>
        <v/>
      </c>
      <c r="H85" s="5" t="str">
        <f t="shared" si="1"/>
        <v/>
      </c>
    </row>
    <row r="86">
      <c r="A86" s="37"/>
      <c r="B86" s="37"/>
      <c r="C86" s="37"/>
      <c r="D86" s="37"/>
      <c r="E86" s="36"/>
      <c r="F86" s="36"/>
      <c r="G86" s="36" t="str">
        <f t="shared" si="2"/>
        <v/>
      </c>
      <c r="H86" s="5" t="str">
        <f t="shared" si="1"/>
        <v/>
      </c>
    </row>
    <row r="87">
      <c r="A87" s="37"/>
      <c r="B87" s="37"/>
      <c r="C87" s="37"/>
      <c r="D87" s="37"/>
      <c r="E87" s="36"/>
      <c r="F87" s="36"/>
      <c r="G87" s="36" t="str">
        <f t="shared" si="2"/>
        <v/>
      </c>
      <c r="H87" s="5" t="str">
        <f t="shared" si="1"/>
        <v/>
      </c>
    </row>
    <row r="88">
      <c r="A88" s="37"/>
      <c r="B88" s="37"/>
      <c r="C88" s="37"/>
      <c r="D88" s="37"/>
      <c r="E88" s="36"/>
      <c r="F88" s="36"/>
      <c r="G88" s="36" t="str">
        <f t="shared" si="2"/>
        <v/>
      </c>
      <c r="H88" s="5" t="str">
        <f t="shared" si="1"/>
        <v/>
      </c>
    </row>
    <row r="89">
      <c r="A89" s="37"/>
      <c r="B89" s="37"/>
      <c r="C89" s="37"/>
      <c r="D89" s="37"/>
      <c r="E89" s="36"/>
      <c r="F89" s="36"/>
      <c r="G89" s="36" t="str">
        <f t="shared" si="2"/>
        <v/>
      </c>
      <c r="H89" s="5" t="str">
        <f t="shared" si="1"/>
        <v/>
      </c>
    </row>
    <row r="90">
      <c r="A90" s="37"/>
      <c r="B90" s="37"/>
      <c r="C90" s="37"/>
      <c r="D90" s="37"/>
      <c r="E90" s="36"/>
      <c r="F90" s="36"/>
      <c r="G90" s="36" t="str">
        <f t="shared" si="2"/>
        <v/>
      </c>
      <c r="H90" s="5" t="str">
        <f t="shared" si="1"/>
        <v/>
      </c>
    </row>
    <row r="91">
      <c r="A91" s="37"/>
      <c r="B91" s="37"/>
      <c r="C91" s="37"/>
      <c r="D91" s="37"/>
      <c r="E91" s="36"/>
      <c r="F91" s="36"/>
      <c r="G91" s="36" t="str">
        <f t="shared" si="2"/>
        <v/>
      </c>
      <c r="H91" s="5" t="str">
        <f t="shared" si="1"/>
        <v/>
      </c>
    </row>
    <row r="92">
      <c r="A92" s="37"/>
      <c r="B92" s="37"/>
      <c r="C92" s="37"/>
      <c r="D92" s="37"/>
      <c r="E92" s="36"/>
      <c r="F92" s="36"/>
      <c r="G92" s="36" t="str">
        <f t="shared" si="2"/>
        <v/>
      </c>
      <c r="H92" s="5" t="str">
        <f t="shared" si="1"/>
        <v/>
      </c>
    </row>
    <row r="93">
      <c r="A93" s="37"/>
      <c r="B93" s="37"/>
      <c r="C93" s="37"/>
      <c r="D93" s="37"/>
      <c r="E93" s="36"/>
      <c r="F93" s="36"/>
      <c r="G93" s="36" t="str">
        <f t="shared" si="2"/>
        <v/>
      </c>
      <c r="H93" s="5" t="str">
        <f t="shared" si="1"/>
        <v/>
      </c>
    </row>
    <row r="94">
      <c r="A94" s="37"/>
      <c r="B94" s="37"/>
      <c r="C94" s="37"/>
      <c r="D94" s="37"/>
      <c r="E94" s="36"/>
      <c r="F94" s="36"/>
      <c r="G94" s="36" t="str">
        <f t="shared" si="2"/>
        <v/>
      </c>
      <c r="H94" s="5" t="str">
        <f t="shared" si="1"/>
        <v/>
      </c>
    </row>
    <row r="95">
      <c r="A95" s="37"/>
      <c r="B95" s="37"/>
      <c r="C95" s="37"/>
      <c r="D95" s="37"/>
      <c r="E95" s="36"/>
      <c r="F95" s="36"/>
      <c r="G95" s="36" t="str">
        <f t="shared" si="2"/>
        <v/>
      </c>
      <c r="H95" s="5" t="str">
        <f t="shared" si="1"/>
        <v/>
      </c>
    </row>
    <row r="96">
      <c r="A96" s="37"/>
      <c r="B96" s="37"/>
      <c r="C96" s="37"/>
      <c r="D96" s="37"/>
      <c r="E96" s="36"/>
      <c r="F96" s="36"/>
      <c r="G96" s="36" t="str">
        <f t="shared" si="2"/>
        <v/>
      </c>
      <c r="H96" s="5" t="str">
        <f t="shared" si="1"/>
        <v/>
      </c>
    </row>
    <row r="97">
      <c r="A97" s="37"/>
      <c r="B97" s="37"/>
      <c r="C97" s="37"/>
      <c r="D97" s="37"/>
      <c r="E97" s="36"/>
      <c r="F97" s="36"/>
      <c r="G97" s="36" t="str">
        <f t="shared" si="2"/>
        <v/>
      </c>
      <c r="H97" s="5" t="str">
        <f t="shared" si="1"/>
        <v/>
      </c>
    </row>
    <row r="98">
      <c r="A98" s="37"/>
      <c r="B98" s="37"/>
      <c r="C98" s="37"/>
      <c r="D98" s="37"/>
      <c r="E98" s="36"/>
      <c r="F98" s="36"/>
      <c r="G98" s="36" t="str">
        <f t="shared" si="2"/>
        <v/>
      </c>
      <c r="H98" s="5" t="str">
        <f t="shared" si="1"/>
        <v/>
      </c>
    </row>
    <row r="99">
      <c r="A99" s="37"/>
      <c r="B99" s="37"/>
      <c r="C99" s="37"/>
      <c r="D99" s="37"/>
      <c r="E99" s="36"/>
      <c r="F99" s="36"/>
      <c r="G99" s="36" t="str">
        <f t="shared" si="2"/>
        <v/>
      </c>
      <c r="H99" s="5" t="str">
        <f t="shared" si="1"/>
        <v/>
      </c>
    </row>
    <row r="100">
      <c r="A100" s="37"/>
      <c r="B100" s="37"/>
      <c r="C100" s="37"/>
      <c r="D100" s="37"/>
      <c r="E100" s="36"/>
      <c r="F100" s="36"/>
      <c r="G100" s="36" t="str">
        <f t="shared" si="2"/>
        <v/>
      </c>
      <c r="H100" s="5" t="str">
        <f t="shared" si="1"/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>
        <f t="shared" ref="E102:F102" si="3">SUM(E7:E101)</f>
        <v>314807.68</v>
      </c>
      <c r="F102" s="55">
        <f t="shared" si="3"/>
        <v>0</v>
      </c>
      <c r="G102" s="56"/>
    </row>
  </sheetData>
  <mergeCells count="2">
    <mergeCell ref="A1:G1"/>
    <mergeCell ref="A5:H5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75"/>
  <cols>
    <col customWidth="1" min="2" max="2" width="62.63"/>
  </cols>
  <sheetData>
    <row r="1">
      <c r="A1" s="24" t="s">
        <v>1760</v>
      </c>
    </row>
    <row r="3">
      <c r="A3" s="15" t="s">
        <v>41</v>
      </c>
      <c r="B3" s="15" t="s">
        <v>127</v>
      </c>
      <c r="C3" s="15" t="s">
        <v>128</v>
      </c>
      <c r="D3" s="15" t="s">
        <v>129</v>
      </c>
    </row>
    <row r="4">
      <c r="A4" s="4" t="s">
        <v>1391</v>
      </c>
      <c r="B4" s="6">
        <f t="shared" ref="B4:B17" si="1">SUMIF($D$19:$D$502,A4,$G$19:$G$502)</f>
        <v>69826.96</v>
      </c>
      <c r="C4" s="6">
        <f t="shared" ref="C4:C17" si="2">COUNTIF($D$19:$D$502,A4)</f>
        <v>43</v>
      </c>
      <c r="D4" s="6">
        <f t="shared" ref="D4:D18" si="3">IFERROR(B4/C4,0)</f>
        <v>1623.882791</v>
      </c>
    </row>
    <row r="5">
      <c r="A5" s="4" t="s">
        <v>1392</v>
      </c>
      <c r="B5" s="6">
        <f t="shared" si="1"/>
        <v>24260.07</v>
      </c>
      <c r="C5" s="6">
        <f t="shared" si="2"/>
        <v>20</v>
      </c>
      <c r="D5" s="6">
        <f t="shared" si="3"/>
        <v>1213.0035</v>
      </c>
    </row>
    <row r="6">
      <c r="A6" s="4" t="s">
        <v>1393</v>
      </c>
      <c r="B6" s="6">
        <f t="shared" si="1"/>
        <v>19724.86</v>
      </c>
      <c r="C6" s="6">
        <f t="shared" si="2"/>
        <v>17</v>
      </c>
      <c r="D6" s="6">
        <f t="shared" si="3"/>
        <v>1160.285882</v>
      </c>
    </row>
    <row r="7">
      <c r="A7" s="4" t="s">
        <v>46</v>
      </c>
      <c r="B7" s="6">
        <f t="shared" si="1"/>
        <v>38060.96</v>
      </c>
      <c r="C7" s="6">
        <f t="shared" si="2"/>
        <v>19</v>
      </c>
      <c r="D7" s="6">
        <f t="shared" si="3"/>
        <v>2003.208421</v>
      </c>
    </row>
    <row r="8">
      <c r="A8" s="4" t="s">
        <v>47</v>
      </c>
      <c r="B8" s="6">
        <f t="shared" si="1"/>
        <v>329881.32</v>
      </c>
      <c r="C8" s="6">
        <f t="shared" si="2"/>
        <v>26</v>
      </c>
      <c r="D8" s="6">
        <f t="shared" si="3"/>
        <v>12687.74308</v>
      </c>
    </row>
    <row r="9">
      <c r="A9" s="4" t="s">
        <v>48</v>
      </c>
      <c r="B9" s="6">
        <f t="shared" si="1"/>
        <v>71998.44</v>
      </c>
      <c r="C9" s="6">
        <f t="shared" si="2"/>
        <v>50</v>
      </c>
      <c r="D9" s="6">
        <f t="shared" si="3"/>
        <v>1439.9688</v>
      </c>
    </row>
    <row r="10">
      <c r="A10" s="4" t="s">
        <v>49</v>
      </c>
      <c r="B10" s="6">
        <f t="shared" si="1"/>
        <v>1087241.22</v>
      </c>
      <c r="C10" s="6">
        <f t="shared" si="2"/>
        <v>16</v>
      </c>
      <c r="D10" s="6">
        <f t="shared" si="3"/>
        <v>67952.57625</v>
      </c>
    </row>
    <row r="11">
      <c r="A11" s="4" t="s">
        <v>50</v>
      </c>
      <c r="B11" s="6">
        <f t="shared" si="1"/>
        <v>16057.58</v>
      </c>
      <c r="C11" s="6">
        <f t="shared" si="2"/>
        <v>34</v>
      </c>
      <c r="D11" s="6">
        <f t="shared" si="3"/>
        <v>472.2817647</v>
      </c>
    </row>
    <row r="12">
      <c r="A12" s="4" t="s">
        <v>51</v>
      </c>
      <c r="B12" s="6">
        <f t="shared" si="1"/>
        <v>14387.17</v>
      </c>
      <c r="C12" s="6">
        <f t="shared" si="2"/>
        <v>18</v>
      </c>
      <c r="D12" s="6">
        <f t="shared" si="3"/>
        <v>799.2872222</v>
      </c>
    </row>
    <row r="13">
      <c r="A13" s="4" t="s">
        <v>52</v>
      </c>
      <c r="B13" s="6">
        <f t="shared" si="1"/>
        <v>250098.41</v>
      </c>
      <c r="C13" s="6">
        <f t="shared" si="2"/>
        <v>20</v>
      </c>
      <c r="D13" s="6">
        <f t="shared" si="3"/>
        <v>12504.9205</v>
      </c>
    </row>
    <row r="14">
      <c r="A14" s="4" t="s">
        <v>1593</v>
      </c>
      <c r="B14" s="6">
        <f t="shared" si="1"/>
        <v>0</v>
      </c>
      <c r="C14" s="6">
        <f t="shared" si="2"/>
        <v>0</v>
      </c>
      <c r="D14" s="6">
        <f t="shared" si="3"/>
        <v>0</v>
      </c>
    </row>
    <row r="15">
      <c r="A15" s="4" t="s">
        <v>58</v>
      </c>
      <c r="B15" s="6">
        <f t="shared" si="1"/>
        <v>12195.64</v>
      </c>
      <c r="C15" s="6">
        <f t="shared" si="2"/>
        <v>11</v>
      </c>
      <c r="D15" s="6">
        <f t="shared" si="3"/>
        <v>1108.694545</v>
      </c>
    </row>
    <row r="16">
      <c r="A16" s="4" t="s">
        <v>1761</v>
      </c>
      <c r="B16" s="6">
        <f t="shared" si="1"/>
        <v>88782.28</v>
      </c>
      <c r="C16" s="6">
        <f t="shared" si="2"/>
        <v>112</v>
      </c>
      <c r="D16" s="6">
        <f t="shared" si="3"/>
        <v>792.6989286</v>
      </c>
    </row>
    <row r="17">
      <c r="A17" s="4" t="s">
        <v>57</v>
      </c>
      <c r="B17" s="6">
        <f t="shared" si="1"/>
        <v>4257.5</v>
      </c>
      <c r="C17" s="6">
        <f t="shared" si="2"/>
        <v>17</v>
      </c>
      <c r="D17" s="6">
        <f t="shared" si="3"/>
        <v>250.4411765</v>
      </c>
    </row>
    <row r="18">
      <c r="A18" s="25" t="s">
        <v>59</v>
      </c>
      <c r="B18" s="6">
        <f t="shared" ref="B18:C18" si="4">SUM(B4:B17)</f>
        <v>2026772.41</v>
      </c>
      <c r="C18" s="6">
        <f t="shared" si="4"/>
        <v>403</v>
      </c>
      <c r="D18" s="6">
        <f t="shared" si="3"/>
        <v>5029.211935</v>
      </c>
    </row>
    <row r="19">
      <c r="C19" s="5"/>
      <c r="D19" s="5"/>
    </row>
    <row r="20">
      <c r="A20" s="15" t="s">
        <v>130</v>
      </c>
      <c r="B20" s="15" t="s">
        <v>131</v>
      </c>
      <c r="C20" s="15" t="s">
        <v>132</v>
      </c>
      <c r="D20" s="15" t="s">
        <v>41</v>
      </c>
      <c r="E20" s="15" t="s">
        <v>133</v>
      </c>
      <c r="F20" s="15" t="s">
        <v>134</v>
      </c>
      <c r="G20" s="15" t="s">
        <v>104</v>
      </c>
      <c r="H20" s="15" t="s">
        <v>135</v>
      </c>
    </row>
    <row r="21">
      <c r="A21" s="60" t="s">
        <v>170</v>
      </c>
      <c r="B21" s="60" t="s">
        <v>171</v>
      </c>
      <c r="C21" s="34" t="s">
        <v>81</v>
      </c>
      <c r="D21" s="34" t="s">
        <v>1391</v>
      </c>
      <c r="E21" s="63">
        <v>135.97</v>
      </c>
      <c r="F21" s="37"/>
      <c r="G21" s="37">
        <f t="shared" ref="G21:G502" si="5">IF(E21="","",E21-F21)</f>
        <v>135.97</v>
      </c>
    </row>
    <row r="22">
      <c r="A22" s="60" t="s">
        <v>174</v>
      </c>
      <c r="B22" s="60" t="s">
        <v>175</v>
      </c>
      <c r="C22" s="34" t="s">
        <v>81</v>
      </c>
      <c r="D22" s="34" t="s">
        <v>1391</v>
      </c>
      <c r="E22" s="63">
        <v>1200.81</v>
      </c>
      <c r="F22" s="37"/>
      <c r="G22" s="37">
        <f t="shared" si="5"/>
        <v>1200.81</v>
      </c>
    </row>
    <row r="23">
      <c r="A23" s="60" t="s">
        <v>176</v>
      </c>
      <c r="B23" s="60" t="s">
        <v>177</v>
      </c>
      <c r="C23" s="34" t="s">
        <v>81</v>
      </c>
      <c r="D23" s="34" t="s">
        <v>1391</v>
      </c>
      <c r="E23" s="63">
        <v>997.93</v>
      </c>
      <c r="F23" s="37"/>
      <c r="G23" s="37">
        <f t="shared" si="5"/>
        <v>997.93</v>
      </c>
    </row>
    <row r="24">
      <c r="A24" s="60" t="s">
        <v>178</v>
      </c>
      <c r="B24" s="60" t="s">
        <v>179</v>
      </c>
      <c r="C24" s="34" t="s">
        <v>81</v>
      </c>
      <c r="D24" s="34" t="s">
        <v>1391</v>
      </c>
      <c r="E24" s="63">
        <v>1611.75</v>
      </c>
      <c r="F24" s="37"/>
      <c r="G24" s="37">
        <f t="shared" si="5"/>
        <v>1611.75</v>
      </c>
    </row>
    <row r="25">
      <c r="A25" s="60" t="s">
        <v>182</v>
      </c>
      <c r="B25" s="60" t="s">
        <v>183</v>
      </c>
      <c r="C25" s="34" t="s">
        <v>81</v>
      </c>
      <c r="D25" s="34" t="s">
        <v>1391</v>
      </c>
      <c r="E25" s="63">
        <v>746.89</v>
      </c>
      <c r="F25" s="37"/>
      <c r="G25" s="37">
        <f t="shared" si="5"/>
        <v>746.89</v>
      </c>
    </row>
    <row r="26">
      <c r="A26" s="60" t="s">
        <v>184</v>
      </c>
      <c r="B26" s="60" t="s">
        <v>185</v>
      </c>
      <c r="C26" s="34" t="s">
        <v>81</v>
      </c>
      <c r="D26" s="34" t="s">
        <v>1391</v>
      </c>
      <c r="E26" s="63">
        <v>1416.81</v>
      </c>
      <c r="F26" s="37"/>
      <c r="G26" s="37">
        <f t="shared" si="5"/>
        <v>1416.81</v>
      </c>
    </row>
    <row r="27">
      <c r="A27" s="60" t="s">
        <v>190</v>
      </c>
      <c r="B27" s="60" t="s">
        <v>191</v>
      </c>
      <c r="C27" s="34" t="s">
        <v>81</v>
      </c>
      <c r="D27" s="34" t="s">
        <v>1391</v>
      </c>
      <c r="E27" s="63">
        <v>1860.81</v>
      </c>
      <c r="F27" s="37"/>
      <c r="G27" s="37">
        <f t="shared" si="5"/>
        <v>1860.81</v>
      </c>
    </row>
    <row r="28">
      <c r="A28" s="60" t="s">
        <v>192</v>
      </c>
      <c r="B28" s="60" t="s">
        <v>193</v>
      </c>
      <c r="C28" s="34" t="s">
        <v>81</v>
      </c>
      <c r="D28" s="34" t="s">
        <v>1391</v>
      </c>
      <c r="E28" s="63">
        <v>1629.71</v>
      </c>
      <c r="F28" s="37"/>
      <c r="G28" s="37">
        <f t="shared" si="5"/>
        <v>1629.71</v>
      </c>
    </row>
    <row r="29">
      <c r="A29" s="60" t="s">
        <v>194</v>
      </c>
      <c r="B29" s="60" t="s">
        <v>195</v>
      </c>
      <c r="C29" s="34" t="s">
        <v>81</v>
      </c>
      <c r="D29" s="34" t="s">
        <v>1391</v>
      </c>
      <c r="E29" s="63">
        <v>1123.68</v>
      </c>
      <c r="F29" s="37"/>
      <c r="G29" s="37">
        <f t="shared" si="5"/>
        <v>1123.68</v>
      </c>
    </row>
    <row r="30">
      <c r="A30" s="60" t="s">
        <v>196</v>
      </c>
      <c r="B30" s="60" t="s">
        <v>197</v>
      </c>
      <c r="C30" s="34" t="s">
        <v>81</v>
      </c>
      <c r="D30" s="34" t="s">
        <v>1391</v>
      </c>
      <c r="E30" s="63">
        <v>480.0</v>
      </c>
      <c r="F30" s="37"/>
      <c r="G30" s="37">
        <f t="shared" si="5"/>
        <v>480</v>
      </c>
    </row>
    <row r="31">
      <c r="A31" s="60" t="s">
        <v>198</v>
      </c>
      <c r="B31" s="60" t="s">
        <v>199</v>
      </c>
      <c r="C31" s="34" t="s">
        <v>81</v>
      </c>
      <c r="D31" s="34" t="s">
        <v>1391</v>
      </c>
      <c r="E31" s="63">
        <v>1263.56</v>
      </c>
      <c r="F31" s="37"/>
      <c r="G31" s="37">
        <f t="shared" si="5"/>
        <v>1263.56</v>
      </c>
    </row>
    <row r="32">
      <c r="A32" s="60" t="s">
        <v>200</v>
      </c>
      <c r="B32" s="60" t="s">
        <v>201</v>
      </c>
      <c r="C32" s="34" t="s">
        <v>81</v>
      </c>
      <c r="D32" s="34" t="s">
        <v>1391</v>
      </c>
      <c r="E32" s="63">
        <v>1021.87</v>
      </c>
      <c r="F32" s="37"/>
      <c r="G32" s="37">
        <f t="shared" si="5"/>
        <v>1021.87</v>
      </c>
    </row>
    <row r="33">
      <c r="A33" s="60" t="s">
        <v>202</v>
      </c>
      <c r="B33" s="60" t="s">
        <v>203</v>
      </c>
      <c r="C33" s="34" t="s">
        <v>81</v>
      </c>
      <c r="D33" s="34" t="s">
        <v>1391</v>
      </c>
      <c r="E33" s="63">
        <v>384.95</v>
      </c>
      <c r="F33" s="37"/>
      <c r="G33" s="37">
        <f t="shared" si="5"/>
        <v>384.95</v>
      </c>
    </row>
    <row r="34">
      <c r="A34" s="60" t="s">
        <v>204</v>
      </c>
      <c r="B34" s="60" t="s">
        <v>205</v>
      </c>
      <c r="C34" s="34" t="s">
        <v>81</v>
      </c>
      <c r="D34" s="34" t="s">
        <v>1391</v>
      </c>
      <c r="E34" s="63">
        <v>1641.78</v>
      </c>
      <c r="F34" s="37"/>
      <c r="G34" s="37">
        <f t="shared" si="5"/>
        <v>1641.78</v>
      </c>
    </row>
    <row r="35">
      <c r="A35" s="60" t="s">
        <v>206</v>
      </c>
      <c r="B35" s="60" t="s">
        <v>207</v>
      </c>
      <c r="C35" s="34" t="s">
        <v>81</v>
      </c>
      <c r="D35" s="34" t="s">
        <v>1391</v>
      </c>
      <c r="E35" s="63">
        <v>2421.64</v>
      </c>
      <c r="F35" s="37"/>
      <c r="G35" s="37">
        <f t="shared" si="5"/>
        <v>2421.64</v>
      </c>
    </row>
    <row r="36">
      <c r="A36" s="60" t="s">
        <v>208</v>
      </c>
      <c r="B36" s="60" t="s">
        <v>209</v>
      </c>
      <c r="C36" s="34" t="s">
        <v>81</v>
      </c>
      <c r="D36" s="34" t="s">
        <v>1391</v>
      </c>
      <c r="E36" s="63">
        <v>5363.13</v>
      </c>
      <c r="F36" s="37"/>
      <c r="G36" s="37">
        <f t="shared" si="5"/>
        <v>5363.13</v>
      </c>
    </row>
    <row r="37">
      <c r="A37" s="60" t="s">
        <v>214</v>
      </c>
      <c r="B37" s="60" t="s">
        <v>215</v>
      </c>
      <c r="C37" s="34" t="s">
        <v>81</v>
      </c>
      <c r="D37" s="34" t="s">
        <v>1391</v>
      </c>
      <c r="E37" s="63">
        <v>234.97</v>
      </c>
      <c r="F37" s="37"/>
      <c r="G37" s="37">
        <f t="shared" si="5"/>
        <v>234.97</v>
      </c>
    </row>
    <row r="38">
      <c r="A38" s="60" t="s">
        <v>216</v>
      </c>
      <c r="B38" s="60" t="s">
        <v>217</v>
      </c>
      <c r="C38" s="34" t="s">
        <v>81</v>
      </c>
      <c r="D38" s="34" t="s">
        <v>1391</v>
      </c>
      <c r="E38" s="63">
        <v>241.97</v>
      </c>
      <c r="F38" s="37"/>
      <c r="G38" s="37">
        <f t="shared" si="5"/>
        <v>241.97</v>
      </c>
    </row>
    <row r="39">
      <c r="A39" s="60" t="s">
        <v>1762</v>
      </c>
      <c r="B39" s="60" t="s">
        <v>1763</v>
      </c>
      <c r="C39" s="34" t="s">
        <v>81</v>
      </c>
      <c r="D39" s="34" t="s">
        <v>1391</v>
      </c>
      <c r="E39" s="63">
        <v>-0.01</v>
      </c>
      <c r="F39" s="37"/>
      <c r="G39" s="37">
        <f t="shared" si="5"/>
        <v>-0.01</v>
      </c>
    </row>
    <row r="40">
      <c r="A40" s="60" t="s">
        <v>218</v>
      </c>
      <c r="B40" s="60" t="s">
        <v>219</v>
      </c>
      <c r="C40" s="34" t="s">
        <v>81</v>
      </c>
      <c r="D40" s="34" t="s">
        <v>1391</v>
      </c>
      <c r="E40" s="63">
        <v>1580.79</v>
      </c>
      <c r="F40" s="37"/>
      <c r="G40" s="37">
        <f t="shared" si="5"/>
        <v>1580.79</v>
      </c>
    </row>
    <row r="41">
      <c r="A41" s="60" t="s">
        <v>220</v>
      </c>
      <c r="B41" s="60" t="s">
        <v>221</v>
      </c>
      <c r="C41" s="34" t="s">
        <v>81</v>
      </c>
      <c r="D41" s="34" t="s">
        <v>1391</v>
      </c>
      <c r="E41" s="63">
        <v>95.94</v>
      </c>
      <c r="F41" s="37"/>
      <c r="G41" s="37">
        <f t="shared" si="5"/>
        <v>95.94</v>
      </c>
    </row>
    <row r="42">
      <c r="A42" s="60" t="s">
        <v>222</v>
      </c>
      <c r="B42" s="60" t="s">
        <v>223</v>
      </c>
      <c r="C42" s="34" t="s">
        <v>81</v>
      </c>
      <c r="D42" s="34" t="s">
        <v>1391</v>
      </c>
      <c r="E42" s="63">
        <v>74.99</v>
      </c>
      <c r="F42" s="37"/>
      <c r="G42" s="37">
        <f t="shared" si="5"/>
        <v>74.99</v>
      </c>
    </row>
    <row r="43">
      <c r="A43" s="60" t="s">
        <v>224</v>
      </c>
      <c r="B43" s="60" t="s">
        <v>225</v>
      </c>
      <c r="C43" s="34" t="s">
        <v>81</v>
      </c>
      <c r="D43" s="34" t="s">
        <v>1391</v>
      </c>
      <c r="E43" s="63">
        <v>1013.86</v>
      </c>
      <c r="F43" s="37"/>
      <c r="G43" s="37">
        <f t="shared" si="5"/>
        <v>1013.86</v>
      </c>
    </row>
    <row r="44">
      <c r="A44" s="60" t="s">
        <v>226</v>
      </c>
      <c r="B44" s="60" t="s">
        <v>227</v>
      </c>
      <c r="C44" s="34" t="s">
        <v>81</v>
      </c>
      <c r="D44" s="34" t="s">
        <v>1391</v>
      </c>
      <c r="E44" s="63">
        <v>500.0</v>
      </c>
      <c r="F44" s="37"/>
      <c r="G44" s="37">
        <f t="shared" si="5"/>
        <v>500</v>
      </c>
    </row>
    <row r="45">
      <c r="A45" s="60" t="s">
        <v>228</v>
      </c>
      <c r="B45" s="60" t="s">
        <v>229</v>
      </c>
      <c r="C45" s="34" t="s">
        <v>81</v>
      </c>
      <c r="D45" s="34" t="s">
        <v>1391</v>
      </c>
      <c r="E45" s="63">
        <v>1206.74</v>
      </c>
      <c r="F45" s="37"/>
      <c r="G45" s="37">
        <f t="shared" si="5"/>
        <v>1206.74</v>
      </c>
    </row>
    <row r="46">
      <c r="A46" s="60" t="s">
        <v>230</v>
      </c>
      <c r="B46" s="60" t="s">
        <v>231</v>
      </c>
      <c r="C46" s="34" t="s">
        <v>81</v>
      </c>
      <c r="D46" s="34" t="s">
        <v>1391</v>
      </c>
      <c r="E46" s="63">
        <v>1246.18</v>
      </c>
      <c r="F46" s="37"/>
      <c r="G46" s="37">
        <f t="shared" si="5"/>
        <v>1246.18</v>
      </c>
    </row>
    <row r="47">
      <c r="A47" s="60" t="s">
        <v>232</v>
      </c>
      <c r="B47" s="60" t="s">
        <v>233</v>
      </c>
      <c r="C47" s="34" t="s">
        <v>81</v>
      </c>
      <c r="D47" s="34" t="s">
        <v>1391</v>
      </c>
      <c r="E47" s="63">
        <v>699.99</v>
      </c>
      <c r="F47" s="37"/>
      <c r="G47" s="37">
        <f t="shared" si="5"/>
        <v>699.99</v>
      </c>
    </row>
    <row r="48">
      <c r="A48" s="60" t="s">
        <v>234</v>
      </c>
      <c r="B48" s="60" t="s">
        <v>235</v>
      </c>
      <c r="C48" s="34" t="s">
        <v>81</v>
      </c>
      <c r="D48" s="34" t="s">
        <v>1391</v>
      </c>
      <c r="E48" s="63">
        <v>100.0</v>
      </c>
      <c r="F48" s="37"/>
      <c r="G48" s="37">
        <f t="shared" si="5"/>
        <v>100</v>
      </c>
    </row>
    <row r="49">
      <c r="A49" s="60" t="s">
        <v>236</v>
      </c>
      <c r="B49" s="60" t="s">
        <v>237</v>
      </c>
      <c r="C49" s="34" t="s">
        <v>81</v>
      </c>
      <c r="D49" s="34" t="s">
        <v>1391</v>
      </c>
      <c r="E49" s="63">
        <v>292.95</v>
      </c>
      <c r="F49" s="37"/>
      <c r="G49" s="37">
        <f t="shared" si="5"/>
        <v>292.95</v>
      </c>
    </row>
    <row r="50">
      <c r="A50" s="60" t="s">
        <v>238</v>
      </c>
      <c r="B50" s="60" t="s">
        <v>239</v>
      </c>
      <c r="C50" s="34" t="s">
        <v>81</v>
      </c>
      <c r="D50" s="34" t="s">
        <v>1391</v>
      </c>
      <c r="E50" s="63">
        <v>1499.78</v>
      </c>
      <c r="F50" s="37"/>
      <c r="G50" s="37">
        <f t="shared" si="5"/>
        <v>1499.78</v>
      </c>
    </row>
    <row r="51">
      <c r="A51" s="60" t="s">
        <v>240</v>
      </c>
      <c r="B51" s="60" t="s">
        <v>241</v>
      </c>
      <c r="C51" s="34" t="s">
        <v>81</v>
      </c>
      <c r="D51" s="34" t="s">
        <v>1391</v>
      </c>
      <c r="E51" s="63">
        <v>12503.87</v>
      </c>
      <c r="F51" s="37"/>
      <c r="G51" s="37">
        <f t="shared" si="5"/>
        <v>12503.87</v>
      </c>
    </row>
    <row r="52">
      <c r="A52" s="60" t="s">
        <v>242</v>
      </c>
      <c r="B52" s="60" t="s">
        <v>243</v>
      </c>
      <c r="C52" s="34" t="s">
        <v>81</v>
      </c>
      <c r="D52" s="34" t="s">
        <v>1391</v>
      </c>
      <c r="E52" s="63">
        <v>15941.86</v>
      </c>
      <c r="F52" s="37"/>
      <c r="G52" s="37">
        <f t="shared" si="5"/>
        <v>15941.86</v>
      </c>
    </row>
    <row r="53">
      <c r="A53" s="60" t="s">
        <v>244</v>
      </c>
      <c r="B53" s="60" t="s">
        <v>245</v>
      </c>
      <c r="C53" s="34" t="s">
        <v>81</v>
      </c>
      <c r="D53" s="34" t="s">
        <v>1391</v>
      </c>
      <c r="E53" s="63">
        <v>650.86</v>
      </c>
      <c r="F53" s="37"/>
      <c r="G53" s="37">
        <f t="shared" si="5"/>
        <v>650.86</v>
      </c>
    </row>
    <row r="54">
      <c r="A54" s="60" t="s">
        <v>982</v>
      </c>
      <c r="B54" s="60" t="s">
        <v>983</v>
      </c>
      <c r="C54" s="34" t="s">
        <v>81</v>
      </c>
      <c r="D54" s="34" t="s">
        <v>1391</v>
      </c>
      <c r="E54" s="63">
        <v>1018.02</v>
      </c>
      <c r="F54" s="37"/>
      <c r="G54" s="37">
        <f t="shared" si="5"/>
        <v>1018.02</v>
      </c>
    </row>
    <row r="55">
      <c r="A55" s="60" t="s">
        <v>248</v>
      </c>
      <c r="B55" s="60" t="s">
        <v>249</v>
      </c>
      <c r="C55" s="34" t="s">
        <v>81</v>
      </c>
      <c r="D55" s="34" t="s">
        <v>1391</v>
      </c>
      <c r="E55" s="63">
        <v>1.87</v>
      </c>
      <c r="F55" s="37"/>
      <c r="G55" s="37">
        <f t="shared" si="5"/>
        <v>1.87</v>
      </c>
    </row>
    <row r="56">
      <c r="A56" s="60" t="s">
        <v>250</v>
      </c>
      <c r="B56" s="60" t="s">
        <v>251</v>
      </c>
      <c r="C56" s="34" t="s">
        <v>81</v>
      </c>
      <c r="D56" s="34" t="s">
        <v>1391</v>
      </c>
      <c r="E56" s="63">
        <v>1021.86</v>
      </c>
      <c r="F56" s="37"/>
      <c r="G56" s="37">
        <f t="shared" si="5"/>
        <v>1021.86</v>
      </c>
    </row>
    <row r="57">
      <c r="A57" s="60" t="s">
        <v>252</v>
      </c>
      <c r="B57" s="60" t="s">
        <v>253</v>
      </c>
      <c r="C57" s="34" t="s">
        <v>81</v>
      </c>
      <c r="D57" s="34" t="s">
        <v>1391</v>
      </c>
      <c r="E57" s="63">
        <v>387.93</v>
      </c>
      <c r="F57" s="37"/>
      <c r="G57" s="37">
        <f t="shared" si="5"/>
        <v>387.93</v>
      </c>
    </row>
    <row r="58">
      <c r="A58" s="60" t="s">
        <v>256</v>
      </c>
      <c r="B58" s="60" t="s">
        <v>257</v>
      </c>
      <c r="C58" s="34" t="s">
        <v>81</v>
      </c>
      <c r="D58" s="34" t="s">
        <v>1391</v>
      </c>
      <c r="E58" s="63">
        <v>1017.88</v>
      </c>
      <c r="F58" s="37"/>
      <c r="G58" s="37">
        <f t="shared" si="5"/>
        <v>1017.88</v>
      </c>
    </row>
    <row r="59">
      <c r="A59" s="60" t="s">
        <v>258</v>
      </c>
      <c r="B59" s="60" t="s">
        <v>259</v>
      </c>
      <c r="C59" s="34" t="s">
        <v>81</v>
      </c>
      <c r="D59" s="34" t="s">
        <v>1391</v>
      </c>
      <c r="E59" s="63">
        <v>1379.83</v>
      </c>
      <c r="F59" s="37"/>
      <c r="G59" s="37">
        <f t="shared" si="5"/>
        <v>1379.83</v>
      </c>
    </row>
    <row r="60">
      <c r="A60" s="60" t="s">
        <v>260</v>
      </c>
      <c r="B60" s="60" t="s">
        <v>261</v>
      </c>
      <c r="C60" s="34" t="s">
        <v>81</v>
      </c>
      <c r="D60" s="34" t="s">
        <v>1391</v>
      </c>
      <c r="E60" s="63">
        <v>689.9</v>
      </c>
      <c r="F60" s="37"/>
      <c r="G60" s="37">
        <f t="shared" si="5"/>
        <v>689.9</v>
      </c>
    </row>
    <row r="61">
      <c r="A61" s="60" t="s">
        <v>262</v>
      </c>
      <c r="B61" s="60" t="s">
        <v>263</v>
      </c>
      <c r="C61" s="34" t="s">
        <v>81</v>
      </c>
      <c r="D61" s="34" t="s">
        <v>1391</v>
      </c>
      <c r="E61" s="63">
        <v>1651.86</v>
      </c>
      <c r="F61" s="37"/>
      <c r="G61" s="37">
        <f t="shared" si="5"/>
        <v>1651.86</v>
      </c>
    </row>
    <row r="62">
      <c r="A62" s="60" t="s">
        <v>264</v>
      </c>
      <c r="B62" s="60" t="s">
        <v>265</v>
      </c>
      <c r="C62" s="34" t="s">
        <v>81</v>
      </c>
      <c r="D62" s="34" t="s">
        <v>1391</v>
      </c>
      <c r="E62" s="63">
        <v>571.92</v>
      </c>
      <c r="F62" s="37"/>
      <c r="G62" s="37">
        <f t="shared" si="5"/>
        <v>571.92</v>
      </c>
    </row>
    <row r="63">
      <c r="A63" s="60" t="s">
        <v>266</v>
      </c>
      <c r="B63" s="60" t="s">
        <v>267</v>
      </c>
      <c r="C63" s="34" t="s">
        <v>81</v>
      </c>
      <c r="D63" s="34" t="s">
        <v>1391</v>
      </c>
      <c r="E63" s="63">
        <v>899.86</v>
      </c>
      <c r="F63" s="37"/>
      <c r="G63" s="37">
        <f t="shared" si="5"/>
        <v>899.86</v>
      </c>
    </row>
    <row r="64">
      <c r="A64" s="60" t="s">
        <v>136</v>
      </c>
      <c r="B64" s="60" t="s">
        <v>137</v>
      </c>
      <c r="C64" s="34" t="s">
        <v>83</v>
      </c>
      <c r="D64" s="34" t="s">
        <v>1392</v>
      </c>
      <c r="E64" s="63">
        <v>1191.83</v>
      </c>
      <c r="F64" s="37"/>
      <c r="G64" s="37">
        <f t="shared" si="5"/>
        <v>1191.83</v>
      </c>
    </row>
    <row r="65">
      <c r="A65" s="60" t="s">
        <v>138</v>
      </c>
      <c r="B65" s="60" t="s">
        <v>139</v>
      </c>
      <c r="C65" s="34" t="s">
        <v>83</v>
      </c>
      <c r="D65" s="34" t="s">
        <v>1392</v>
      </c>
      <c r="E65" s="63">
        <v>1939.7</v>
      </c>
      <c r="F65" s="37"/>
      <c r="G65" s="37">
        <f t="shared" si="5"/>
        <v>1939.7</v>
      </c>
    </row>
    <row r="66">
      <c r="A66" s="60" t="s">
        <v>142</v>
      </c>
      <c r="B66" s="60" t="s">
        <v>143</v>
      </c>
      <c r="C66" s="34" t="s">
        <v>83</v>
      </c>
      <c r="D66" s="34" t="s">
        <v>1392</v>
      </c>
      <c r="E66" s="63">
        <v>1460.78</v>
      </c>
      <c r="F66" s="37"/>
      <c r="G66" s="37">
        <f t="shared" si="5"/>
        <v>1460.78</v>
      </c>
    </row>
    <row r="67">
      <c r="A67" s="60" t="s">
        <v>1395</v>
      </c>
      <c r="B67" s="60" t="s">
        <v>1764</v>
      </c>
      <c r="C67" s="34" t="s">
        <v>83</v>
      </c>
      <c r="D67" s="34" t="s">
        <v>1392</v>
      </c>
      <c r="E67" s="63">
        <v>1691.77</v>
      </c>
      <c r="F67" s="37"/>
      <c r="G67" s="37">
        <f t="shared" si="5"/>
        <v>1691.77</v>
      </c>
    </row>
    <row r="68">
      <c r="A68" s="60" t="s">
        <v>1600</v>
      </c>
      <c r="B68" s="60" t="s">
        <v>1601</v>
      </c>
      <c r="C68" s="34" t="s">
        <v>83</v>
      </c>
      <c r="D68" s="34" t="s">
        <v>1392</v>
      </c>
      <c r="E68" s="63">
        <v>881.87</v>
      </c>
      <c r="F68" s="37"/>
      <c r="G68" s="37">
        <f t="shared" si="5"/>
        <v>881.87</v>
      </c>
    </row>
    <row r="69">
      <c r="A69" s="60" t="s">
        <v>144</v>
      </c>
      <c r="B69" s="60" t="s">
        <v>145</v>
      </c>
      <c r="C69" s="34" t="s">
        <v>83</v>
      </c>
      <c r="D69" s="34" t="s">
        <v>1392</v>
      </c>
      <c r="E69" s="63">
        <v>284.96</v>
      </c>
      <c r="F69" s="37"/>
      <c r="G69" s="37">
        <f t="shared" si="5"/>
        <v>284.96</v>
      </c>
    </row>
    <row r="70">
      <c r="A70" s="60" t="s">
        <v>1397</v>
      </c>
      <c r="B70" s="60" t="s">
        <v>1398</v>
      </c>
      <c r="C70" s="34" t="s">
        <v>83</v>
      </c>
      <c r="D70" s="34" t="s">
        <v>1392</v>
      </c>
      <c r="E70" s="63">
        <v>977.87</v>
      </c>
      <c r="F70" s="37"/>
      <c r="G70" s="37">
        <f t="shared" si="5"/>
        <v>977.87</v>
      </c>
    </row>
    <row r="71">
      <c r="A71" s="60" t="s">
        <v>1602</v>
      </c>
      <c r="B71" s="60" t="s">
        <v>1603</v>
      </c>
      <c r="C71" s="34" t="s">
        <v>83</v>
      </c>
      <c r="D71" s="34" t="s">
        <v>1392</v>
      </c>
      <c r="E71" s="63">
        <v>1006.35</v>
      </c>
      <c r="F71" s="37"/>
      <c r="G71" s="37">
        <f t="shared" si="5"/>
        <v>1006.35</v>
      </c>
    </row>
    <row r="72">
      <c r="A72" s="60" t="s">
        <v>1604</v>
      </c>
      <c r="B72" s="60" t="s">
        <v>1605</v>
      </c>
      <c r="C72" s="34" t="s">
        <v>83</v>
      </c>
      <c r="D72" s="34" t="s">
        <v>1392</v>
      </c>
      <c r="E72" s="63">
        <v>324.94</v>
      </c>
      <c r="F72" s="37"/>
      <c r="G72" s="37">
        <f t="shared" si="5"/>
        <v>324.94</v>
      </c>
    </row>
    <row r="73">
      <c r="A73" s="60" t="s">
        <v>148</v>
      </c>
      <c r="B73" s="60" t="s">
        <v>149</v>
      </c>
      <c r="C73" s="34" t="s">
        <v>83</v>
      </c>
      <c r="D73" s="34" t="s">
        <v>1392</v>
      </c>
      <c r="E73" s="63">
        <v>875.84</v>
      </c>
      <c r="F73" s="37"/>
      <c r="G73" s="37">
        <f t="shared" si="5"/>
        <v>875.84</v>
      </c>
    </row>
    <row r="74">
      <c r="A74" s="60" t="s">
        <v>150</v>
      </c>
      <c r="B74" s="60" t="s">
        <v>151</v>
      </c>
      <c r="C74" s="34" t="s">
        <v>83</v>
      </c>
      <c r="D74" s="34" t="s">
        <v>1392</v>
      </c>
      <c r="E74" s="63">
        <v>1257.81</v>
      </c>
      <c r="F74" s="37"/>
      <c r="G74" s="37">
        <f t="shared" si="5"/>
        <v>1257.81</v>
      </c>
    </row>
    <row r="75">
      <c r="A75" s="60" t="s">
        <v>1765</v>
      </c>
      <c r="B75" s="60" t="s">
        <v>1766</v>
      </c>
      <c r="C75" s="34" t="s">
        <v>83</v>
      </c>
      <c r="D75" s="34" t="s">
        <v>1392</v>
      </c>
      <c r="E75" s="63">
        <v>-0.01</v>
      </c>
      <c r="F75" s="37"/>
      <c r="G75" s="37">
        <f t="shared" si="5"/>
        <v>-0.01</v>
      </c>
    </row>
    <row r="76">
      <c r="A76" s="60" t="s">
        <v>152</v>
      </c>
      <c r="B76" s="60" t="s">
        <v>153</v>
      </c>
      <c r="C76" s="34" t="s">
        <v>83</v>
      </c>
      <c r="D76" s="34" t="s">
        <v>1392</v>
      </c>
      <c r="E76" s="63">
        <v>3843.49</v>
      </c>
      <c r="F76" s="37"/>
      <c r="G76" s="37">
        <f t="shared" si="5"/>
        <v>3843.49</v>
      </c>
    </row>
    <row r="77">
      <c r="A77" s="60" t="s">
        <v>154</v>
      </c>
      <c r="B77" s="60" t="s">
        <v>155</v>
      </c>
      <c r="C77" s="34" t="s">
        <v>83</v>
      </c>
      <c r="D77" s="34" t="s">
        <v>1392</v>
      </c>
      <c r="E77" s="63">
        <v>1293.82</v>
      </c>
      <c r="F77" s="37"/>
      <c r="G77" s="37">
        <f t="shared" si="5"/>
        <v>1293.82</v>
      </c>
    </row>
    <row r="78">
      <c r="A78" s="60" t="s">
        <v>156</v>
      </c>
      <c r="B78" s="60" t="s">
        <v>157</v>
      </c>
      <c r="C78" s="34" t="s">
        <v>83</v>
      </c>
      <c r="D78" s="34" t="s">
        <v>1392</v>
      </c>
      <c r="E78" s="63">
        <v>1015.85</v>
      </c>
      <c r="F78" s="37"/>
      <c r="G78" s="37">
        <f t="shared" si="5"/>
        <v>1015.85</v>
      </c>
    </row>
    <row r="79">
      <c r="A79" s="60" t="s">
        <v>158</v>
      </c>
      <c r="B79" s="60" t="s">
        <v>159</v>
      </c>
      <c r="C79" s="34" t="s">
        <v>83</v>
      </c>
      <c r="D79" s="34" t="s">
        <v>1392</v>
      </c>
      <c r="E79" s="63">
        <v>1133.83</v>
      </c>
      <c r="F79" s="37"/>
      <c r="G79" s="37">
        <f t="shared" si="5"/>
        <v>1133.83</v>
      </c>
    </row>
    <row r="80">
      <c r="A80" s="60" t="s">
        <v>160</v>
      </c>
      <c r="B80" s="60" t="s">
        <v>161</v>
      </c>
      <c r="C80" s="34" t="s">
        <v>83</v>
      </c>
      <c r="D80" s="34" t="s">
        <v>1392</v>
      </c>
      <c r="E80" s="63">
        <v>2342.74</v>
      </c>
      <c r="F80" s="37"/>
      <c r="G80" s="37">
        <f t="shared" si="5"/>
        <v>2342.74</v>
      </c>
    </row>
    <row r="81">
      <c r="A81" s="60" t="s">
        <v>162</v>
      </c>
      <c r="B81" s="60" t="s">
        <v>163</v>
      </c>
      <c r="C81" s="34" t="s">
        <v>83</v>
      </c>
      <c r="D81" s="34" t="s">
        <v>1392</v>
      </c>
      <c r="E81" s="63">
        <v>1205.82</v>
      </c>
      <c r="F81" s="37"/>
      <c r="G81" s="37">
        <f t="shared" si="5"/>
        <v>1205.82</v>
      </c>
    </row>
    <row r="82">
      <c r="A82" s="60" t="s">
        <v>168</v>
      </c>
      <c r="B82" s="60" t="s">
        <v>169</v>
      </c>
      <c r="C82" s="34" t="s">
        <v>83</v>
      </c>
      <c r="D82" s="34" t="s">
        <v>1392</v>
      </c>
      <c r="E82" s="63">
        <v>1007.87</v>
      </c>
      <c r="F82" s="37"/>
      <c r="G82" s="37">
        <f t="shared" si="5"/>
        <v>1007.87</v>
      </c>
    </row>
    <row r="83">
      <c r="A83" s="60" t="s">
        <v>1767</v>
      </c>
      <c r="B83" s="60" t="s">
        <v>1768</v>
      </c>
      <c r="C83" s="34" t="s">
        <v>83</v>
      </c>
      <c r="D83" s="34" t="s">
        <v>1392</v>
      </c>
      <c r="E83" s="63">
        <v>522.94</v>
      </c>
      <c r="F83" s="37"/>
      <c r="G83" s="37">
        <f t="shared" si="5"/>
        <v>522.94</v>
      </c>
    </row>
    <row r="84">
      <c r="A84" s="60" t="s">
        <v>278</v>
      </c>
      <c r="B84" s="60" t="s">
        <v>279</v>
      </c>
      <c r="C84" s="34" t="s">
        <v>82</v>
      </c>
      <c r="D84" s="34" t="s">
        <v>1393</v>
      </c>
      <c r="E84" s="63">
        <v>1627.75</v>
      </c>
      <c r="F84" s="37"/>
      <c r="G84" s="37">
        <f t="shared" si="5"/>
        <v>1627.75</v>
      </c>
    </row>
    <row r="85">
      <c r="A85" s="60" t="s">
        <v>280</v>
      </c>
      <c r="B85" s="60" t="s">
        <v>281</v>
      </c>
      <c r="C85" s="34" t="s">
        <v>82</v>
      </c>
      <c r="D85" s="34" t="s">
        <v>1393</v>
      </c>
      <c r="E85" s="63">
        <v>1699.99</v>
      </c>
      <c r="F85" s="37"/>
      <c r="G85" s="37">
        <f t="shared" si="5"/>
        <v>1699.99</v>
      </c>
    </row>
    <row r="86">
      <c r="A86" s="60" t="s">
        <v>282</v>
      </c>
      <c r="B86" s="60" t="s">
        <v>283</v>
      </c>
      <c r="C86" s="34" t="s">
        <v>82</v>
      </c>
      <c r="D86" s="34" t="s">
        <v>1393</v>
      </c>
      <c r="E86" s="63">
        <v>499.86</v>
      </c>
      <c r="F86" s="37"/>
      <c r="G86" s="37">
        <f t="shared" si="5"/>
        <v>499.86</v>
      </c>
    </row>
    <row r="87">
      <c r="A87" s="60" t="s">
        <v>284</v>
      </c>
      <c r="B87" s="60" t="s">
        <v>285</v>
      </c>
      <c r="C87" s="34" t="s">
        <v>82</v>
      </c>
      <c r="D87" s="34" t="s">
        <v>1393</v>
      </c>
      <c r="E87" s="63">
        <v>1106.23</v>
      </c>
      <c r="F87" s="37"/>
      <c r="G87" s="37">
        <f t="shared" si="5"/>
        <v>1106.23</v>
      </c>
    </row>
    <row r="88">
      <c r="A88" s="60" t="s">
        <v>1769</v>
      </c>
      <c r="B88" s="60" t="s">
        <v>1770</v>
      </c>
      <c r="C88" s="34" t="s">
        <v>82</v>
      </c>
      <c r="D88" s="34" t="s">
        <v>1393</v>
      </c>
      <c r="E88" s="63">
        <v>1001.88</v>
      </c>
      <c r="F88" s="37"/>
      <c r="G88" s="37">
        <f t="shared" si="5"/>
        <v>1001.88</v>
      </c>
    </row>
    <row r="89">
      <c r="A89" s="60" t="s">
        <v>286</v>
      </c>
      <c r="B89" s="60" t="s">
        <v>287</v>
      </c>
      <c r="C89" s="34" t="s">
        <v>82</v>
      </c>
      <c r="D89" s="34" t="s">
        <v>1393</v>
      </c>
      <c r="E89" s="63">
        <v>1100.34</v>
      </c>
      <c r="F89" s="37"/>
      <c r="G89" s="37">
        <f t="shared" si="5"/>
        <v>1100.34</v>
      </c>
    </row>
    <row r="90">
      <c r="A90" s="60" t="s">
        <v>288</v>
      </c>
      <c r="B90" s="60" t="s">
        <v>289</v>
      </c>
      <c r="C90" s="34" t="s">
        <v>82</v>
      </c>
      <c r="D90" s="34" t="s">
        <v>1393</v>
      </c>
      <c r="E90" s="63">
        <v>1123.85</v>
      </c>
      <c r="F90" s="37"/>
      <c r="G90" s="37">
        <f t="shared" si="5"/>
        <v>1123.85</v>
      </c>
    </row>
    <row r="91">
      <c r="A91" s="60" t="s">
        <v>290</v>
      </c>
      <c r="B91" s="60" t="s">
        <v>291</v>
      </c>
      <c r="C91" s="34" t="s">
        <v>82</v>
      </c>
      <c r="D91" s="34" t="s">
        <v>1393</v>
      </c>
      <c r="E91" s="63">
        <v>2106.0</v>
      </c>
      <c r="F91" s="37"/>
      <c r="G91" s="37">
        <f t="shared" si="5"/>
        <v>2106</v>
      </c>
    </row>
    <row r="92">
      <c r="A92" s="60" t="s">
        <v>292</v>
      </c>
      <c r="B92" s="60" t="s">
        <v>293</v>
      </c>
      <c r="C92" s="34" t="s">
        <v>82</v>
      </c>
      <c r="D92" s="34" t="s">
        <v>1393</v>
      </c>
      <c r="E92" s="63">
        <v>399.87</v>
      </c>
      <c r="F92" s="37"/>
      <c r="G92" s="37">
        <f t="shared" si="5"/>
        <v>399.87</v>
      </c>
    </row>
    <row r="93">
      <c r="A93" s="60" t="s">
        <v>294</v>
      </c>
      <c r="B93" s="60" t="s">
        <v>295</v>
      </c>
      <c r="C93" s="34" t="s">
        <v>82</v>
      </c>
      <c r="D93" s="34" t="s">
        <v>1393</v>
      </c>
      <c r="E93" s="63">
        <v>1018.86</v>
      </c>
      <c r="F93" s="37"/>
      <c r="G93" s="37">
        <f t="shared" si="5"/>
        <v>1018.86</v>
      </c>
    </row>
    <row r="94">
      <c r="A94" s="60" t="s">
        <v>1771</v>
      </c>
      <c r="B94" s="60" t="s">
        <v>1772</v>
      </c>
      <c r="C94" s="34" t="s">
        <v>82</v>
      </c>
      <c r="D94" s="34" t="s">
        <v>1393</v>
      </c>
      <c r="E94" s="63">
        <v>2213.68</v>
      </c>
      <c r="F94" s="37"/>
      <c r="G94" s="37">
        <f t="shared" si="5"/>
        <v>2213.68</v>
      </c>
    </row>
    <row r="95">
      <c r="A95" s="60" t="s">
        <v>296</v>
      </c>
      <c r="B95" s="60" t="s">
        <v>297</v>
      </c>
      <c r="C95" s="34" t="s">
        <v>82</v>
      </c>
      <c r="D95" s="34" t="s">
        <v>1393</v>
      </c>
      <c r="E95" s="63">
        <v>1026.8</v>
      </c>
      <c r="F95" s="37"/>
      <c r="G95" s="37">
        <f t="shared" si="5"/>
        <v>1026.8</v>
      </c>
    </row>
    <row r="96">
      <c r="A96" s="60" t="s">
        <v>298</v>
      </c>
      <c r="B96" s="60" t="s">
        <v>299</v>
      </c>
      <c r="C96" s="34" t="s">
        <v>82</v>
      </c>
      <c r="D96" s="34" t="s">
        <v>1393</v>
      </c>
      <c r="E96" s="63">
        <v>159.97</v>
      </c>
      <c r="F96" s="37"/>
      <c r="G96" s="37">
        <f t="shared" si="5"/>
        <v>159.97</v>
      </c>
    </row>
    <row r="97">
      <c r="A97" s="60" t="s">
        <v>300</v>
      </c>
      <c r="B97" s="60" t="s">
        <v>301</v>
      </c>
      <c r="C97" s="34" t="s">
        <v>82</v>
      </c>
      <c r="D97" s="34" t="s">
        <v>1393</v>
      </c>
      <c r="E97" s="63">
        <v>343.95</v>
      </c>
      <c r="F97" s="37"/>
      <c r="G97" s="37">
        <f t="shared" si="5"/>
        <v>343.95</v>
      </c>
    </row>
    <row r="98">
      <c r="A98" s="60" t="s">
        <v>1415</v>
      </c>
      <c r="B98" s="60" t="s">
        <v>1416</v>
      </c>
      <c r="C98" s="34" t="s">
        <v>82</v>
      </c>
      <c r="D98" s="34" t="s">
        <v>1393</v>
      </c>
      <c r="E98" s="63">
        <v>2918.03</v>
      </c>
      <c r="F98" s="37"/>
      <c r="G98" s="37">
        <f t="shared" si="5"/>
        <v>2918.03</v>
      </c>
    </row>
    <row r="99">
      <c r="A99" s="60" t="s">
        <v>304</v>
      </c>
      <c r="B99" s="60" t="s">
        <v>305</v>
      </c>
      <c r="C99" s="34" t="s">
        <v>82</v>
      </c>
      <c r="D99" s="34" t="s">
        <v>1393</v>
      </c>
      <c r="E99" s="63">
        <v>1171.83</v>
      </c>
      <c r="F99" s="37"/>
      <c r="G99" s="37">
        <f t="shared" si="5"/>
        <v>1171.83</v>
      </c>
    </row>
    <row r="100">
      <c r="A100" s="60" t="s">
        <v>1773</v>
      </c>
      <c r="B100" s="60" t="s">
        <v>1774</v>
      </c>
      <c r="C100" s="34" t="s">
        <v>82</v>
      </c>
      <c r="D100" s="34" t="s">
        <v>1393</v>
      </c>
      <c r="E100" s="63">
        <v>205.97</v>
      </c>
      <c r="F100" s="37"/>
      <c r="G100" s="37">
        <f t="shared" si="5"/>
        <v>205.97</v>
      </c>
    </row>
    <row r="101">
      <c r="A101" s="60" t="s">
        <v>308</v>
      </c>
      <c r="B101" s="60" t="s">
        <v>309</v>
      </c>
      <c r="C101" s="34" t="s">
        <v>73</v>
      </c>
      <c r="D101" s="34" t="s">
        <v>52</v>
      </c>
      <c r="E101" s="63">
        <v>26401.5</v>
      </c>
      <c r="F101" s="37"/>
      <c r="G101" s="37">
        <f t="shared" si="5"/>
        <v>26401.5</v>
      </c>
    </row>
    <row r="102">
      <c r="A102" s="60" t="s">
        <v>1417</v>
      </c>
      <c r="B102" s="60" t="s">
        <v>1418</v>
      </c>
      <c r="C102" s="34" t="s">
        <v>73</v>
      </c>
      <c r="D102" s="34" t="s">
        <v>52</v>
      </c>
      <c r="E102" s="63">
        <v>1178.56</v>
      </c>
      <c r="F102" s="37"/>
      <c r="G102" s="37">
        <f t="shared" si="5"/>
        <v>1178.56</v>
      </c>
    </row>
    <row r="103">
      <c r="A103" s="60" t="s">
        <v>310</v>
      </c>
      <c r="B103" s="60" t="s">
        <v>311</v>
      </c>
      <c r="C103" s="34" t="s">
        <v>73</v>
      </c>
      <c r="D103" s="34" t="s">
        <v>52</v>
      </c>
      <c r="E103" s="63">
        <v>19329.37</v>
      </c>
      <c r="F103" s="37"/>
      <c r="G103" s="37">
        <f t="shared" si="5"/>
        <v>19329.37</v>
      </c>
    </row>
    <row r="104">
      <c r="A104" s="60" t="s">
        <v>312</v>
      </c>
      <c r="B104" s="60" t="s">
        <v>313</v>
      </c>
      <c r="C104" s="34" t="s">
        <v>73</v>
      </c>
      <c r="D104" s="34" t="s">
        <v>52</v>
      </c>
      <c r="E104" s="63">
        <v>4949.79</v>
      </c>
      <c r="F104" s="37"/>
      <c r="G104" s="37">
        <f t="shared" si="5"/>
        <v>4949.79</v>
      </c>
    </row>
    <row r="105">
      <c r="A105" s="60" t="s">
        <v>314</v>
      </c>
      <c r="B105" s="60" t="s">
        <v>315</v>
      </c>
      <c r="C105" s="34" t="s">
        <v>73</v>
      </c>
      <c r="D105" s="34" t="s">
        <v>52</v>
      </c>
      <c r="E105" s="63">
        <v>9947.73</v>
      </c>
      <c r="F105" s="37"/>
      <c r="G105" s="37">
        <f t="shared" si="5"/>
        <v>9947.73</v>
      </c>
    </row>
    <row r="106">
      <c r="A106" s="60" t="s">
        <v>316</v>
      </c>
      <c r="B106" s="60" t="s">
        <v>317</v>
      </c>
      <c r="C106" s="34" t="s">
        <v>73</v>
      </c>
      <c r="D106" s="34" t="s">
        <v>52</v>
      </c>
      <c r="E106" s="63">
        <v>5302.76</v>
      </c>
      <c r="F106" s="37"/>
      <c r="G106" s="37">
        <f t="shared" si="5"/>
        <v>5302.76</v>
      </c>
    </row>
    <row r="107">
      <c r="A107" s="60" t="s">
        <v>318</v>
      </c>
      <c r="B107" s="60" t="s">
        <v>319</v>
      </c>
      <c r="C107" s="34" t="s">
        <v>73</v>
      </c>
      <c r="D107" s="34" t="s">
        <v>52</v>
      </c>
      <c r="E107" s="63">
        <v>10564.87</v>
      </c>
      <c r="F107" s="37"/>
      <c r="G107" s="37">
        <f t="shared" si="5"/>
        <v>10564.87</v>
      </c>
    </row>
    <row r="108">
      <c r="A108" s="60" t="s">
        <v>320</v>
      </c>
      <c r="B108" s="60" t="s">
        <v>321</v>
      </c>
      <c r="C108" s="34" t="s">
        <v>73</v>
      </c>
      <c r="D108" s="34" t="s">
        <v>52</v>
      </c>
      <c r="E108" s="63">
        <v>3223.25</v>
      </c>
      <c r="F108" s="37"/>
      <c r="G108" s="37">
        <f t="shared" si="5"/>
        <v>3223.25</v>
      </c>
    </row>
    <row r="109">
      <c r="A109" s="60" t="s">
        <v>322</v>
      </c>
      <c r="B109" s="60" t="s">
        <v>323</v>
      </c>
      <c r="C109" s="34" t="s">
        <v>73</v>
      </c>
      <c r="D109" s="34" t="s">
        <v>52</v>
      </c>
      <c r="E109" s="63">
        <v>1379.98</v>
      </c>
      <c r="F109" s="37"/>
      <c r="G109" s="37">
        <f t="shared" si="5"/>
        <v>1379.98</v>
      </c>
    </row>
    <row r="110">
      <c r="A110" s="60" t="s">
        <v>1612</v>
      </c>
      <c r="B110" s="60" t="s">
        <v>1613</v>
      </c>
      <c r="C110" s="34" t="s">
        <v>73</v>
      </c>
      <c r="D110" s="34" t="s">
        <v>52</v>
      </c>
      <c r="E110" s="63">
        <v>1939.89</v>
      </c>
      <c r="F110" s="37"/>
      <c r="G110" s="37">
        <f t="shared" si="5"/>
        <v>1939.89</v>
      </c>
    </row>
    <row r="111">
      <c r="A111" s="60" t="s">
        <v>326</v>
      </c>
      <c r="B111" s="60" t="s">
        <v>327</v>
      </c>
      <c r="C111" s="34" t="s">
        <v>73</v>
      </c>
      <c r="D111" s="34" t="s">
        <v>52</v>
      </c>
      <c r="E111" s="63">
        <v>1019.99</v>
      </c>
      <c r="F111" s="37"/>
      <c r="G111" s="37">
        <f t="shared" si="5"/>
        <v>1019.99</v>
      </c>
    </row>
    <row r="112">
      <c r="A112" s="60" t="s">
        <v>328</v>
      </c>
      <c r="B112" s="60" t="s">
        <v>329</v>
      </c>
      <c r="C112" s="34" t="s">
        <v>73</v>
      </c>
      <c r="D112" s="34" t="s">
        <v>52</v>
      </c>
      <c r="E112" s="63">
        <v>19129.42</v>
      </c>
      <c r="F112" s="37"/>
      <c r="G112" s="37">
        <f t="shared" si="5"/>
        <v>19129.42</v>
      </c>
    </row>
    <row r="113">
      <c r="A113" s="60" t="s">
        <v>330</v>
      </c>
      <c r="B113" s="60" t="s">
        <v>331</v>
      </c>
      <c r="C113" s="34" t="s">
        <v>73</v>
      </c>
      <c r="D113" s="34" t="s">
        <v>52</v>
      </c>
      <c r="E113" s="63">
        <v>3399.98</v>
      </c>
      <c r="F113" s="37"/>
      <c r="G113" s="37">
        <f t="shared" si="5"/>
        <v>3399.98</v>
      </c>
    </row>
    <row r="114">
      <c r="A114" s="60" t="s">
        <v>332</v>
      </c>
      <c r="B114" s="60" t="s">
        <v>333</v>
      </c>
      <c r="C114" s="34" t="s">
        <v>73</v>
      </c>
      <c r="D114" s="34" t="s">
        <v>52</v>
      </c>
      <c r="E114" s="63">
        <v>550.75</v>
      </c>
      <c r="F114" s="37"/>
      <c r="G114" s="37">
        <f t="shared" si="5"/>
        <v>550.75</v>
      </c>
    </row>
    <row r="115">
      <c r="A115" s="60" t="s">
        <v>334</v>
      </c>
      <c r="B115" s="60" t="s">
        <v>335</v>
      </c>
      <c r="C115" s="34" t="s">
        <v>73</v>
      </c>
      <c r="D115" s="34" t="s">
        <v>52</v>
      </c>
      <c r="E115" s="63">
        <v>113590.29</v>
      </c>
      <c r="F115" s="37"/>
      <c r="G115" s="37">
        <f t="shared" si="5"/>
        <v>113590.29</v>
      </c>
    </row>
    <row r="116">
      <c r="A116" s="60" t="s">
        <v>336</v>
      </c>
      <c r="B116" s="60" t="s">
        <v>337</v>
      </c>
      <c r="C116" s="34" t="s">
        <v>73</v>
      </c>
      <c r="D116" s="34" t="s">
        <v>52</v>
      </c>
      <c r="E116" s="63">
        <v>3781.83</v>
      </c>
      <c r="F116" s="37"/>
      <c r="G116" s="37">
        <f t="shared" si="5"/>
        <v>3781.83</v>
      </c>
    </row>
    <row r="117">
      <c r="A117" s="60" t="s">
        <v>338</v>
      </c>
      <c r="B117" s="60" t="s">
        <v>339</v>
      </c>
      <c r="C117" s="34" t="s">
        <v>73</v>
      </c>
      <c r="D117" s="34" t="s">
        <v>52</v>
      </c>
      <c r="E117" s="63">
        <v>4799.96</v>
      </c>
      <c r="F117" s="37"/>
      <c r="G117" s="37">
        <f t="shared" si="5"/>
        <v>4799.96</v>
      </c>
    </row>
    <row r="118">
      <c r="A118" s="60" t="s">
        <v>340</v>
      </c>
      <c r="B118" s="60" t="s">
        <v>341</v>
      </c>
      <c r="C118" s="34" t="s">
        <v>73</v>
      </c>
      <c r="D118" s="34" t="s">
        <v>52</v>
      </c>
      <c r="E118" s="63">
        <v>885.99</v>
      </c>
      <c r="F118" s="37"/>
      <c r="G118" s="37">
        <f t="shared" si="5"/>
        <v>885.99</v>
      </c>
    </row>
    <row r="119">
      <c r="A119" s="60" t="s">
        <v>342</v>
      </c>
      <c r="B119" s="60" t="s">
        <v>343</v>
      </c>
      <c r="C119" s="34" t="s">
        <v>73</v>
      </c>
      <c r="D119" s="34" t="s">
        <v>52</v>
      </c>
      <c r="E119" s="63">
        <v>6325.0</v>
      </c>
      <c r="F119" s="37"/>
      <c r="G119" s="37">
        <f t="shared" si="5"/>
        <v>6325</v>
      </c>
    </row>
    <row r="120">
      <c r="A120" s="60" t="s">
        <v>344</v>
      </c>
      <c r="B120" s="60" t="s">
        <v>345</v>
      </c>
      <c r="C120" s="34" t="s">
        <v>73</v>
      </c>
      <c r="D120" s="34" t="s">
        <v>52</v>
      </c>
      <c r="E120" s="63">
        <v>12397.5</v>
      </c>
      <c r="F120" s="37"/>
      <c r="G120" s="37">
        <f t="shared" si="5"/>
        <v>12397.5</v>
      </c>
    </row>
    <row r="121">
      <c r="A121" s="60" t="s">
        <v>350</v>
      </c>
      <c r="B121" s="60" t="s">
        <v>351</v>
      </c>
      <c r="C121" s="34" t="s">
        <v>75</v>
      </c>
      <c r="D121" s="34" t="s">
        <v>48</v>
      </c>
      <c r="E121" s="63">
        <v>100.0</v>
      </c>
      <c r="F121" s="37"/>
      <c r="G121" s="37">
        <f t="shared" si="5"/>
        <v>100</v>
      </c>
    </row>
    <row r="122">
      <c r="A122" s="60" t="s">
        <v>352</v>
      </c>
      <c r="B122" s="60" t="s">
        <v>353</v>
      </c>
      <c r="C122" s="34" t="s">
        <v>75</v>
      </c>
      <c r="D122" s="34" t="s">
        <v>48</v>
      </c>
      <c r="E122" s="63">
        <v>108.98</v>
      </c>
      <c r="F122" s="37"/>
      <c r="G122" s="37">
        <f t="shared" si="5"/>
        <v>108.98</v>
      </c>
    </row>
    <row r="123">
      <c r="A123" s="60" t="s">
        <v>354</v>
      </c>
      <c r="B123" s="60" t="s">
        <v>355</v>
      </c>
      <c r="C123" s="34" t="s">
        <v>75</v>
      </c>
      <c r="D123" s="34" t="s">
        <v>48</v>
      </c>
      <c r="E123" s="63">
        <v>744.0</v>
      </c>
      <c r="F123" s="37"/>
      <c r="G123" s="37">
        <f t="shared" si="5"/>
        <v>744</v>
      </c>
    </row>
    <row r="124">
      <c r="A124" s="60" t="s">
        <v>356</v>
      </c>
      <c r="B124" s="60" t="s">
        <v>357</v>
      </c>
      <c r="C124" s="34" t="s">
        <v>75</v>
      </c>
      <c r="D124" s="34" t="s">
        <v>48</v>
      </c>
      <c r="E124" s="63">
        <v>149.98</v>
      </c>
      <c r="F124" s="37"/>
      <c r="G124" s="37">
        <f t="shared" si="5"/>
        <v>149.98</v>
      </c>
    </row>
    <row r="125">
      <c r="A125" s="60" t="s">
        <v>358</v>
      </c>
      <c r="B125" s="60" t="s">
        <v>359</v>
      </c>
      <c r="C125" s="34" t="s">
        <v>75</v>
      </c>
      <c r="D125" s="34" t="s">
        <v>48</v>
      </c>
      <c r="E125" s="63">
        <v>207.98</v>
      </c>
      <c r="F125" s="37"/>
      <c r="G125" s="37">
        <f t="shared" si="5"/>
        <v>207.98</v>
      </c>
    </row>
    <row r="126">
      <c r="A126" s="60" t="s">
        <v>362</v>
      </c>
      <c r="B126" s="60" t="s">
        <v>363</v>
      </c>
      <c r="C126" s="34" t="s">
        <v>75</v>
      </c>
      <c r="D126" s="34" t="s">
        <v>48</v>
      </c>
      <c r="E126" s="63">
        <v>142.98</v>
      </c>
      <c r="F126" s="37"/>
      <c r="G126" s="37">
        <f t="shared" si="5"/>
        <v>142.98</v>
      </c>
    </row>
    <row r="127">
      <c r="A127" s="60" t="s">
        <v>364</v>
      </c>
      <c r="B127" s="60" t="s">
        <v>365</v>
      </c>
      <c r="C127" s="34" t="s">
        <v>75</v>
      </c>
      <c r="D127" s="34" t="s">
        <v>48</v>
      </c>
      <c r="E127" s="63">
        <v>7333.01</v>
      </c>
      <c r="F127" s="37"/>
      <c r="G127" s="37">
        <f t="shared" si="5"/>
        <v>7333.01</v>
      </c>
    </row>
    <row r="128">
      <c r="A128" s="60" t="s">
        <v>366</v>
      </c>
      <c r="B128" s="60" t="s">
        <v>367</v>
      </c>
      <c r="C128" s="34" t="s">
        <v>75</v>
      </c>
      <c r="D128" s="34" t="s">
        <v>48</v>
      </c>
      <c r="E128" s="63">
        <v>1941.73</v>
      </c>
      <c r="F128" s="37"/>
      <c r="G128" s="37">
        <f t="shared" si="5"/>
        <v>1941.73</v>
      </c>
    </row>
    <row r="129">
      <c r="A129" s="60" t="s">
        <v>368</v>
      </c>
      <c r="B129" s="60" t="s">
        <v>1618</v>
      </c>
      <c r="C129" s="34" t="s">
        <v>75</v>
      </c>
      <c r="D129" s="34" t="s">
        <v>48</v>
      </c>
      <c r="E129" s="63">
        <v>8772.3</v>
      </c>
      <c r="F129" s="37"/>
      <c r="G129" s="37">
        <f t="shared" si="5"/>
        <v>8772.3</v>
      </c>
    </row>
    <row r="130">
      <c r="A130" s="60" t="s">
        <v>1443</v>
      </c>
      <c r="B130" s="60" t="s">
        <v>1444</v>
      </c>
      <c r="C130" s="34" t="s">
        <v>75</v>
      </c>
      <c r="D130" s="34" t="s">
        <v>48</v>
      </c>
      <c r="E130" s="63">
        <v>2605.66</v>
      </c>
      <c r="F130" s="37"/>
      <c r="G130" s="37">
        <f t="shared" si="5"/>
        <v>2605.66</v>
      </c>
    </row>
    <row r="131">
      <c r="A131" s="60" t="s">
        <v>716</v>
      </c>
      <c r="B131" s="60" t="s">
        <v>717</v>
      </c>
      <c r="C131" s="34" t="s">
        <v>75</v>
      </c>
      <c r="D131" s="34" t="s">
        <v>48</v>
      </c>
      <c r="E131" s="63">
        <v>919.97</v>
      </c>
      <c r="F131" s="37"/>
      <c r="G131" s="37">
        <f t="shared" si="5"/>
        <v>919.97</v>
      </c>
    </row>
    <row r="132">
      <c r="A132" s="60" t="s">
        <v>370</v>
      </c>
      <c r="B132" s="60" t="s">
        <v>371</v>
      </c>
      <c r="C132" s="34" t="s">
        <v>75</v>
      </c>
      <c r="D132" s="34" t="s">
        <v>48</v>
      </c>
      <c r="E132" s="63">
        <v>4736.28</v>
      </c>
      <c r="F132" s="37"/>
      <c r="G132" s="37">
        <f t="shared" si="5"/>
        <v>4736.28</v>
      </c>
    </row>
    <row r="133">
      <c r="A133" s="60" t="s">
        <v>374</v>
      </c>
      <c r="B133" s="60" t="s">
        <v>375</v>
      </c>
      <c r="C133" s="34" t="s">
        <v>75</v>
      </c>
      <c r="D133" s="34" t="s">
        <v>48</v>
      </c>
      <c r="E133" s="63">
        <v>327.02</v>
      </c>
      <c r="F133" s="37"/>
      <c r="G133" s="37">
        <f t="shared" si="5"/>
        <v>327.02</v>
      </c>
    </row>
    <row r="134">
      <c r="A134" s="60" t="s">
        <v>376</v>
      </c>
      <c r="B134" s="60" t="s">
        <v>377</v>
      </c>
      <c r="C134" s="34" t="s">
        <v>75</v>
      </c>
      <c r="D134" s="34" t="s">
        <v>48</v>
      </c>
      <c r="E134" s="63">
        <v>679.88</v>
      </c>
      <c r="F134" s="37"/>
      <c r="G134" s="37">
        <f t="shared" si="5"/>
        <v>679.88</v>
      </c>
    </row>
    <row r="135">
      <c r="A135" s="60" t="s">
        <v>382</v>
      </c>
      <c r="B135" s="60" t="s">
        <v>383</v>
      </c>
      <c r="C135" s="34" t="s">
        <v>75</v>
      </c>
      <c r="D135" s="34" t="s">
        <v>48</v>
      </c>
      <c r="E135" s="63">
        <v>161.0</v>
      </c>
      <c r="F135" s="37"/>
      <c r="G135" s="37">
        <f t="shared" si="5"/>
        <v>161</v>
      </c>
    </row>
    <row r="136">
      <c r="A136" s="60" t="s">
        <v>1423</v>
      </c>
      <c r="B136" s="60" t="s">
        <v>1424</v>
      </c>
      <c r="C136" s="34" t="s">
        <v>75</v>
      </c>
      <c r="D136" s="34" t="s">
        <v>48</v>
      </c>
      <c r="E136" s="63">
        <v>108.98</v>
      </c>
      <c r="F136" s="37"/>
      <c r="G136" s="37">
        <f t="shared" si="5"/>
        <v>108.98</v>
      </c>
    </row>
    <row r="137">
      <c r="A137" s="60" t="s">
        <v>384</v>
      </c>
      <c r="B137" s="60" t="s">
        <v>385</v>
      </c>
      <c r="C137" s="34" t="s">
        <v>75</v>
      </c>
      <c r="D137" s="34" t="s">
        <v>48</v>
      </c>
      <c r="E137" s="63">
        <v>2469.68</v>
      </c>
      <c r="F137" s="37"/>
      <c r="G137" s="37">
        <f t="shared" si="5"/>
        <v>2469.68</v>
      </c>
    </row>
    <row r="138">
      <c r="A138" s="60" t="s">
        <v>386</v>
      </c>
      <c r="B138" s="60" t="s">
        <v>387</v>
      </c>
      <c r="C138" s="34" t="s">
        <v>75</v>
      </c>
      <c r="D138" s="34" t="s">
        <v>48</v>
      </c>
      <c r="E138" s="63">
        <v>333.96</v>
      </c>
      <c r="F138" s="37"/>
      <c r="G138" s="37">
        <f t="shared" si="5"/>
        <v>333.96</v>
      </c>
    </row>
    <row r="139">
      <c r="A139" s="60" t="s">
        <v>388</v>
      </c>
      <c r="B139" s="60" t="s">
        <v>389</v>
      </c>
      <c r="C139" s="34" t="s">
        <v>75</v>
      </c>
      <c r="D139" s="34" t="s">
        <v>48</v>
      </c>
      <c r="E139" s="63">
        <v>513.9</v>
      </c>
      <c r="F139" s="37"/>
      <c r="G139" s="37">
        <f t="shared" si="5"/>
        <v>513.9</v>
      </c>
    </row>
    <row r="140">
      <c r="A140" s="60" t="s">
        <v>746</v>
      </c>
      <c r="B140" s="60" t="s">
        <v>747</v>
      </c>
      <c r="C140" s="34" t="s">
        <v>75</v>
      </c>
      <c r="D140" s="34" t="s">
        <v>48</v>
      </c>
      <c r="E140" s="63">
        <v>1039.85</v>
      </c>
      <c r="F140" s="37"/>
      <c r="G140" s="37">
        <f t="shared" si="5"/>
        <v>1039.85</v>
      </c>
    </row>
    <row r="141">
      <c r="A141" s="60" t="s">
        <v>390</v>
      </c>
      <c r="B141" s="60" t="s">
        <v>391</v>
      </c>
      <c r="C141" s="34" t="s">
        <v>75</v>
      </c>
      <c r="D141" s="34" t="s">
        <v>48</v>
      </c>
      <c r="E141" s="63">
        <v>500.0</v>
      </c>
      <c r="F141" s="37"/>
      <c r="G141" s="37">
        <f t="shared" si="5"/>
        <v>500</v>
      </c>
    </row>
    <row r="142">
      <c r="A142" s="60" t="s">
        <v>392</v>
      </c>
      <c r="B142" s="60" t="s">
        <v>393</v>
      </c>
      <c r="C142" s="34" t="s">
        <v>75</v>
      </c>
      <c r="D142" s="34" t="s">
        <v>48</v>
      </c>
      <c r="E142" s="63">
        <v>739.69</v>
      </c>
      <c r="F142" s="37"/>
      <c r="G142" s="37">
        <f t="shared" si="5"/>
        <v>739.69</v>
      </c>
    </row>
    <row r="143">
      <c r="A143" s="60" t="s">
        <v>396</v>
      </c>
      <c r="B143" s="60" t="s">
        <v>397</v>
      </c>
      <c r="C143" s="34" t="s">
        <v>75</v>
      </c>
      <c r="D143" s="34" t="s">
        <v>48</v>
      </c>
      <c r="E143" s="63">
        <v>518.99</v>
      </c>
      <c r="F143" s="37"/>
      <c r="G143" s="37">
        <f t="shared" si="5"/>
        <v>518.99</v>
      </c>
    </row>
    <row r="144">
      <c r="A144" s="60" t="s">
        <v>748</v>
      </c>
      <c r="B144" s="60" t="s">
        <v>749</v>
      </c>
      <c r="C144" s="34" t="s">
        <v>75</v>
      </c>
      <c r="D144" s="34" t="s">
        <v>48</v>
      </c>
      <c r="E144" s="63">
        <v>125.98</v>
      </c>
      <c r="F144" s="37"/>
      <c r="G144" s="37">
        <f t="shared" si="5"/>
        <v>125.98</v>
      </c>
    </row>
    <row r="145">
      <c r="A145" s="60" t="s">
        <v>400</v>
      </c>
      <c r="B145" s="60" t="s">
        <v>1621</v>
      </c>
      <c r="C145" s="34" t="s">
        <v>75</v>
      </c>
      <c r="D145" s="34" t="s">
        <v>48</v>
      </c>
      <c r="E145" s="63">
        <v>581.96</v>
      </c>
      <c r="F145" s="37"/>
      <c r="G145" s="37">
        <f t="shared" si="5"/>
        <v>581.96</v>
      </c>
    </row>
    <row r="146">
      <c r="A146" s="60" t="s">
        <v>402</v>
      </c>
      <c r="B146" s="60" t="s">
        <v>403</v>
      </c>
      <c r="C146" s="34" t="s">
        <v>75</v>
      </c>
      <c r="D146" s="34" t="s">
        <v>48</v>
      </c>
      <c r="E146" s="63">
        <v>327.02</v>
      </c>
      <c r="F146" s="37"/>
      <c r="G146" s="37">
        <f t="shared" si="5"/>
        <v>327.02</v>
      </c>
    </row>
    <row r="147">
      <c r="A147" s="60" t="s">
        <v>404</v>
      </c>
      <c r="B147" s="60" t="s">
        <v>405</v>
      </c>
      <c r="C147" s="34" t="s">
        <v>75</v>
      </c>
      <c r="D147" s="34" t="s">
        <v>48</v>
      </c>
      <c r="E147" s="63">
        <v>1215.58</v>
      </c>
      <c r="F147" s="37"/>
      <c r="G147" s="37">
        <f t="shared" si="5"/>
        <v>1215.58</v>
      </c>
    </row>
    <row r="148">
      <c r="A148" s="60" t="s">
        <v>406</v>
      </c>
      <c r="B148" s="60" t="s">
        <v>407</v>
      </c>
      <c r="C148" s="34" t="s">
        <v>75</v>
      </c>
      <c r="D148" s="34" t="s">
        <v>48</v>
      </c>
      <c r="E148" s="63">
        <v>434.15</v>
      </c>
      <c r="F148" s="37"/>
      <c r="G148" s="37">
        <f t="shared" si="5"/>
        <v>434.15</v>
      </c>
    </row>
    <row r="149">
      <c r="A149" s="60" t="s">
        <v>410</v>
      </c>
      <c r="B149" s="60" t="s">
        <v>1622</v>
      </c>
      <c r="C149" s="34" t="s">
        <v>75</v>
      </c>
      <c r="D149" s="34" t="s">
        <v>48</v>
      </c>
      <c r="E149" s="63">
        <v>242.98</v>
      </c>
      <c r="F149" s="37"/>
      <c r="G149" s="37">
        <f t="shared" si="5"/>
        <v>242.98</v>
      </c>
    </row>
    <row r="150">
      <c r="A150" s="60" t="s">
        <v>412</v>
      </c>
      <c r="B150" s="60" t="s">
        <v>413</v>
      </c>
      <c r="C150" s="34" t="s">
        <v>75</v>
      </c>
      <c r="D150" s="34" t="s">
        <v>48</v>
      </c>
      <c r="E150" s="63">
        <v>955.63</v>
      </c>
      <c r="F150" s="37"/>
      <c r="G150" s="37">
        <f t="shared" si="5"/>
        <v>955.63</v>
      </c>
    </row>
    <row r="151">
      <c r="A151" s="60" t="s">
        <v>1616</v>
      </c>
      <c r="B151" s="60" t="s">
        <v>1617</v>
      </c>
      <c r="C151" s="34" t="s">
        <v>75</v>
      </c>
      <c r="D151" s="34" t="s">
        <v>48</v>
      </c>
      <c r="E151" s="63">
        <v>300.6</v>
      </c>
      <c r="F151" s="37"/>
      <c r="G151" s="37">
        <f t="shared" si="5"/>
        <v>300.6</v>
      </c>
    </row>
    <row r="152">
      <c r="A152" s="60" t="s">
        <v>424</v>
      </c>
      <c r="B152" s="60" t="s">
        <v>425</v>
      </c>
      <c r="C152" s="34" t="s">
        <v>75</v>
      </c>
      <c r="D152" s="34" t="s">
        <v>48</v>
      </c>
      <c r="E152" s="63">
        <v>285.96</v>
      </c>
      <c r="F152" s="37"/>
      <c r="G152" s="37">
        <f t="shared" si="5"/>
        <v>285.96</v>
      </c>
    </row>
    <row r="153">
      <c r="A153" s="60" t="s">
        <v>426</v>
      </c>
      <c r="B153" s="60" t="s">
        <v>427</v>
      </c>
      <c r="C153" s="34" t="s">
        <v>75</v>
      </c>
      <c r="D153" s="34" t="s">
        <v>48</v>
      </c>
      <c r="E153" s="63">
        <v>234.97</v>
      </c>
      <c r="F153" s="37"/>
      <c r="G153" s="37">
        <f t="shared" si="5"/>
        <v>234.97</v>
      </c>
    </row>
    <row r="154">
      <c r="A154" s="60" t="s">
        <v>430</v>
      </c>
      <c r="B154" s="60" t="s">
        <v>431</v>
      </c>
      <c r="C154" s="34" t="s">
        <v>75</v>
      </c>
      <c r="D154" s="34" t="s">
        <v>48</v>
      </c>
      <c r="E154" s="63">
        <v>318.97</v>
      </c>
      <c r="F154" s="37"/>
      <c r="G154" s="37">
        <f t="shared" si="5"/>
        <v>318.97</v>
      </c>
    </row>
    <row r="155">
      <c r="A155" s="60" t="s">
        <v>432</v>
      </c>
      <c r="B155" s="60" t="s">
        <v>433</v>
      </c>
      <c r="C155" s="34" t="s">
        <v>75</v>
      </c>
      <c r="D155" s="34" t="s">
        <v>48</v>
      </c>
      <c r="E155" s="63">
        <v>544.05</v>
      </c>
      <c r="F155" s="37"/>
      <c r="G155" s="37">
        <f t="shared" si="5"/>
        <v>544.05</v>
      </c>
    </row>
    <row r="156">
      <c r="A156" s="60" t="s">
        <v>434</v>
      </c>
      <c r="B156" s="60" t="s">
        <v>435</v>
      </c>
      <c r="C156" s="34" t="s">
        <v>75</v>
      </c>
      <c r="D156" s="34" t="s">
        <v>48</v>
      </c>
      <c r="E156" s="63">
        <v>167.01</v>
      </c>
      <c r="F156" s="37"/>
      <c r="G156" s="37">
        <f t="shared" si="5"/>
        <v>167.01</v>
      </c>
    </row>
    <row r="157">
      <c r="A157" s="60" t="s">
        <v>436</v>
      </c>
      <c r="B157" s="60" t="s">
        <v>437</v>
      </c>
      <c r="C157" s="34" t="s">
        <v>75</v>
      </c>
      <c r="D157" s="34" t="s">
        <v>48</v>
      </c>
      <c r="E157" s="63">
        <v>67.99</v>
      </c>
      <c r="F157" s="37"/>
      <c r="G157" s="37">
        <f t="shared" si="5"/>
        <v>67.99</v>
      </c>
    </row>
    <row r="158">
      <c r="A158" s="60" t="s">
        <v>438</v>
      </c>
      <c r="B158" s="60" t="s">
        <v>439</v>
      </c>
      <c r="C158" s="34" t="s">
        <v>75</v>
      </c>
      <c r="D158" s="34" t="s">
        <v>48</v>
      </c>
      <c r="E158" s="63">
        <v>1022.04</v>
      </c>
      <c r="F158" s="37"/>
      <c r="G158" s="37">
        <f t="shared" si="5"/>
        <v>1022.04</v>
      </c>
    </row>
    <row r="159">
      <c r="A159" s="60" t="s">
        <v>440</v>
      </c>
      <c r="B159" s="60" t="s">
        <v>441</v>
      </c>
      <c r="C159" s="34" t="s">
        <v>75</v>
      </c>
      <c r="D159" s="34" t="s">
        <v>48</v>
      </c>
      <c r="E159" s="63">
        <v>596.01</v>
      </c>
      <c r="F159" s="37"/>
      <c r="G159" s="37">
        <f t="shared" si="5"/>
        <v>596.01</v>
      </c>
    </row>
    <row r="160">
      <c r="A160" s="60" t="s">
        <v>442</v>
      </c>
      <c r="B160" s="60" t="s">
        <v>443</v>
      </c>
      <c r="C160" s="34" t="s">
        <v>75</v>
      </c>
      <c r="D160" s="34" t="s">
        <v>48</v>
      </c>
      <c r="E160" s="63">
        <v>8280.28</v>
      </c>
      <c r="F160" s="37"/>
      <c r="G160" s="37">
        <f t="shared" si="5"/>
        <v>8280.28</v>
      </c>
    </row>
    <row r="161">
      <c r="A161" s="60" t="s">
        <v>446</v>
      </c>
      <c r="B161" s="60" t="s">
        <v>447</v>
      </c>
      <c r="C161" s="34" t="s">
        <v>75</v>
      </c>
      <c r="D161" s="34" t="s">
        <v>48</v>
      </c>
      <c r="E161" s="63">
        <v>1589.24</v>
      </c>
      <c r="F161" s="37"/>
      <c r="G161" s="37">
        <f t="shared" si="5"/>
        <v>1589.24</v>
      </c>
    </row>
    <row r="162">
      <c r="A162" s="60" t="s">
        <v>448</v>
      </c>
      <c r="B162" s="60" t="s">
        <v>449</v>
      </c>
      <c r="C162" s="34" t="s">
        <v>75</v>
      </c>
      <c r="D162" s="34" t="s">
        <v>48</v>
      </c>
      <c r="E162" s="63">
        <v>1395.77</v>
      </c>
      <c r="F162" s="37"/>
      <c r="G162" s="37">
        <f t="shared" si="5"/>
        <v>1395.77</v>
      </c>
    </row>
    <row r="163">
      <c r="A163" s="60" t="s">
        <v>450</v>
      </c>
      <c r="B163" s="60" t="s">
        <v>451</v>
      </c>
      <c r="C163" s="34" t="s">
        <v>75</v>
      </c>
      <c r="D163" s="34" t="s">
        <v>48</v>
      </c>
      <c r="E163" s="63">
        <v>1723.8</v>
      </c>
      <c r="F163" s="37"/>
      <c r="G163" s="37">
        <f t="shared" si="5"/>
        <v>1723.8</v>
      </c>
    </row>
    <row r="164">
      <c r="A164" s="60" t="s">
        <v>454</v>
      </c>
      <c r="B164" s="60" t="s">
        <v>455</v>
      </c>
      <c r="C164" s="34" t="s">
        <v>75</v>
      </c>
      <c r="D164" s="34" t="s">
        <v>48</v>
      </c>
      <c r="E164" s="63">
        <v>109.0</v>
      </c>
      <c r="F164" s="37"/>
      <c r="G164" s="37">
        <f t="shared" si="5"/>
        <v>109</v>
      </c>
    </row>
    <row r="165">
      <c r="A165" s="60" t="s">
        <v>458</v>
      </c>
      <c r="B165" s="60" t="s">
        <v>459</v>
      </c>
      <c r="C165" s="34" t="s">
        <v>75</v>
      </c>
      <c r="D165" s="34" t="s">
        <v>48</v>
      </c>
      <c r="E165" s="63">
        <v>629.99</v>
      </c>
      <c r="F165" s="37"/>
      <c r="G165" s="37">
        <f t="shared" si="5"/>
        <v>629.99</v>
      </c>
    </row>
    <row r="166">
      <c r="A166" s="60" t="s">
        <v>460</v>
      </c>
      <c r="B166" s="60" t="s">
        <v>461</v>
      </c>
      <c r="C166" s="34" t="s">
        <v>75</v>
      </c>
      <c r="D166" s="34" t="s">
        <v>48</v>
      </c>
      <c r="E166" s="63">
        <v>252.64</v>
      </c>
      <c r="F166" s="37"/>
      <c r="G166" s="37">
        <f t="shared" si="5"/>
        <v>252.64</v>
      </c>
    </row>
    <row r="167">
      <c r="A167" s="60" t="s">
        <v>462</v>
      </c>
      <c r="B167" s="60" t="s">
        <v>463</v>
      </c>
      <c r="C167" s="34" t="s">
        <v>75</v>
      </c>
      <c r="D167" s="34" t="s">
        <v>48</v>
      </c>
      <c r="E167" s="63">
        <v>9660.16</v>
      </c>
      <c r="F167" s="37"/>
      <c r="G167" s="37">
        <f t="shared" si="5"/>
        <v>9660.16</v>
      </c>
    </row>
    <row r="168">
      <c r="A168" s="60" t="s">
        <v>466</v>
      </c>
      <c r="B168" s="60" t="s">
        <v>467</v>
      </c>
      <c r="C168" s="34" t="s">
        <v>75</v>
      </c>
      <c r="D168" s="34" t="s">
        <v>48</v>
      </c>
      <c r="E168" s="63">
        <v>2282.0</v>
      </c>
      <c r="F168" s="37"/>
      <c r="G168" s="37">
        <f t="shared" si="5"/>
        <v>2282</v>
      </c>
    </row>
    <row r="169">
      <c r="A169" s="60" t="s">
        <v>468</v>
      </c>
      <c r="B169" s="60" t="s">
        <v>469</v>
      </c>
      <c r="C169" s="34" t="s">
        <v>75</v>
      </c>
      <c r="D169" s="34" t="s">
        <v>48</v>
      </c>
      <c r="E169" s="63">
        <v>2779.42</v>
      </c>
      <c r="F169" s="37"/>
      <c r="G169" s="37">
        <f t="shared" si="5"/>
        <v>2779.42</v>
      </c>
    </row>
    <row r="170">
      <c r="A170" s="60" t="s">
        <v>470</v>
      </c>
      <c r="B170" s="60" t="s">
        <v>471</v>
      </c>
      <c r="C170" s="34" t="s">
        <v>75</v>
      </c>
      <c r="D170" s="34" t="s">
        <v>48</v>
      </c>
      <c r="E170" s="63">
        <v>719.42</v>
      </c>
      <c r="F170" s="37"/>
      <c r="G170" s="37">
        <f t="shared" si="5"/>
        <v>719.42</v>
      </c>
    </row>
    <row r="171">
      <c r="A171" s="60" t="s">
        <v>472</v>
      </c>
      <c r="B171" s="60" t="s">
        <v>473</v>
      </c>
      <c r="C171" s="34" t="s">
        <v>75</v>
      </c>
      <c r="D171" s="34" t="s">
        <v>1761</v>
      </c>
      <c r="E171" s="63">
        <v>273.02</v>
      </c>
      <c r="F171" s="37"/>
      <c r="G171" s="37">
        <f t="shared" si="5"/>
        <v>273.02</v>
      </c>
    </row>
    <row r="172">
      <c r="A172" s="60" t="s">
        <v>474</v>
      </c>
      <c r="B172" s="60" t="s">
        <v>475</v>
      </c>
      <c r="C172" s="34" t="s">
        <v>75</v>
      </c>
      <c r="D172" s="34" t="s">
        <v>1761</v>
      </c>
      <c r="E172" s="63">
        <v>47.28</v>
      </c>
      <c r="F172" s="37"/>
      <c r="G172" s="37">
        <f t="shared" si="5"/>
        <v>47.28</v>
      </c>
    </row>
    <row r="173">
      <c r="A173" s="60" t="s">
        <v>476</v>
      </c>
      <c r="B173" s="60" t="s">
        <v>477</v>
      </c>
      <c r="C173" s="34" t="s">
        <v>75</v>
      </c>
      <c r="D173" s="34" t="s">
        <v>1761</v>
      </c>
      <c r="E173" s="63">
        <v>101.98</v>
      </c>
      <c r="F173" s="37"/>
      <c r="G173" s="37">
        <f t="shared" si="5"/>
        <v>101.98</v>
      </c>
    </row>
    <row r="174">
      <c r="A174" s="60" t="s">
        <v>478</v>
      </c>
      <c r="B174" s="60" t="s">
        <v>479</v>
      </c>
      <c r="C174" s="34" t="s">
        <v>75</v>
      </c>
      <c r="D174" s="34" t="s">
        <v>1761</v>
      </c>
      <c r="E174" s="63">
        <v>275.96</v>
      </c>
      <c r="F174" s="37"/>
      <c r="G174" s="37">
        <f t="shared" si="5"/>
        <v>275.96</v>
      </c>
    </row>
    <row r="175">
      <c r="A175" s="60" t="s">
        <v>480</v>
      </c>
      <c r="B175" s="60" t="s">
        <v>481</v>
      </c>
      <c r="C175" s="34" t="s">
        <v>75</v>
      </c>
      <c r="D175" s="34" t="s">
        <v>1761</v>
      </c>
      <c r="E175" s="63">
        <v>200.98</v>
      </c>
      <c r="F175" s="37"/>
      <c r="G175" s="37">
        <f t="shared" si="5"/>
        <v>200.98</v>
      </c>
    </row>
    <row r="176">
      <c r="A176" s="60" t="s">
        <v>482</v>
      </c>
      <c r="B176" s="60" t="s">
        <v>483</v>
      </c>
      <c r="C176" s="34" t="s">
        <v>75</v>
      </c>
      <c r="D176" s="34" t="s">
        <v>1761</v>
      </c>
      <c r="E176" s="63">
        <v>207.97</v>
      </c>
      <c r="F176" s="37"/>
      <c r="G176" s="37">
        <f t="shared" si="5"/>
        <v>207.97</v>
      </c>
    </row>
    <row r="177">
      <c r="A177" s="60" t="s">
        <v>484</v>
      </c>
      <c r="B177" s="60" t="s">
        <v>485</v>
      </c>
      <c r="C177" s="34" t="s">
        <v>75</v>
      </c>
      <c r="D177" s="34" t="s">
        <v>1761</v>
      </c>
      <c r="E177" s="63">
        <v>778.02</v>
      </c>
      <c r="F177" s="37"/>
      <c r="G177" s="37">
        <f t="shared" si="5"/>
        <v>778.02</v>
      </c>
    </row>
    <row r="178">
      <c r="A178" s="60" t="s">
        <v>486</v>
      </c>
      <c r="B178" s="60" t="s">
        <v>487</v>
      </c>
      <c r="C178" s="34" t="s">
        <v>75</v>
      </c>
      <c r="D178" s="34" t="s">
        <v>1761</v>
      </c>
      <c r="E178" s="63">
        <v>530.95</v>
      </c>
      <c r="F178" s="37"/>
      <c r="G178" s="37">
        <f t="shared" si="5"/>
        <v>530.95</v>
      </c>
    </row>
    <row r="179">
      <c r="A179" s="60" t="s">
        <v>488</v>
      </c>
      <c r="B179" s="60" t="s">
        <v>489</v>
      </c>
      <c r="C179" s="34" t="s">
        <v>75</v>
      </c>
      <c r="D179" s="34" t="s">
        <v>1761</v>
      </c>
      <c r="E179" s="63">
        <v>108.98</v>
      </c>
      <c r="F179" s="37"/>
      <c r="G179" s="37">
        <f t="shared" si="5"/>
        <v>108.98</v>
      </c>
    </row>
    <row r="180">
      <c r="A180" s="60" t="s">
        <v>490</v>
      </c>
      <c r="B180" s="60" t="s">
        <v>491</v>
      </c>
      <c r="C180" s="34" t="s">
        <v>75</v>
      </c>
      <c r="D180" s="34" t="s">
        <v>1761</v>
      </c>
      <c r="E180" s="63">
        <v>285.96</v>
      </c>
      <c r="F180" s="37"/>
      <c r="G180" s="37">
        <f t="shared" si="5"/>
        <v>285.96</v>
      </c>
    </row>
    <row r="181">
      <c r="A181" s="60" t="s">
        <v>492</v>
      </c>
      <c r="B181" s="60" t="s">
        <v>493</v>
      </c>
      <c r="C181" s="34" t="s">
        <v>75</v>
      </c>
      <c r="D181" s="34" t="s">
        <v>1761</v>
      </c>
      <c r="E181" s="63">
        <v>183.98</v>
      </c>
      <c r="F181" s="37"/>
      <c r="G181" s="37">
        <f t="shared" si="5"/>
        <v>183.98</v>
      </c>
    </row>
    <row r="182">
      <c r="A182" s="60" t="s">
        <v>494</v>
      </c>
      <c r="B182" s="60" t="s">
        <v>495</v>
      </c>
      <c r="C182" s="34" t="s">
        <v>75</v>
      </c>
      <c r="D182" s="34" t="s">
        <v>1761</v>
      </c>
      <c r="E182" s="63">
        <v>91.98</v>
      </c>
      <c r="F182" s="37"/>
      <c r="G182" s="37">
        <f t="shared" si="5"/>
        <v>91.98</v>
      </c>
    </row>
    <row r="183">
      <c r="A183" s="60" t="s">
        <v>496</v>
      </c>
      <c r="B183" s="60" t="s">
        <v>497</v>
      </c>
      <c r="C183" s="34" t="s">
        <v>75</v>
      </c>
      <c r="D183" s="34" t="s">
        <v>1761</v>
      </c>
      <c r="E183" s="63">
        <v>91.98</v>
      </c>
      <c r="F183" s="37"/>
      <c r="G183" s="37">
        <f t="shared" si="5"/>
        <v>91.98</v>
      </c>
    </row>
    <row r="184">
      <c r="A184" s="60" t="s">
        <v>498</v>
      </c>
      <c r="B184" s="60" t="s">
        <v>499</v>
      </c>
      <c r="C184" s="34" t="s">
        <v>75</v>
      </c>
      <c r="D184" s="34" t="s">
        <v>1761</v>
      </c>
      <c r="E184" s="63">
        <v>309.95</v>
      </c>
      <c r="F184" s="37"/>
      <c r="G184" s="37">
        <f t="shared" si="5"/>
        <v>309.95</v>
      </c>
    </row>
    <row r="185">
      <c r="A185" s="60" t="s">
        <v>500</v>
      </c>
      <c r="B185" s="60" t="s">
        <v>501</v>
      </c>
      <c r="C185" s="34" t="s">
        <v>75</v>
      </c>
      <c r="D185" s="34" t="s">
        <v>1761</v>
      </c>
      <c r="E185" s="63">
        <v>333.96</v>
      </c>
      <c r="F185" s="37"/>
      <c r="G185" s="37">
        <f t="shared" si="5"/>
        <v>333.96</v>
      </c>
    </row>
    <row r="186">
      <c r="A186" s="60" t="s">
        <v>502</v>
      </c>
      <c r="B186" s="60" t="s">
        <v>503</v>
      </c>
      <c r="C186" s="34" t="s">
        <v>75</v>
      </c>
      <c r="D186" s="34" t="s">
        <v>1761</v>
      </c>
      <c r="E186" s="63">
        <v>53.98</v>
      </c>
      <c r="F186" s="37"/>
      <c r="G186" s="37">
        <f t="shared" si="5"/>
        <v>53.98</v>
      </c>
    </row>
    <row r="187">
      <c r="A187" s="60" t="s">
        <v>504</v>
      </c>
      <c r="B187" s="60" t="s">
        <v>505</v>
      </c>
      <c r="C187" s="34" t="s">
        <v>75</v>
      </c>
      <c r="D187" s="34" t="s">
        <v>1761</v>
      </c>
      <c r="E187" s="63">
        <v>292.96</v>
      </c>
      <c r="F187" s="37"/>
      <c r="G187" s="37">
        <f t="shared" si="5"/>
        <v>292.96</v>
      </c>
    </row>
    <row r="188">
      <c r="A188" s="60" t="s">
        <v>506</v>
      </c>
      <c r="B188" s="60" t="s">
        <v>507</v>
      </c>
      <c r="C188" s="34" t="s">
        <v>75</v>
      </c>
      <c r="D188" s="34" t="s">
        <v>1761</v>
      </c>
      <c r="E188" s="63">
        <v>1339.75</v>
      </c>
      <c r="F188" s="37"/>
      <c r="G188" s="37">
        <f t="shared" si="5"/>
        <v>1339.75</v>
      </c>
    </row>
    <row r="189">
      <c r="A189" s="60" t="s">
        <v>508</v>
      </c>
      <c r="B189" s="60" t="s">
        <v>509</v>
      </c>
      <c r="C189" s="34" t="s">
        <v>75</v>
      </c>
      <c r="D189" s="34" t="s">
        <v>1761</v>
      </c>
      <c r="E189" s="63">
        <v>91.98</v>
      </c>
      <c r="F189" s="37"/>
      <c r="G189" s="37">
        <f t="shared" si="5"/>
        <v>91.98</v>
      </c>
    </row>
    <row r="190">
      <c r="A190" s="60" t="s">
        <v>510</v>
      </c>
      <c r="B190" s="60" t="s">
        <v>511</v>
      </c>
      <c r="C190" s="34" t="s">
        <v>75</v>
      </c>
      <c r="D190" s="34" t="s">
        <v>1761</v>
      </c>
      <c r="E190" s="63">
        <v>326.96</v>
      </c>
      <c r="F190" s="37"/>
      <c r="G190" s="37">
        <f t="shared" si="5"/>
        <v>326.96</v>
      </c>
    </row>
    <row r="191">
      <c r="A191" s="60" t="s">
        <v>512</v>
      </c>
      <c r="B191" s="60" t="s">
        <v>513</v>
      </c>
      <c r="C191" s="34" t="s">
        <v>75</v>
      </c>
      <c r="D191" s="34" t="s">
        <v>1761</v>
      </c>
      <c r="E191" s="63">
        <v>276.0</v>
      </c>
      <c r="F191" s="37"/>
      <c r="G191" s="37">
        <f t="shared" si="5"/>
        <v>276</v>
      </c>
    </row>
    <row r="192">
      <c r="A192" s="60" t="s">
        <v>514</v>
      </c>
      <c r="B192" s="60" t="s">
        <v>515</v>
      </c>
      <c r="C192" s="34" t="s">
        <v>75</v>
      </c>
      <c r="D192" s="34" t="s">
        <v>1761</v>
      </c>
      <c r="E192" s="63">
        <v>125.97</v>
      </c>
      <c r="F192" s="37"/>
      <c r="G192" s="37">
        <f t="shared" si="5"/>
        <v>125.97</v>
      </c>
    </row>
    <row r="193">
      <c r="A193" s="60" t="s">
        <v>516</v>
      </c>
      <c r="B193" s="60" t="s">
        <v>517</v>
      </c>
      <c r="C193" s="34" t="s">
        <v>75</v>
      </c>
      <c r="D193" s="34" t="s">
        <v>1761</v>
      </c>
      <c r="E193" s="63">
        <v>302.98</v>
      </c>
      <c r="F193" s="37"/>
      <c r="G193" s="37">
        <f t="shared" si="5"/>
        <v>302.98</v>
      </c>
    </row>
    <row r="194">
      <c r="A194" s="60" t="s">
        <v>518</v>
      </c>
      <c r="B194" s="60" t="s">
        <v>519</v>
      </c>
      <c r="C194" s="34" t="s">
        <v>75</v>
      </c>
      <c r="D194" s="34" t="s">
        <v>1761</v>
      </c>
      <c r="E194" s="63">
        <v>425.94</v>
      </c>
      <c r="F194" s="37"/>
      <c r="G194" s="37">
        <f t="shared" si="5"/>
        <v>425.94</v>
      </c>
    </row>
    <row r="195">
      <c r="A195" s="60" t="s">
        <v>520</v>
      </c>
      <c r="B195" s="60" t="s">
        <v>521</v>
      </c>
      <c r="C195" s="34" t="s">
        <v>75</v>
      </c>
      <c r="D195" s="34" t="s">
        <v>1761</v>
      </c>
      <c r="E195" s="63">
        <v>220.96</v>
      </c>
      <c r="F195" s="37"/>
      <c r="G195" s="37">
        <f t="shared" si="5"/>
        <v>220.96</v>
      </c>
    </row>
    <row r="196">
      <c r="A196" s="60" t="s">
        <v>522</v>
      </c>
      <c r="B196" s="60" t="s">
        <v>523</v>
      </c>
      <c r="C196" s="34" t="s">
        <v>75</v>
      </c>
      <c r="D196" s="34" t="s">
        <v>1761</v>
      </c>
      <c r="E196" s="63">
        <v>333.96</v>
      </c>
      <c r="F196" s="37"/>
      <c r="G196" s="37">
        <f t="shared" si="5"/>
        <v>333.96</v>
      </c>
    </row>
    <row r="197">
      <c r="A197" s="60" t="s">
        <v>524</v>
      </c>
      <c r="B197" s="60" t="s">
        <v>525</v>
      </c>
      <c r="C197" s="34" t="s">
        <v>75</v>
      </c>
      <c r="D197" s="34" t="s">
        <v>1761</v>
      </c>
      <c r="E197" s="63">
        <v>8672.94</v>
      </c>
      <c r="F197" s="37"/>
      <c r="G197" s="37">
        <f t="shared" si="5"/>
        <v>8672.94</v>
      </c>
    </row>
    <row r="198">
      <c r="A198" s="60" t="s">
        <v>1775</v>
      </c>
      <c r="B198" s="60" t="s">
        <v>1776</v>
      </c>
      <c r="C198" s="34" t="s">
        <v>75</v>
      </c>
      <c r="D198" s="34" t="s">
        <v>1761</v>
      </c>
      <c r="E198" s="63">
        <v>1610.0</v>
      </c>
      <c r="F198" s="37"/>
      <c r="G198" s="37">
        <f t="shared" si="5"/>
        <v>1610</v>
      </c>
    </row>
    <row r="199">
      <c r="A199" s="60" t="s">
        <v>526</v>
      </c>
      <c r="B199" s="60" t="s">
        <v>527</v>
      </c>
      <c r="C199" s="34" t="s">
        <v>75</v>
      </c>
      <c r="D199" s="34" t="s">
        <v>1761</v>
      </c>
      <c r="E199" s="63">
        <v>108.98</v>
      </c>
      <c r="F199" s="37"/>
      <c r="G199" s="37">
        <f t="shared" si="5"/>
        <v>108.98</v>
      </c>
    </row>
    <row r="200">
      <c r="A200" s="60" t="s">
        <v>528</v>
      </c>
      <c r="B200" s="60" t="s">
        <v>529</v>
      </c>
      <c r="C200" s="34" t="s">
        <v>75</v>
      </c>
      <c r="D200" s="34" t="s">
        <v>1761</v>
      </c>
      <c r="E200" s="63">
        <v>394.96</v>
      </c>
      <c r="F200" s="37"/>
      <c r="G200" s="37">
        <f t="shared" si="5"/>
        <v>394.96</v>
      </c>
    </row>
    <row r="201">
      <c r="A201" s="60" t="s">
        <v>530</v>
      </c>
      <c r="B201" s="60" t="s">
        <v>531</v>
      </c>
      <c r="C201" s="34" t="s">
        <v>75</v>
      </c>
      <c r="D201" s="34" t="s">
        <v>1761</v>
      </c>
      <c r="E201" s="63">
        <v>511.02</v>
      </c>
      <c r="F201" s="37"/>
      <c r="G201" s="37">
        <f t="shared" si="5"/>
        <v>511.02</v>
      </c>
    </row>
    <row r="202">
      <c r="A202" s="60" t="s">
        <v>532</v>
      </c>
      <c r="B202" s="60" t="s">
        <v>533</v>
      </c>
      <c r="C202" s="34" t="s">
        <v>75</v>
      </c>
      <c r="D202" s="34" t="s">
        <v>1761</v>
      </c>
      <c r="E202" s="63">
        <v>183.97</v>
      </c>
      <c r="F202" s="37"/>
      <c r="G202" s="37">
        <f t="shared" si="5"/>
        <v>183.97</v>
      </c>
    </row>
    <row r="203">
      <c r="A203" s="60" t="s">
        <v>534</v>
      </c>
      <c r="B203" s="60" t="s">
        <v>535</v>
      </c>
      <c r="C203" s="34" t="s">
        <v>75</v>
      </c>
      <c r="D203" s="34" t="s">
        <v>1761</v>
      </c>
      <c r="E203" s="63">
        <v>50.99</v>
      </c>
      <c r="F203" s="37"/>
      <c r="G203" s="37">
        <f t="shared" si="5"/>
        <v>50.99</v>
      </c>
    </row>
    <row r="204">
      <c r="A204" s="60" t="s">
        <v>536</v>
      </c>
      <c r="B204" s="60" t="s">
        <v>537</v>
      </c>
      <c r="C204" s="34" t="s">
        <v>75</v>
      </c>
      <c r="D204" s="34" t="s">
        <v>1761</v>
      </c>
      <c r="E204" s="63">
        <v>200.98</v>
      </c>
      <c r="F204" s="37"/>
      <c r="G204" s="37">
        <f t="shared" si="5"/>
        <v>200.98</v>
      </c>
    </row>
    <row r="205">
      <c r="A205" s="60" t="s">
        <v>538</v>
      </c>
      <c r="B205" s="60" t="s">
        <v>539</v>
      </c>
      <c r="C205" s="34" t="s">
        <v>75</v>
      </c>
      <c r="D205" s="34" t="s">
        <v>1761</v>
      </c>
      <c r="E205" s="63">
        <v>241.97</v>
      </c>
      <c r="F205" s="37"/>
      <c r="G205" s="37">
        <f t="shared" si="5"/>
        <v>241.97</v>
      </c>
    </row>
    <row r="206">
      <c r="A206" s="60" t="s">
        <v>540</v>
      </c>
      <c r="B206" s="60" t="s">
        <v>541</v>
      </c>
      <c r="C206" s="34" t="s">
        <v>75</v>
      </c>
      <c r="D206" s="34" t="s">
        <v>1761</v>
      </c>
      <c r="E206" s="63">
        <v>289.97</v>
      </c>
      <c r="F206" s="37"/>
      <c r="G206" s="37">
        <f t="shared" si="5"/>
        <v>289.97</v>
      </c>
    </row>
    <row r="207">
      <c r="A207" s="60" t="s">
        <v>542</v>
      </c>
      <c r="B207" s="60" t="s">
        <v>543</v>
      </c>
      <c r="C207" s="34" t="s">
        <v>75</v>
      </c>
      <c r="D207" s="34" t="s">
        <v>1761</v>
      </c>
      <c r="E207" s="63">
        <v>289.97</v>
      </c>
      <c r="F207" s="37"/>
      <c r="G207" s="37">
        <f t="shared" si="5"/>
        <v>289.97</v>
      </c>
    </row>
    <row r="208">
      <c r="A208" s="60" t="s">
        <v>544</v>
      </c>
      <c r="B208" s="60" t="s">
        <v>545</v>
      </c>
      <c r="C208" s="34" t="s">
        <v>75</v>
      </c>
      <c r="D208" s="34" t="s">
        <v>1761</v>
      </c>
      <c r="E208" s="63">
        <v>497.93</v>
      </c>
      <c r="F208" s="37"/>
      <c r="G208" s="37">
        <f t="shared" si="5"/>
        <v>497.93</v>
      </c>
    </row>
    <row r="209">
      <c r="A209" s="60" t="s">
        <v>546</v>
      </c>
      <c r="B209" s="60" t="s">
        <v>547</v>
      </c>
      <c r="C209" s="34" t="s">
        <v>75</v>
      </c>
      <c r="D209" s="34" t="s">
        <v>1761</v>
      </c>
      <c r="E209" s="63">
        <v>251.96</v>
      </c>
      <c r="F209" s="37"/>
      <c r="G209" s="37">
        <f t="shared" si="5"/>
        <v>251.96</v>
      </c>
    </row>
    <row r="210">
      <c r="A210" s="60" t="s">
        <v>548</v>
      </c>
      <c r="B210" s="60" t="s">
        <v>549</v>
      </c>
      <c r="C210" s="34" t="s">
        <v>75</v>
      </c>
      <c r="D210" s="34" t="s">
        <v>1761</v>
      </c>
      <c r="E210" s="63">
        <v>217.97</v>
      </c>
      <c r="F210" s="37"/>
      <c r="G210" s="37">
        <f t="shared" si="5"/>
        <v>217.97</v>
      </c>
    </row>
    <row r="211">
      <c r="A211" s="60" t="s">
        <v>550</v>
      </c>
      <c r="B211" s="60" t="s">
        <v>551</v>
      </c>
      <c r="C211" s="34" t="s">
        <v>75</v>
      </c>
      <c r="D211" s="34" t="s">
        <v>1761</v>
      </c>
      <c r="E211" s="63">
        <v>309.95</v>
      </c>
      <c r="F211" s="37"/>
      <c r="G211" s="37">
        <f t="shared" si="5"/>
        <v>309.95</v>
      </c>
    </row>
    <row r="212">
      <c r="A212" s="60" t="s">
        <v>1425</v>
      </c>
      <c r="B212" s="60" t="s">
        <v>1426</v>
      </c>
      <c r="C212" s="34" t="s">
        <v>75</v>
      </c>
      <c r="D212" s="34" t="s">
        <v>1761</v>
      </c>
      <c r="E212" s="63">
        <v>0.26</v>
      </c>
      <c r="F212" s="37"/>
      <c r="G212" s="37">
        <f t="shared" si="5"/>
        <v>0.26</v>
      </c>
    </row>
    <row r="213">
      <c r="A213" s="60" t="s">
        <v>552</v>
      </c>
      <c r="B213" s="60" t="s">
        <v>553</v>
      </c>
      <c r="C213" s="34" t="s">
        <v>75</v>
      </c>
      <c r="D213" s="34" t="s">
        <v>1761</v>
      </c>
      <c r="E213" s="63">
        <v>3800.14</v>
      </c>
      <c r="F213" s="37"/>
      <c r="G213" s="37">
        <f t="shared" si="5"/>
        <v>3800.14</v>
      </c>
    </row>
    <row r="214">
      <c r="A214" s="60" t="s">
        <v>554</v>
      </c>
      <c r="B214" s="60" t="s">
        <v>555</v>
      </c>
      <c r="C214" s="34" t="s">
        <v>75</v>
      </c>
      <c r="D214" s="34" t="s">
        <v>1761</v>
      </c>
      <c r="E214" s="63">
        <v>2788.75</v>
      </c>
      <c r="F214" s="37"/>
      <c r="G214" s="37">
        <f t="shared" si="5"/>
        <v>2788.75</v>
      </c>
    </row>
    <row r="215">
      <c r="A215" s="60" t="s">
        <v>556</v>
      </c>
      <c r="B215" s="60" t="s">
        <v>557</v>
      </c>
      <c r="C215" s="34" t="s">
        <v>75</v>
      </c>
      <c r="D215" s="34" t="s">
        <v>1761</v>
      </c>
      <c r="E215" s="63">
        <v>231.98</v>
      </c>
      <c r="F215" s="37"/>
      <c r="G215" s="37">
        <f t="shared" si="5"/>
        <v>231.98</v>
      </c>
    </row>
    <row r="216">
      <c r="A216" s="60" t="s">
        <v>558</v>
      </c>
      <c r="B216" s="60" t="s">
        <v>559</v>
      </c>
      <c r="C216" s="34" t="s">
        <v>75</v>
      </c>
      <c r="D216" s="34" t="s">
        <v>1761</v>
      </c>
      <c r="E216" s="63">
        <v>391.95</v>
      </c>
      <c r="F216" s="37"/>
      <c r="G216" s="37">
        <f t="shared" si="5"/>
        <v>391.95</v>
      </c>
    </row>
    <row r="217">
      <c r="A217" s="60" t="s">
        <v>560</v>
      </c>
      <c r="B217" s="60" t="s">
        <v>561</v>
      </c>
      <c r="C217" s="34" t="s">
        <v>75</v>
      </c>
      <c r="D217" s="34" t="s">
        <v>1761</v>
      </c>
      <c r="E217" s="63">
        <v>782.91</v>
      </c>
      <c r="F217" s="37"/>
      <c r="G217" s="37">
        <f t="shared" si="5"/>
        <v>782.91</v>
      </c>
    </row>
    <row r="218">
      <c r="A218" s="60" t="s">
        <v>562</v>
      </c>
      <c r="B218" s="60" t="s">
        <v>563</v>
      </c>
      <c r="C218" s="34" t="s">
        <v>75</v>
      </c>
      <c r="D218" s="34" t="s">
        <v>1761</v>
      </c>
      <c r="E218" s="63">
        <v>84.99</v>
      </c>
      <c r="F218" s="37"/>
      <c r="G218" s="37">
        <f t="shared" si="5"/>
        <v>84.99</v>
      </c>
    </row>
    <row r="219">
      <c r="A219" s="60" t="s">
        <v>564</v>
      </c>
      <c r="B219" s="60" t="s">
        <v>565</v>
      </c>
      <c r="C219" s="34" t="s">
        <v>75</v>
      </c>
      <c r="D219" s="34" t="s">
        <v>1761</v>
      </c>
      <c r="E219" s="63">
        <v>108.98</v>
      </c>
      <c r="F219" s="37"/>
      <c r="G219" s="37">
        <f t="shared" si="5"/>
        <v>108.98</v>
      </c>
    </row>
    <row r="220">
      <c r="A220" s="60" t="s">
        <v>566</v>
      </c>
      <c r="B220" s="60" t="s">
        <v>567</v>
      </c>
      <c r="C220" s="34" t="s">
        <v>75</v>
      </c>
      <c r="D220" s="34" t="s">
        <v>1761</v>
      </c>
      <c r="E220" s="63">
        <v>304.98</v>
      </c>
      <c r="F220" s="37"/>
      <c r="G220" s="37">
        <f t="shared" si="5"/>
        <v>304.98</v>
      </c>
    </row>
    <row r="221">
      <c r="A221" s="60" t="s">
        <v>568</v>
      </c>
      <c r="B221" s="60" t="s">
        <v>569</v>
      </c>
      <c r="C221" s="34" t="s">
        <v>75</v>
      </c>
      <c r="D221" s="34" t="s">
        <v>1761</v>
      </c>
      <c r="E221" s="63">
        <v>1380.0</v>
      </c>
      <c r="F221" s="37"/>
      <c r="G221" s="37">
        <f t="shared" si="5"/>
        <v>1380</v>
      </c>
    </row>
    <row r="222">
      <c r="A222" s="60" t="s">
        <v>570</v>
      </c>
      <c r="B222" s="60" t="s">
        <v>571</v>
      </c>
      <c r="C222" s="34" t="s">
        <v>75</v>
      </c>
      <c r="D222" s="34" t="s">
        <v>1761</v>
      </c>
      <c r="E222" s="63">
        <v>309.95</v>
      </c>
      <c r="F222" s="37"/>
      <c r="G222" s="37">
        <f t="shared" si="5"/>
        <v>309.95</v>
      </c>
    </row>
    <row r="223">
      <c r="A223" s="60" t="s">
        <v>572</v>
      </c>
      <c r="B223" s="60" t="s">
        <v>573</v>
      </c>
      <c r="C223" s="34" t="s">
        <v>75</v>
      </c>
      <c r="D223" s="34" t="s">
        <v>1761</v>
      </c>
      <c r="E223" s="63">
        <v>115.99</v>
      </c>
      <c r="F223" s="37"/>
      <c r="G223" s="37">
        <f t="shared" si="5"/>
        <v>115.99</v>
      </c>
    </row>
    <row r="224">
      <c r="A224" s="60" t="s">
        <v>574</v>
      </c>
      <c r="B224" s="60" t="s">
        <v>575</v>
      </c>
      <c r="C224" s="34" t="s">
        <v>75</v>
      </c>
      <c r="D224" s="34" t="s">
        <v>1761</v>
      </c>
      <c r="E224" s="63">
        <v>108.98</v>
      </c>
      <c r="F224" s="37"/>
      <c r="G224" s="37">
        <f t="shared" si="5"/>
        <v>108.98</v>
      </c>
    </row>
    <row r="225">
      <c r="A225" s="60" t="s">
        <v>576</v>
      </c>
      <c r="B225" s="60" t="s">
        <v>577</v>
      </c>
      <c r="C225" s="34" t="s">
        <v>75</v>
      </c>
      <c r="D225" s="34" t="s">
        <v>1761</v>
      </c>
      <c r="E225" s="63">
        <v>91.98</v>
      </c>
      <c r="F225" s="37"/>
      <c r="G225" s="37">
        <f t="shared" si="5"/>
        <v>91.98</v>
      </c>
    </row>
    <row r="226">
      <c r="A226" s="60" t="s">
        <v>578</v>
      </c>
      <c r="B226" s="60" t="s">
        <v>579</v>
      </c>
      <c r="C226" s="34" t="s">
        <v>75</v>
      </c>
      <c r="D226" s="34" t="s">
        <v>1761</v>
      </c>
      <c r="E226" s="63">
        <v>183.97</v>
      </c>
      <c r="F226" s="37"/>
      <c r="G226" s="37">
        <f t="shared" si="5"/>
        <v>183.97</v>
      </c>
    </row>
    <row r="227">
      <c r="A227" s="60" t="s">
        <v>580</v>
      </c>
      <c r="B227" s="60" t="s">
        <v>581</v>
      </c>
      <c r="C227" s="34" t="s">
        <v>75</v>
      </c>
      <c r="D227" s="34" t="s">
        <v>1761</v>
      </c>
      <c r="E227" s="63">
        <v>316.97</v>
      </c>
      <c r="F227" s="37"/>
      <c r="G227" s="37">
        <f t="shared" si="5"/>
        <v>316.97</v>
      </c>
    </row>
    <row r="228">
      <c r="A228" s="60" t="s">
        <v>582</v>
      </c>
      <c r="B228" s="60" t="s">
        <v>583</v>
      </c>
      <c r="C228" s="34" t="s">
        <v>75</v>
      </c>
      <c r="D228" s="34" t="s">
        <v>1761</v>
      </c>
      <c r="E228" s="63">
        <v>108.98</v>
      </c>
      <c r="F228" s="37"/>
      <c r="G228" s="37">
        <f t="shared" si="5"/>
        <v>108.98</v>
      </c>
    </row>
    <row r="229">
      <c r="A229" s="60" t="s">
        <v>586</v>
      </c>
      <c r="B229" s="60" t="s">
        <v>587</v>
      </c>
      <c r="C229" s="34" t="s">
        <v>75</v>
      </c>
      <c r="D229" s="34" t="s">
        <v>1761</v>
      </c>
      <c r="E229" s="63">
        <v>476.94</v>
      </c>
      <c r="F229" s="37"/>
      <c r="G229" s="37">
        <f t="shared" si="5"/>
        <v>476.94</v>
      </c>
    </row>
    <row r="230">
      <c r="A230" s="60" t="s">
        <v>588</v>
      </c>
      <c r="B230" s="60" t="s">
        <v>589</v>
      </c>
      <c r="C230" s="34" t="s">
        <v>75</v>
      </c>
      <c r="D230" s="34" t="s">
        <v>1761</v>
      </c>
      <c r="E230" s="63">
        <v>918.95</v>
      </c>
      <c r="F230" s="37"/>
      <c r="G230" s="37">
        <f t="shared" si="5"/>
        <v>918.95</v>
      </c>
    </row>
    <row r="231">
      <c r="A231" s="60" t="s">
        <v>1777</v>
      </c>
      <c r="B231" s="60" t="s">
        <v>1778</v>
      </c>
      <c r="C231" s="34" t="s">
        <v>75</v>
      </c>
      <c r="D231" s="34" t="s">
        <v>1761</v>
      </c>
      <c r="E231" s="63">
        <v>91.98</v>
      </c>
      <c r="F231" s="37"/>
      <c r="G231" s="37">
        <f t="shared" si="5"/>
        <v>91.98</v>
      </c>
    </row>
    <row r="232">
      <c r="A232" s="60" t="s">
        <v>590</v>
      </c>
      <c r="B232" s="60" t="s">
        <v>591</v>
      </c>
      <c r="C232" s="34" t="s">
        <v>75</v>
      </c>
      <c r="D232" s="34" t="s">
        <v>1761</v>
      </c>
      <c r="E232" s="63">
        <v>108.98</v>
      </c>
      <c r="F232" s="37"/>
      <c r="G232" s="37">
        <f t="shared" si="5"/>
        <v>108.98</v>
      </c>
    </row>
    <row r="233">
      <c r="A233" s="60" t="s">
        <v>592</v>
      </c>
      <c r="B233" s="60" t="s">
        <v>593</v>
      </c>
      <c r="C233" s="34" t="s">
        <v>75</v>
      </c>
      <c r="D233" s="34" t="s">
        <v>1761</v>
      </c>
      <c r="E233" s="63">
        <v>108.98</v>
      </c>
      <c r="F233" s="37"/>
      <c r="G233" s="37">
        <f t="shared" si="5"/>
        <v>108.98</v>
      </c>
    </row>
    <row r="234">
      <c r="A234" s="60" t="s">
        <v>594</v>
      </c>
      <c r="B234" s="60" t="s">
        <v>595</v>
      </c>
      <c r="C234" s="34" t="s">
        <v>75</v>
      </c>
      <c r="D234" s="34" t="s">
        <v>1761</v>
      </c>
      <c r="E234" s="63">
        <v>200.98</v>
      </c>
      <c r="F234" s="37"/>
      <c r="G234" s="37">
        <f t="shared" si="5"/>
        <v>200.98</v>
      </c>
    </row>
    <row r="235">
      <c r="A235" s="60" t="s">
        <v>596</v>
      </c>
      <c r="B235" s="60" t="s">
        <v>597</v>
      </c>
      <c r="C235" s="34" t="s">
        <v>75</v>
      </c>
      <c r="D235" s="34" t="s">
        <v>1761</v>
      </c>
      <c r="E235" s="63">
        <v>108.98</v>
      </c>
      <c r="F235" s="37"/>
      <c r="G235" s="37">
        <f t="shared" si="5"/>
        <v>108.98</v>
      </c>
    </row>
    <row r="236">
      <c r="A236" s="60" t="s">
        <v>598</v>
      </c>
      <c r="B236" s="60" t="s">
        <v>599</v>
      </c>
      <c r="C236" s="34" t="s">
        <v>75</v>
      </c>
      <c r="D236" s="34" t="s">
        <v>1761</v>
      </c>
      <c r="E236" s="63">
        <v>531.9</v>
      </c>
      <c r="F236" s="37"/>
      <c r="G236" s="37">
        <f t="shared" si="5"/>
        <v>531.9</v>
      </c>
    </row>
    <row r="237">
      <c r="A237" s="60" t="s">
        <v>600</v>
      </c>
      <c r="B237" s="60" t="s">
        <v>601</v>
      </c>
      <c r="C237" s="34" t="s">
        <v>75</v>
      </c>
      <c r="D237" s="34" t="s">
        <v>1761</v>
      </c>
      <c r="E237" s="63">
        <v>166.98</v>
      </c>
      <c r="F237" s="37"/>
      <c r="G237" s="37">
        <f t="shared" si="5"/>
        <v>166.98</v>
      </c>
    </row>
    <row r="238">
      <c r="A238" s="60" t="s">
        <v>602</v>
      </c>
      <c r="B238" s="60" t="s">
        <v>603</v>
      </c>
      <c r="C238" s="34" t="s">
        <v>75</v>
      </c>
      <c r="D238" s="34" t="s">
        <v>1761</v>
      </c>
      <c r="E238" s="63">
        <v>4448.09</v>
      </c>
      <c r="F238" s="37"/>
      <c r="G238" s="37">
        <f t="shared" si="5"/>
        <v>4448.09</v>
      </c>
    </row>
    <row r="239">
      <c r="A239" s="60" t="s">
        <v>604</v>
      </c>
      <c r="B239" s="60" t="s">
        <v>605</v>
      </c>
      <c r="C239" s="34" t="s">
        <v>75</v>
      </c>
      <c r="D239" s="34" t="s">
        <v>1761</v>
      </c>
      <c r="E239" s="63">
        <v>108.98</v>
      </c>
      <c r="F239" s="37"/>
      <c r="G239" s="37">
        <f t="shared" si="5"/>
        <v>108.98</v>
      </c>
    </row>
    <row r="240">
      <c r="A240" s="60" t="s">
        <v>606</v>
      </c>
      <c r="B240" s="60" t="s">
        <v>607</v>
      </c>
      <c r="C240" s="34" t="s">
        <v>75</v>
      </c>
      <c r="D240" s="34" t="s">
        <v>1761</v>
      </c>
      <c r="E240" s="63">
        <v>2958.57</v>
      </c>
      <c r="F240" s="37"/>
      <c r="G240" s="37">
        <f t="shared" si="5"/>
        <v>2958.57</v>
      </c>
    </row>
    <row r="241">
      <c r="A241" s="60" t="s">
        <v>608</v>
      </c>
      <c r="B241" s="60" t="s">
        <v>609</v>
      </c>
      <c r="C241" s="34" t="s">
        <v>75</v>
      </c>
      <c r="D241" s="34" t="s">
        <v>1761</v>
      </c>
      <c r="E241" s="63">
        <v>285.98</v>
      </c>
      <c r="F241" s="37"/>
      <c r="G241" s="37">
        <f t="shared" si="5"/>
        <v>285.98</v>
      </c>
    </row>
    <row r="242">
      <c r="A242" s="60" t="s">
        <v>610</v>
      </c>
      <c r="B242" s="60" t="s">
        <v>611</v>
      </c>
      <c r="C242" s="34" t="s">
        <v>75</v>
      </c>
      <c r="D242" s="34" t="s">
        <v>1761</v>
      </c>
      <c r="E242" s="63">
        <v>414.0</v>
      </c>
      <c r="F242" s="37"/>
      <c r="G242" s="37">
        <f t="shared" si="5"/>
        <v>414</v>
      </c>
    </row>
    <row r="243">
      <c r="A243" s="60" t="s">
        <v>612</v>
      </c>
      <c r="B243" s="60" t="s">
        <v>613</v>
      </c>
      <c r="C243" s="34" t="s">
        <v>75</v>
      </c>
      <c r="D243" s="34" t="s">
        <v>1761</v>
      </c>
      <c r="E243" s="63">
        <v>701.5</v>
      </c>
      <c r="F243" s="37"/>
      <c r="G243" s="37">
        <f t="shared" si="5"/>
        <v>701.5</v>
      </c>
    </row>
    <row r="244">
      <c r="A244" s="60" t="s">
        <v>614</v>
      </c>
      <c r="B244" s="60" t="s">
        <v>615</v>
      </c>
      <c r="C244" s="34" t="s">
        <v>75</v>
      </c>
      <c r="D244" s="34" t="s">
        <v>1761</v>
      </c>
      <c r="E244" s="63">
        <v>166.98</v>
      </c>
      <c r="F244" s="37"/>
      <c r="G244" s="37">
        <f t="shared" si="5"/>
        <v>166.98</v>
      </c>
    </row>
    <row r="245">
      <c r="A245" s="60" t="s">
        <v>616</v>
      </c>
      <c r="B245" s="60" t="s">
        <v>617</v>
      </c>
      <c r="C245" s="34" t="s">
        <v>75</v>
      </c>
      <c r="D245" s="34" t="s">
        <v>1761</v>
      </c>
      <c r="E245" s="63">
        <v>108.98</v>
      </c>
      <c r="F245" s="37"/>
      <c r="G245" s="37">
        <f t="shared" si="5"/>
        <v>108.98</v>
      </c>
    </row>
    <row r="246">
      <c r="A246" s="60" t="s">
        <v>618</v>
      </c>
      <c r="B246" s="60" t="s">
        <v>619</v>
      </c>
      <c r="C246" s="34" t="s">
        <v>75</v>
      </c>
      <c r="D246" s="34" t="s">
        <v>1761</v>
      </c>
      <c r="E246" s="63">
        <v>149.98</v>
      </c>
      <c r="F246" s="37"/>
      <c r="G246" s="37">
        <f t="shared" si="5"/>
        <v>149.98</v>
      </c>
    </row>
    <row r="247">
      <c r="A247" s="60" t="s">
        <v>620</v>
      </c>
      <c r="B247" s="60" t="s">
        <v>621</v>
      </c>
      <c r="C247" s="34" t="s">
        <v>75</v>
      </c>
      <c r="D247" s="34" t="s">
        <v>1761</v>
      </c>
      <c r="E247" s="63">
        <v>367.95</v>
      </c>
      <c r="F247" s="37"/>
      <c r="G247" s="37">
        <f t="shared" si="5"/>
        <v>367.95</v>
      </c>
    </row>
    <row r="248">
      <c r="A248" s="60" t="s">
        <v>622</v>
      </c>
      <c r="B248" s="60" t="s">
        <v>623</v>
      </c>
      <c r="C248" s="34" t="s">
        <v>75</v>
      </c>
      <c r="D248" s="34" t="s">
        <v>1761</v>
      </c>
      <c r="E248" s="63">
        <v>217.97</v>
      </c>
      <c r="F248" s="37"/>
      <c r="G248" s="37">
        <f t="shared" si="5"/>
        <v>217.97</v>
      </c>
    </row>
    <row r="249">
      <c r="A249" s="60" t="s">
        <v>624</v>
      </c>
      <c r="B249" s="60" t="s">
        <v>625</v>
      </c>
      <c r="C249" s="34" t="s">
        <v>75</v>
      </c>
      <c r="D249" s="34" t="s">
        <v>1761</v>
      </c>
      <c r="E249" s="63">
        <v>1125.06</v>
      </c>
      <c r="F249" s="37"/>
      <c r="G249" s="37">
        <f t="shared" si="5"/>
        <v>1125.06</v>
      </c>
    </row>
    <row r="250">
      <c r="A250" s="60" t="s">
        <v>626</v>
      </c>
      <c r="B250" s="60" t="s">
        <v>627</v>
      </c>
      <c r="C250" s="34" t="s">
        <v>75</v>
      </c>
      <c r="D250" s="34" t="s">
        <v>1761</v>
      </c>
      <c r="E250" s="63">
        <v>84.98</v>
      </c>
      <c r="F250" s="37"/>
      <c r="G250" s="37">
        <f t="shared" si="5"/>
        <v>84.98</v>
      </c>
    </row>
    <row r="251">
      <c r="A251" s="60" t="s">
        <v>628</v>
      </c>
      <c r="B251" s="60" t="s">
        <v>629</v>
      </c>
      <c r="C251" s="34" t="s">
        <v>75</v>
      </c>
      <c r="D251" s="34" t="s">
        <v>1761</v>
      </c>
      <c r="E251" s="63">
        <v>149.98</v>
      </c>
      <c r="F251" s="37"/>
      <c r="G251" s="37">
        <f t="shared" si="5"/>
        <v>149.98</v>
      </c>
    </row>
    <row r="252">
      <c r="A252" s="60" t="s">
        <v>630</v>
      </c>
      <c r="B252" s="60" t="s">
        <v>631</v>
      </c>
      <c r="C252" s="34" t="s">
        <v>75</v>
      </c>
      <c r="D252" s="34" t="s">
        <v>1761</v>
      </c>
      <c r="E252" s="63">
        <v>4730.97</v>
      </c>
      <c r="F252" s="37"/>
      <c r="G252" s="37">
        <f t="shared" si="5"/>
        <v>4730.97</v>
      </c>
    </row>
    <row r="253">
      <c r="A253" s="60" t="s">
        <v>632</v>
      </c>
      <c r="B253" s="60" t="s">
        <v>633</v>
      </c>
      <c r="C253" s="34" t="s">
        <v>75</v>
      </c>
      <c r="D253" s="34" t="s">
        <v>1761</v>
      </c>
      <c r="E253" s="63">
        <v>7370.3</v>
      </c>
      <c r="F253" s="37"/>
      <c r="G253" s="37">
        <f t="shared" si="5"/>
        <v>7370.3</v>
      </c>
    </row>
    <row r="254">
      <c r="A254" s="60" t="s">
        <v>634</v>
      </c>
      <c r="B254" s="60" t="s">
        <v>635</v>
      </c>
      <c r="C254" s="34" t="s">
        <v>75</v>
      </c>
      <c r="D254" s="34" t="s">
        <v>1761</v>
      </c>
      <c r="E254" s="63">
        <v>299.97</v>
      </c>
      <c r="F254" s="37"/>
      <c r="G254" s="37">
        <f t="shared" si="5"/>
        <v>299.97</v>
      </c>
    </row>
    <row r="255">
      <c r="A255" s="60" t="s">
        <v>636</v>
      </c>
      <c r="B255" s="60" t="s">
        <v>637</v>
      </c>
      <c r="C255" s="34" t="s">
        <v>75</v>
      </c>
      <c r="D255" s="34" t="s">
        <v>1761</v>
      </c>
      <c r="E255" s="63">
        <v>511.02</v>
      </c>
      <c r="F255" s="37"/>
      <c r="G255" s="37">
        <f t="shared" si="5"/>
        <v>511.02</v>
      </c>
    </row>
    <row r="256">
      <c r="A256" s="60" t="s">
        <v>638</v>
      </c>
      <c r="B256" s="60" t="s">
        <v>639</v>
      </c>
      <c r="C256" s="34" t="s">
        <v>75</v>
      </c>
      <c r="D256" s="34" t="s">
        <v>1761</v>
      </c>
      <c r="E256" s="63">
        <v>2891.15</v>
      </c>
      <c r="F256" s="37"/>
      <c r="G256" s="37">
        <f t="shared" si="5"/>
        <v>2891.15</v>
      </c>
    </row>
    <row r="257">
      <c r="A257" s="60" t="s">
        <v>640</v>
      </c>
      <c r="B257" s="60" t="s">
        <v>641</v>
      </c>
      <c r="C257" s="34" t="s">
        <v>75</v>
      </c>
      <c r="D257" s="34" t="s">
        <v>1761</v>
      </c>
      <c r="E257" s="63">
        <v>4128.11</v>
      </c>
      <c r="F257" s="37"/>
      <c r="G257" s="37">
        <f t="shared" si="5"/>
        <v>4128.11</v>
      </c>
    </row>
    <row r="258">
      <c r="A258" s="60" t="s">
        <v>642</v>
      </c>
      <c r="B258" s="60" t="s">
        <v>643</v>
      </c>
      <c r="C258" s="34" t="s">
        <v>75</v>
      </c>
      <c r="D258" s="34" t="s">
        <v>1761</v>
      </c>
      <c r="E258" s="63">
        <v>1552.05</v>
      </c>
      <c r="F258" s="37"/>
      <c r="G258" s="37">
        <f t="shared" si="5"/>
        <v>1552.05</v>
      </c>
    </row>
    <row r="259">
      <c r="A259" s="60" t="s">
        <v>644</v>
      </c>
      <c r="B259" s="60" t="s">
        <v>645</v>
      </c>
      <c r="C259" s="34" t="s">
        <v>75</v>
      </c>
      <c r="D259" s="34" t="s">
        <v>1761</v>
      </c>
      <c r="E259" s="63">
        <v>2841.96</v>
      </c>
      <c r="F259" s="37"/>
      <c r="G259" s="37">
        <f t="shared" si="5"/>
        <v>2841.96</v>
      </c>
    </row>
    <row r="260">
      <c r="A260" s="60" t="s">
        <v>646</v>
      </c>
      <c r="B260" s="60" t="s">
        <v>647</v>
      </c>
      <c r="C260" s="34" t="s">
        <v>75</v>
      </c>
      <c r="D260" s="34" t="s">
        <v>1761</v>
      </c>
      <c r="E260" s="63">
        <v>275.96</v>
      </c>
      <c r="F260" s="37"/>
      <c r="G260" s="37">
        <f t="shared" si="5"/>
        <v>275.96</v>
      </c>
    </row>
    <row r="261">
      <c r="A261" s="60" t="s">
        <v>648</v>
      </c>
      <c r="B261" s="60" t="s">
        <v>649</v>
      </c>
      <c r="C261" s="34" t="s">
        <v>75</v>
      </c>
      <c r="D261" s="34" t="s">
        <v>1761</v>
      </c>
      <c r="E261" s="63">
        <v>2633.75</v>
      </c>
      <c r="F261" s="37"/>
      <c r="G261" s="37">
        <f t="shared" si="5"/>
        <v>2633.75</v>
      </c>
    </row>
    <row r="262">
      <c r="A262" s="60" t="s">
        <v>650</v>
      </c>
      <c r="B262" s="60" t="s">
        <v>651</v>
      </c>
      <c r="C262" s="34" t="s">
        <v>75</v>
      </c>
      <c r="D262" s="34" t="s">
        <v>1761</v>
      </c>
      <c r="E262" s="63">
        <v>207.97</v>
      </c>
      <c r="F262" s="37"/>
      <c r="G262" s="37">
        <f t="shared" si="5"/>
        <v>207.97</v>
      </c>
    </row>
    <row r="263">
      <c r="A263" s="60" t="s">
        <v>652</v>
      </c>
      <c r="B263" s="60" t="s">
        <v>653</v>
      </c>
      <c r="C263" s="34" t="s">
        <v>75</v>
      </c>
      <c r="D263" s="34" t="s">
        <v>1761</v>
      </c>
      <c r="E263" s="63">
        <v>275.96</v>
      </c>
      <c r="F263" s="37"/>
      <c r="G263" s="37">
        <f t="shared" si="5"/>
        <v>275.96</v>
      </c>
    </row>
    <row r="264">
      <c r="A264" s="60" t="s">
        <v>654</v>
      </c>
      <c r="B264" s="60" t="s">
        <v>655</v>
      </c>
      <c r="C264" s="34" t="s">
        <v>75</v>
      </c>
      <c r="D264" s="34" t="s">
        <v>1761</v>
      </c>
      <c r="E264" s="63">
        <v>125.97</v>
      </c>
      <c r="F264" s="37"/>
      <c r="G264" s="37">
        <f t="shared" si="5"/>
        <v>125.97</v>
      </c>
    </row>
    <row r="265">
      <c r="A265" s="60" t="s">
        <v>656</v>
      </c>
      <c r="B265" s="60" t="s">
        <v>657</v>
      </c>
      <c r="C265" s="34" t="s">
        <v>75</v>
      </c>
      <c r="D265" s="34" t="s">
        <v>1761</v>
      </c>
      <c r="E265" s="63">
        <v>91.98</v>
      </c>
      <c r="F265" s="37"/>
      <c r="G265" s="37">
        <f t="shared" si="5"/>
        <v>91.98</v>
      </c>
    </row>
    <row r="266">
      <c r="A266" s="60" t="s">
        <v>658</v>
      </c>
      <c r="B266" s="60" t="s">
        <v>659</v>
      </c>
      <c r="C266" s="34" t="s">
        <v>75</v>
      </c>
      <c r="D266" s="34" t="s">
        <v>1761</v>
      </c>
      <c r="E266" s="63">
        <v>125.97</v>
      </c>
      <c r="F266" s="37"/>
      <c r="G266" s="37">
        <f t="shared" si="5"/>
        <v>125.97</v>
      </c>
    </row>
    <row r="267">
      <c r="A267" s="60" t="s">
        <v>1427</v>
      </c>
      <c r="B267" s="60" t="s">
        <v>1428</v>
      </c>
      <c r="C267" s="34" t="s">
        <v>75</v>
      </c>
      <c r="D267" s="34" t="s">
        <v>1761</v>
      </c>
      <c r="E267" s="63">
        <v>1286.14</v>
      </c>
      <c r="F267" s="37"/>
      <c r="G267" s="37">
        <f t="shared" si="5"/>
        <v>1286.14</v>
      </c>
    </row>
    <row r="268">
      <c r="A268" s="60" t="s">
        <v>660</v>
      </c>
      <c r="B268" s="60" t="s">
        <v>661</v>
      </c>
      <c r="C268" s="34" t="s">
        <v>75</v>
      </c>
      <c r="D268" s="34" t="s">
        <v>1761</v>
      </c>
      <c r="E268" s="63">
        <v>1092.68</v>
      </c>
      <c r="F268" s="37"/>
      <c r="G268" s="37">
        <f t="shared" si="5"/>
        <v>1092.68</v>
      </c>
    </row>
    <row r="269">
      <c r="A269" s="60" t="s">
        <v>662</v>
      </c>
      <c r="B269" s="60" t="s">
        <v>663</v>
      </c>
      <c r="C269" s="34" t="s">
        <v>75</v>
      </c>
      <c r="D269" s="34" t="s">
        <v>1761</v>
      </c>
      <c r="E269" s="63">
        <v>67.99</v>
      </c>
      <c r="F269" s="37"/>
      <c r="G269" s="37">
        <f t="shared" si="5"/>
        <v>67.99</v>
      </c>
    </row>
    <row r="270">
      <c r="A270" s="60" t="s">
        <v>664</v>
      </c>
      <c r="B270" s="60" t="s">
        <v>665</v>
      </c>
      <c r="C270" s="34" t="s">
        <v>75</v>
      </c>
      <c r="D270" s="34" t="s">
        <v>1761</v>
      </c>
      <c r="E270" s="63">
        <v>67.99</v>
      </c>
      <c r="F270" s="37"/>
      <c r="G270" s="37">
        <f t="shared" si="5"/>
        <v>67.99</v>
      </c>
    </row>
    <row r="271">
      <c r="A271" s="60" t="s">
        <v>666</v>
      </c>
      <c r="B271" s="60" t="s">
        <v>667</v>
      </c>
      <c r="C271" s="34" t="s">
        <v>75</v>
      </c>
      <c r="D271" s="34" t="s">
        <v>1761</v>
      </c>
      <c r="E271" s="63">
        <v>192.86</v>
      </c>
      <c r="F271" s="37"/>
      <c r="G271" s="37">
        <f t="shared" si="5"/>
        <v>192.86</v>
      </c>
    </row>
    <row r="272">
      <c r="A272" s="60" t="s">
        <v>668</v>
      </c>
      <c r="B272" s="60" t="s">
        <v>669</v>
      </c>
      <c r="C272" s="34" t="s">
        <v>75</v>
      </c>
      <c r="D272" s="34" t="s">
        <v>1761</v>
      </c>
      <c r="E272" s="63">
        <v>266.56</v>
      </c>
      <c r="F272" s="37"/>
      <c r="G272" s="37">
        <f t="shared" si="5"/>
        <v>266.56</v>
      </c>
    </row>
    <row r="273">
      <c r="A273" s="60" t="s">
        <v>670</v>
      </c>
      <c r="B273" s="60" t="s">
        <v>671</v>
      </c>
      <c r="C273" s="34" t="s">
        <v>75</v>
      </c>
      <c r="D273" s="34" t="s">
        <v>1761</v>
      </c>
      <c r="E273" s="63">
        <v>479.92</v>
      </c>
      <c r="F273" s="37"/>
      <c r="G273" s="37">
        <f t="shared" si="5"/>
        <v>479.92</v>
      </c>
    </row>
    <row r="274">
      <c r="A274" s="60" t="s">
        <v>672</v>
      </c>
      <c r="B274" s="60" t="s">
        <v>673</v>
      </c>
      <c r="C274" s="34" t="s">
        <v>75</v>
      </c>
      <c r="D274" s="34" t="s">
        <v>1761</v>
      </c>
      <c r="E274" s="63">
        <v>973.84</v>
      </c>
      <c r="F274" s="37"/>
      <c r="G274" s="37">
        <f t="shared" si="5"/>
        <v>973.84</v>
      </c>
    </row>
    <row r="275">
      <c r="A275" s="60" t="s">
        <v>1429</v>
      </c>
      <c r="B275" s="60" t="s">
        <v>1430</v>
      </c>
      <c r="C275" s="34" t="s">
        <v>75</v>
      </c>
      <c r="D275" s="34" t="s">
        <v>1761</v>
      </c>
      <c r="E275" s="63">
        <v>3490.78</v>
      </c>
      <c r="F275" s="37"/>
      <c r="G275" s="37">
        <f t="shared" si="5"/>
        <v>3490.78</v>
      </c>
    </row>
    <row r="276">
      <c r="A276" s="60" t="s">
        <v>674</v>
      </c>
      <c r="B276" s="60" t="s">
        <v>675</v>
      </c>
      <c r="C276" s="34" t="s">
        <v>75</v>
      </c>
      <c r="D276" s="34" t="s">
        <v>1761</v>
      </c>
      <c r="E276" s="63">
        <v>357.98</v>
      </c>
      <c r="F276" s="37"/>
      <c r="G276" s="37">
        <f t="shared" si="5"/>
        <v>357.98</v>
      </c>
    </row>
    <row r="277">
      <c r="A277" s="60" t="s">
        <v>678</v>
      </c>
      <c r="B277" s="60" t="s">
        <v>679</v>
      </c>
      <c r="C277" s="34" t="s">
        <v>75</v>
      </c>
      <c r="D277" s="34" t="s">
        <v>1761</v>
      </c>
      <c r="E277" s="63">
        <v>241.97</v>
      </c>
      <c r="F277" s="37"/>
      <c r="G277" s="37">
        <f t="shared" si="5"/>
        <v>241.97</v>
      </c>
    </row>
    <row r="278">
      <c r="A278" s="60" t="s">
        <v>680</v>
      </c>
      <c r="B278" s="60" t="s">
        <v>681</v>
      </c>
      <c r="C278" s="34" t="s">
        <v>75</v>
      </c>
      <c r="D278" s="34" t="s">
        <v>1761</v>
      </c>
      <c r="E278" s="63">
        <v>115.99</v>
      </c>
      <c r="F278" s="37"/>
      <c r="G278" s="37">
        <f t="shared" si="5"/>
        <v>115.99</v>
      </c>
    </row>
    <row r="279">
      <c r="A279" s="60" t="s">
        <v>682</v>
      </c>
      <c r="B279" s="60" t="s">
        <v>683</v>
      </c>
      <c r="C279" s="34" t="s">
        <v>75</v>
      </c>
      <c r="D279" s="34" t="s">
        <v>1761</v>
      </c>
      <c r="E279" s="63">
        <v>3513.31</v>
      </c>
      <c r="F279" s="37"/>
      <c r="G279" s="37">
        <f t="shared" si="5"/>
        <v>3513.31</v>
      </c>
    </row>
    <row r="280">
      <c r="A280" s="60" t="s">
        <v>684</v>
      </c>
      <c r="B280" s="60" t="s">
        <v>685</v>
      </c>
      <c r="C280" s="34" t="s">
        <v>75</v>
      </c>
      <c r="D280" s="34" t="s">
        <v>1761</v>
      </c>
      <c r="E280" s="63">
        <v>944.93</v>
      </c>
      <c r="F280" s="37"/>
      <c r="G280" s="37">
        <f t="shared" si="5"/>
        <v>944.93</v>
      </c>
    </row>
    <row r="281">
      <c r="A281" s="60" t="s">
        <v>686</v>
      </c>
      <c r="B281" s="60" t="s">
        <v>687</v>
      </c>
      <c r="C281" s="34" t="s">
        <v>75</v>
      </c>
      <c r="D281" s="34" t="s">
        <v>1761</v>
      </c>
      <c r="E281" s="63">
        <v>711.91</v>
      </c>
      <c r="F281" s="37"/>
      <c r="G281" s="37">
        <f t="shared" si="5"/>
        <v>711.91</v>
      </c>
    </row>
    <row r="282">
      <c r="A282" s="60" t="s">
        <v>688</v>
      </c>
      <c r="B282" s="60" t="s">
        <v>689</v>
      </c>
      <c r="C282" s="34" t="s">
        <v>75</v>
      </c>
      <c r="D282" s="34" t="s">
        <v>1761</v>
      </c>
      <c r="E282" s="63">
        <v>350.96</v>
      </c>
      <c r="F282" s="37"/>
      <c r="G282" s="37">
        <f t="shared" si="5"/>
        <v>350.96</v>
      </c>
    </row>
    <row r="283">
      <c r="A283" s="60" t="s">
        <v>718</v>
      </c>
      <c r="B283" s="60" t="s">
        <v>719</v>
      </c>
      <c r="C283" s="34" t="s">
        <v>84</v>
      </c>
      <c r="D283" s="34" t="s">
        <v>58</v>
      </c>
      <c r="E283" s="63">
        <v>1410.49</v>
      </c>
      <c r="F283" s="37"/>
      <c r="G283" s="37">
        <f t="shared" si="5"/>
        <v>1410.49</v>
      </c>
    </row>
    <row r="284">
      <c r="A284" s="60" t="s">
        <v>720</v>
      </c>
      <c r="B284" s="60" t="s">
        <v>721</v>
      </c>
      <c r="C284" s="34" t="s">
        <v>84</v>
      </c>
      <c r="D284" s="34" t="s">
        <v>58</v>
      </c>
      <c r="E284" s="63">
        <v>1258.01</v>
      </c>
      <c r="F284" s="37"/>
      <c r="G284" s="37">
        <f t="shared" si="5"/>
        <v>1258.01</v>
      </c>
    </row>
    <row r="285">
      <c r="A285" s="60" t="s">
        <v>698</v>
      </c>
      <c r="B285" s="60" t="s">
        <v>699</v>
      </c>
      <c r="C285" s="34" t="s">
        <v>84</v>
      </c>
      <c r="D285" s="34" t="s">
        <v>58</v>
      </c>
      <c r="E285" s="63">
        <v>222.0</v>
      </c>
      <c r="F285" s="37"/>
      <c r="G285" s="37">
        <f t="shared" si="5"/>
        <v>222</v>
      </c>
    </row>
    <row r="286">
      <c r="A286" s="60" t="s">
        <v>704</v>
      </c>
      <c r="B286" s="60" t="s">
        <v>705</v>
      </c>
      <c r="C286" s="34" t="s">
        <v>84</v>
      </c>
      <c r="D286" s="34" t="s">
        <v>58</v>
      </c>
      <c r="E286" s="63">
        <v>630.0</v>
      </c>
      <c r="F286" s="37"/>
      <c r="G286" s="37">
        <f t="shared" si="5"/>
        <v>630</v>
      </c>
    </row>
    <row r="287">
      <c r="A287" s="60" t="s">
        <v>1435</v>
      </c>
      <c r="B287" s="60" t="s">
        <v>1436</v>
      </c>
      <c r="C287" s="34" t="s">
        <v>84</v>
      </c>
      <c r="D287" s="34" t="s">
        <v>58</v>
      </c>
      <c r="E287" s="63">
        <v>1115.0</v>
      </c>
      <c r="F287" s="37"/>
      <c r="G287" s="37">
        <f t="shared" si="5"/>
        <v>1115</v>
      </c>
    </row>
    <row r="288">
      <c r="A288" s="60" t="s">
        <v>1437</v>
      </c>
      <c r="B288" s="60" t="s">
        <v>1438</v>
      </c>
      <c r="C288" s="34" t="s">
        <v>84</v>
      </c>
      <c r="D288" s="34" t="s">
        <v>58</v>
      </c>
      <c r="E288" s="63">
        <v>626.0</v>
      </c>
      <c r="F288" s="37"/>
      <c r="G288" s="37">
        <f t="shared" si="5"/>
        <v>626</v>
      </c>
    </row>
    <row r="289">
      <c r="A289" s="60" t="s">
        <v>706</v>
      </c>
      <c r="B289" s="60" t="s">
        <v>707</v>
      </c>
      <c r="C289" s="34" t="s">
        <v>84</v>
      </c>
      <c r="D289" s="34" t="s">
        <v>58</v>
      </c>
      <c r="E289" s="63">
        <v>2914.01</v>
      </c>
      <c r="F289" s="37"/>
      <c r="G289" s="37">
        <f t="shared" si="5"/>
        <v>2914.01</v>
      </c>
    </row>
    <row r="290">
      <c r="A290" s="60" t="s">
        <v>1623</v>
      </c>
      <c r="B290" s="60" t="s">
        <v>1624</v>
      </c>
      <c r="C290" s="34" t="s">
        <v>84</v>
      </c>
      <c r="D290" s="34" t="s">
        <v>58</v>
      </c>
      <c r="E290" s="63">
        <v>1536.01</v>
      </c>
      <c r="F290" s="37"/>
      <c r="G290" s="37">
        <f t="shared" si="5"/>
        <v>1536.01</v>
      </c>
    </row>
    <row r="291">
      <c r="A291" s="60" t="s">
        <v>1441</v>
      </c>
      <c r="B291" s="60" t="s">
        <v>1442</v>
      </c>
      <c r="C291" s="34" t="s">
        <v>84</v>
      </c>
      <c r="D291" s="34" t="s">
        <v>58</v>
      </c>
      <c r="E291" s="63">
        <v>309.0</v>
      </c>
      <c r="F291" s="37"/>
      <c r="G291" s="37">
        <f t="shared" si="5"/>
        <v>309</v>
      </c>
    </row>
    <row r="292">
      <c r="A292" s="60" t="s">
        <v>708</v>
      </c>
      <c r="B292" s="60" t="s">
        <v>709</v>
      </c>
      <c r="C292" s="34" t="s">
        <v>84</v>
      </c>
      <c r="D292" s="34" t="s">
        <v>58</v>
      </c>
      <c r="E292" s="63">
        <v>822.0</v>
      </c>
      <c r="F292" s="37"/>
      <c r="G292" s="37">
        <f t="shared" si="5"/>
        <v>822</v>
      </c>
    </row>
    <row r="293">
      <c r="A293" s="60" t="s">
        <v>1779</v>
      </c>
      <c r="B293" s="60" t="s">
        <v>1780</v>
      </c>
      <c r="C293" s="34" t="s">
        <v>84</v>
      </c>
      <c r="D293" s="34" t="s">
        <v>58</v>
      </c>
      <c r="E293" s="63">
        <v>1353.12</v>
      </c>
      <c r="F293" s="37"/>
      <c r="G293" s="37">
        <f t="shared" si="5"/>
        <v>1353.12</v>
      </c>
    </row>
    <row r="294">
      <c r="A294" s="60" t="s">
        <v>722</v>
      </c>
      <c r="B294" s="60" t="s">
        <v>723</v>
      </c>
      <c r="C294" s="34" t="s">
        <v>85</v>
      </c>
      <c r="D294" s="34" t="s">
        <v>51</v>
      </c>
      <c r="E294" s="63">
        <v>664.38</v>
      </c>
      <c r="F294" s="37"/>
      <c r="G294" s="37">
        <f t="shared" si="5"/>
        <v>664.38</v>
      </c>
    </row>
    <row r="295">
      <c r="A295" s="60" t="s">
        <v>724</v>
      </c>
      <c r="B295" s="60" t="s">
        <v>725</v>
      </c>
      <c r="C295" s="34" t="s">
        <v>85</v>
      </c>
      <c r="D295" s="34" t="s">
        <v>51</v>
      </c>
      <c r="E295" s="63">
        <v>217.97</v>
      </c>
      <c r="F295" s="37"/>
      <c r="G295" s="37">
        <f t="shared" si="5"/>
        <v>217.97</v>
      </c>
    </row>
    <row r="296">
      <c r="A296" s="60" t="s">
        <v>726</v>
      </c>
      <c r="B296" s="60" t="s">
        <v>727</v>
      </c>
      <c r="C296" s="34" t="s">
        <v>85</v>
      </c>
      <c r="D296" s="34" t="s">
        <v>51</v>
      </c>
      <c r="E296" s="63">
        <v>210.98</v>
      </c>
      <c r="F296" s="37"/>
      <c r="G296" s="37">
        <f t="shared" si="5"/>
        <v>210.98</v>
      </c>
    </row>
    <row r="297">
      <c r="A297" s="60" t="s">
        <v>728</v>
      </c>
      <c r="B297" s="60" t="s">
        <v>729</v>
      </c>
      <c r="C297" s="34" t="s">
        <v>85</v>
      </c>
      <c r="D297" s="34" t="s">
        <v>51</v>
      </c>
      <c r="E297" s="63">
        <v>183.02</v>
      </c>
      <c r="F297" s="37"/>
      <c r="G297" s="37">
        <f t="shared" si="5"/>
        <v>183.02</v>
      </c>
    </row>
    <row r="298">
      <c r="A298" s="60" t="s">
        <v>730</v>
      </c>
      <c r="B298" s="60" t="s">
        <v>731</v>
      </c>
      <c r="C298" s="34" t="s">
        <v>85</v>
      </c>
      <c r="D298" s="34" t="s">
        <v>51</v>
      </c>
      <c r="E298" s="63">
        <v>101.98</v>
      </c>
      <c r="F298" s="37"/>
      <c r="G298" s="37">
        <f t="shared" si="5"/>
        <v>101.98</v>
      </c>
    </row>
    <row r="299">
      <c r="A299" s="60" t="s">
        <v>732</v>
      </c>
      <c r="B299" s="60" t="s">
        <v>733</v>
      </c>
      <c r="C299" s="34" t="s">
        <v>85</v>
      </c>
      <c r="D299" s="34" t="s">
        <v>51</v>
      </c>
      <c r="E299" s="63">
        <v>160.0</v>
      </c>
      <c r="F299" s="37"/>
      <c r="G299" s="37">
        <f t="shared" si="5"/>
        <v>160</v>
      </c>
    </row>
    <row r="300">
      <c r="A300" s="60" t="s">
        <v>734</v>
      </c>
      <c r="B300" s="60" t="s">
        <v>735</v>
      </c>
      <c r="C300" s="34" t="s">
        <v>85</v>
      </c>
      <c r="D300" s="34" t="s">
        <v>51</v>
      </c>
      <c r="E300" s="63">
        <v>264.95</v>
      </c>
      <c r="F300" s="37"/>
      <c r="G300" s="37">
        <f t="shared" si="5"/>
        <v>264.95</v>
      </c>
    </row>
    <row r="301">
      <c r="A301" s="60" t="s">
        <v>736</v>
      </c>
      <c r="B301" s="60" t="s">
        <v>737</v>
      </c>
      <c r="C301" s="34" t="s">
        <v>85</v>
      </c>
      <c r="D301" s="34" t="s">
        <v>51</v>
      </c>
      <c r="E301" s="63">
        <v>735.35</v>
      </c>
      <c r="F301" s="37"/>
      <c r="G301" s="37">
        <f t="shared" si="5"/>
        <v>735.35</v>
      </c>
    </row>
    <row r="302">
      <c r="A302" s="60" t="s">
        <v>738</v>
      </c>
      <c r="B302" s="60" t="s">
        <v>739</v>
      </c>
      <c r="C302" s="34" t="s">
        <v>85</v>
      </c>
      <c r="D302" s="34" t="s">
        <v>51</v>
      </c>
      <c r="E302" s="63">
        <v>91.98</v>
      </c>
      <c r="F302" s="37"/>
      <c r="G302" s="37">
        <f t="shared" si="5"/>
        <v>91.98</v>
      </c>
    </row>
    <row r="303">
      <c r="A303" s="60" t="s">
        <v>740</v>
      </c>
      <c r="B303" s="60" t="s">
        <v>741</v>
      </c>
      <c r="C303" s="34" t="s">
        <v>85</v>
      </c>
      <c r="D303" s="34" t="s">
        <v>51</v>
      </c>
      <c r="E303" s="63">
        <v>783.01</v>
      </c>
      <c r="F303" s="37"/>
      <c r="G303" s="37">
        <f t="shared" si="5"/>
        <v>783.01</v>
      </c>
    </row>
    <row r="304">
      <c r="A304" s="60" t="s">
        <v>742</v>
      </c>
      <c r="B304" s="60" t="s">
        <v>743</v>
      </c>
      <c r="C304" s="34" t="s">
        <v>85</v>
      </c>
      <c r="D304" s="34" t="s">
        <v>51</v>
      </c>
      <c r="E304" s="63">
        <v>546.01</v>
      </c>
      <c r="F304" s="37"/>
      <c r="G304" s="37">
        <f t="shared" si="5"/>
        <v>546.01</v>
      </c>
    </row>
    <row r="305">
      <c r="A305" s="60" t="s">
        <v>744</v>
      </c>
      <c r="B305" s="60" t="s">
        <v>745</v>
      </c>
      <c r="C305" s="34" t="s">
        <v>85</v>
      </c>
      <c r="D305" s="34" t="s">
        <v>51</v>
      </c>
      <c r="E305" s="63">
        <v>988.01</v>
      </c>
      <c r="F305" s="37"/>
      <c r="G305" s="37">
        <f t="shared" si="5"/>
        <v>988.01</v>
      </c>
    </row>
    <row r="306">
      <c r="A306" s="60" t="s">
        <v>750</v>
      </c>
      <c r="B306" s="60" t="s">
        <v>751</v>
      </c>
      <c r="C306" s="34" t="s">
        <v>85</v>
      </c>
      <c r="D306" s="34" t="s">
        <v>51</v>
      </c>
      <c r="E306" s="63">
        <v>159.97</v>
      </c>
      <c r="F306" s="37"/>
      <c r="G306" s="37">
        <f t="shared" si="5"/>
        <v>159.97</v>
      </c>
    </row>
    <row r="307">
      <c r="A307" s="60" t="s">
        <v>752</v>
      </c>
      <c r="B307" s="60" t="s">
        <v>753</v>
      </c>
      <c r="C307" s="34" t="s">
        <v>85</v>
      </c>
      <c r="D307" s="34" t="s">
        <v>51</v>
      </c>
      <c r="E307" s="63">
        <v>2730.22</v>
      </c>
      <c r="F307" s="37"/>
      <c r="G307" s="37">
        <f t="shared" si="5"/>
        <v>2730.22</v>
      </c>
    </row>
    <row r="308">
      <c r="A308" s="60" t="s">
        <v>754</v>
      </c>
      <c r="B308" s="60" t="s">
        <v>755</v>
      </c>
      <c r="C308" s="34" t="s">
        <v>85</v>
      </c>
      <c r="D308" s="34" t="s">
        <v>51</v>
      </c>
      <c r="E308" s="63">
        <v>920.05</v>
      </c>
      <c r="F308" s="37"/>
      <c r="G308" s="37">
        <f t="shared" si="5"/>
        <v>920.05</v>
      </c>
    </row>
    <row r="309">
      <c r="A309" s="60" t="s">
        <v>756</v>
      </c>
      <c r="B309" s="60" t="s">
        <v>757</v>
      </c>
      <c r="C309" s="34" t="s">
        <v>85</v>
      </c>
      <c r="D309" s="34" t="s">
        <v>51</v>
      </c>
      <c r="E309" s="63">
        <v>4577.26</v>
      </c>
      <c r="F309" s="37"/>
      <c r="G309" s="37">
        <f t="shared" si="5"/>
        <v>4577.26</v>
      </c>
    </row>
    <row r="310">
      <c r="A310" s="60" t="s">
        <v>758</v>
      </c>
      <c r="B310" s="60" t="s">
        <v>759</v>
      </c>
      <c r="C310" s="34" t="s">
        <v>85</v>
      </c>
      <c r="D310" s="34" t="s">
        <v>51</v>
      </c>
      <c r="E310" s="63">
        <v>352.0</v>
      </c>
      <c r="F310" s="37"/>
      <c r="G310" s="37">
        <f t="shared" si="5"/>
        <v>352</v>
      </c>
    </row>
    <row r="311">
      <c r="A311" s="60" t="s">
        <v>760</v>
      </c>
      <c r="B311" s="60" t="s">
        <v>761</v>
      </c>
      <c r="C311" s="34" t="s">
        <v>85</v>
      </c>
      <c r="D311" s="34" t="s">
        <v>51</v>
      </c>
      <c r="E311" s="63">
        <v>700.03</v>
      </c>
      <c r="F311" s="37"/>
      <c r="G311" s="37">
        <f t="shared" si="5"/>
        <v>700.03</v>
      </c>
    </row>
    <row r="312">
      <c r="A312" s="60" t="s">
        <v>766</v>
      </c>
      <c r="B312" s="60" t="s">
        <v>767</v>
      </c>
      <c r="C312" s="34" t="s">
        <v>79</v>
      </c>
      <c r="D312" s="34" t="s">
        <v>49</v>
      </c>
      <c r="E312" s="63">
        <v>38782.0</v>
      </c>
      <c r="F312" s="37"/>
      <c r="G312" s="37">
        <f t="shared" si="5"/>
        <v>38782</v>
      </c>
    </row>
    <row r="313">
      <c r="A313" s="60" t="s">
        <v>768</v>
      </c>
      <c r="B313" s="60" t="s">
        <v>769</v>
      </c>
      <c r="C313" s="34" t="s">
        <v>79</v>
      </c>
      <c r="D313" s="34" t="s">
        <v>49</v>
      </c>
      <c r="E313" s="63">
        <v>46409.3</v>
      </c>
      <c r="F313" s="37"/>
      <c r="G313" s="37">
        <f t="shared" si="5"/>
        <v>46409.3</v>
      </c>
    </row>
    <row r="314">
      <c r="A314" s="60" t="s">
        <v>770</v>
      </c>
      <c r="B314" s="60" t="s">
        <v>771</v>
      </c>
      <c r="C314" s="34" t="s">
        <v>79</v>
      </c>
      <c r="D314" s="34" t="s">
        <v>49</v>
      </c>
      <c r="E314" s="63">
        <v>54510.0</v>
      </c>
      <c r="F314" s="37"/>
      <c r="G314" s="37">
        <f t="shared" si="5"/>
        <v>54510</v>
      </c>
    </row>
    <row r="315">
      <c r="A315" s="60" t="s">
        <v>772</v>
      </c>
      <c r="B315" s="60" t="s">
        <v>773</v>
      </c>
      <c r="C315" s="34" t="s">
        <v>79</v>
      </c>
      <c r="D315" s="34" t="s">
        <v>49</v>
      </c>
      <c r="E315" s="63">
        <v>79536.07</v>
      </c>
      <c r="F315" s="37"/>
      <c r="G315" s="37">
        <f t="shared" si="5"/>
        <v>79536.07</v>
      </c>
    </row>
    <row r="316">
      <c r="A316" s="60" t="s">
        <v>774</v>
      </c>
      <c r="B316" s="60" t="s">
        <v>775</v>
      </c>
      <c r="C316" s="34" t="s">
        <v>79</v>
      </c>
      <c r="D316" s="34" t="s">
        <v>49</v>
      </c>
      <c r="E316" s="63">
        <v>268810.75</v>
      </c>
      <c r="F316" s="37"/>
      <c r="G316" s="37">
        <f t="shared" si="5"/>
        <v>268810.75</v>
      </c>
    </row>
    <row r="317">
      <c r="A317" s="60" t="s">
        <v>776</v>
      </c>
      <c r="B317" s="60" t="s">
        <v>777</v>
      </c>
      <c r="C317" s="34" t="s">
        <v>79</v>
      </c>
      <c r="D317" s="34" t="s">
        <v>49</v>
      </c>
      <c r="E317" s="63">
        <v>80500.0</v>
      </c>
      <c r="F317" s="37"/>
      <c r="G317" s="37">
        <f t="shared" si="5"/>
        <v>80500</v>
      </c>
    </row>
    <row r="318">
      <c r="A318" s="60" t="s">
        <v>778</v>
      </c>
      <c r="B318" s="60" t="s">
        <v>779</v>
      </c>
      <c r="C318" s="34" t="s">
        <v>79</v>
      </c>
      <c r="D318" s="34" t="s">
        <v>49</v>
      </c>
      <c r="E318" s="63">
        <v>32487.41</v>
      </c>
      <c r="F318" s="37"/>
      <c r="G318" s="37">
        <f t="shared" si="5"/>
        <v>32487.41</v>
      </c>
    </row>
    <row r="319">
      <c r="A319" s="60" t="s">
        <v>780</v>
      </c>
      <c r="B319" s="60" t="s">
        <v>781</v>
      </c>
      <c r="C319" s="34" t="s">
        <v>79</v>
      </c>
      <c r="D319" s="34" t="s">
        <v>49</v>
      </c>
      <c r="E319" s="63">
        <v>195.5</v>
      </c>
      <c r="F319" s="37"/>
      <c r="G319" s="37">
        <f t="shared" si="5"/>
        <v>195.5</v>
      </c>
    </row>
    <row r="320">
      <c r="A320" s="60" t="s">
        <v>782</v>
      </c>
      <c r="B320" s="60" t="s">
        <v>783</v>
      </c>
      <c r="C320" s="34" t="s">
        <v>79</v>
      </c>
      <c r="D320" s="34" t="s">
        <v>49</v>
      </c>
      <c r="E320" s="63">
        <v>97.75</v>
      </c>
      <c r="F320" s="37"/>
      <c r="G320" s="37">
        <f t="shared" si="5"/>
        <v>97.75</v>
      </c>
    </row>
    <row r="321">
      <c r="A321" s="60" t="s">
        <v>784</v>
      </c>
      <c r="B321" s="60" t="s">
        <v>785</v>
      </c>
      <c r="C321" s="34" t="s">
        <v>79</v>
      </c>
      <c r="D321" s="34" t="s">
        <v>49</v>
      </c>
      <c r="E321" s="63">
        <v>16208.7</v>
      </c>
      <c r="F321" s="37"/>
      <c r="G321" s="37">
        <f t="shared" si="5"/>
        <v>16208.7</v>
      </c>
    </row>
    <row r="322">
      <c r="A322" s="60" t="s">
        <v>786</v>
      </c>
      <c r="B322" s="60" t="s">
        <v>787</v>
      </c>
      <c r="C322" s="34" t="s">
        <v>79</v>
      </c>
      <c r="D322" s="34" t="s">
        <v>49</v>
      </c>
      <c r="E322" s="63">
        <v>920.0</v>
      </c>
      <c r="F322" s="37"/>
      <c r="G322" s="37">
        <f t="shared" si="5"/>
        <v>920</v>
      </c>
    </row>
    <row r="323">
      <c r="A323" s="60" t="s">
        <v>788</v>
      </c>
      <c r="B323" s="60" t="s">
        <v>789</v>
      </c>
      <c r="C323" s="34" t="s">
        <v>79</v>
      </c>
      <c r="D323" s="34" t="s">
        <v>49</v>
      </c>
      <c r="E323" s="63">
        <v>84496.25</v>
      </c>
      <c r="F323" s="37"/>
      <c r="G323" s="37">
        <f t="shared" si="5"/>
        <v>84496.25</v>
      </c>
    </row>
    <row r="324">
      <c r="A324" s="60" t="s">
        <v>790</v>
      </c>
      <c r="B324" s="60" t="s">
        <v>791</v>
      </c>
      <c r="C324" s="34" t="s">
        <v>79</v>
      </c>
      <c r="D324" s="34" t="s">
        <v>49</v>
      </c>
      <c r="E324" s="63">
        <v>27400.0</v>
      </c>
      <c r="F324" s="37"/>
      <c r="G324" s="37">
        <f t="shared" si="5"/>
        <v>27400</v>
      </c>
    </row>
    <row r="325">
      <c r="A325" s="60" t="s">
        <v>792</v>
      </c>
      <c r="B325" s="60" t="s">
        <v>793</v>
      </c>
      <c r="C325" s="34" t="s">
        <v>79</v>
      </c>
      <c r="D325" s="34" t="s">
        <v>49</v>
      </c>
      <c r="E325" s="63">
        <v>48300.0</v>
      </c>
      <c r="F325" s="37"/>
      <c r="G325" s="37">
        <f t="shared" si="5"/>
        <v>48300</v>
      </c>
    </row>
    <row r="326">
      <c r="A326" s="60" t="s">
        <v>1781</v>
      </c>
      <c r="B326" s="60" t="s">
        <v>1782</v>
      </c>
      <c r="C326" s="34" t="s">
        <v>79</v>
      </c>
      <c r="D326" s="34" t="s">
        <v>49</v>
      </c>
      <c r="E326" s="63">
        <v>69319.25</v>
      </c>
      <c r="F326" s="37"/>
      <c r="G326" s="37">
        <f t="shared" si="5"/>
        <v>69319.25</v>
      </c>
    </row>
    <row r="327">
      <c r="A327" s="60" t="s">
        <v>794</v>
      </c>
      <c r="B327" s="60" t="s">
        <v>795</v>
      </c>
      <c r="C327" s="34" t="s">
        <v>79</v>
      </c>
      <c r="D327" s="34" t="s">
        <v>49</v>
      </c>
      <c r="E327" s="63">
        <v>239268.24</v>
      </c>
      <c r="F327" s="37"/>
      <c r="G327" s="37">
        <f t="shared" si="5"/>
        <v>239268.24</v>
      </c>
    </row>
    <row r="328">
      <c r="A328" s="60" t="s">
        <v>796</v>
      </c>
      <c r="B328" s="60" t="s">
        <v>797</v>
      </c>
      <c r="C328" s="34" t="s">
        <v>77</v>
      </c>
      <c r="D328" s="34" t="s">
        <v>47</v>
      </c>
      <c r="E328" s="63">
        <v>14102.33</v>
      </c>
      <c r="F328" s="37"/>
      <c r="G328" s="37">
        <f t="shared" si="5"/>
        <v>14102.33</v>
      </c>
    </row>
    <row r="329">
      <c r="A329" s="60" t="s">
        <v>798</v>
      </c>
      <c r="B329" s="60" t="s">
        <v>799</v>
      </c>
      <c r="C329" s="34" t="s">
        <v>77</v>
      </c>
      <c r="D329" s="34" t="s">
        <v>47</v>
      </c>
      <c r="E329" s="63">
        <v>44091.94</v>
      </c>
      <c r="F329" s="37"/>
      <c r="G329" s="37">
        <f t="shared" si="5"/>
        <v>44091.94</v>
      </c>
    </row>
    <row r="330">
      <c r="A330" s="60" t="s">
        <v>800</v>
      </c>
      <c r="B330" s="60" t="s">
        <v>801</v>
      </c>
      <c r="C330" s="34" t="s">
        <v>77</v>
      </c>
      <c r="D330" s="34" t="s">
        <v>47</v>
      </c>
      <c r="E330" s="63">
        <v>5474.81</v>
      </c>
      <c r="F330" s="37"/>
      <c r="G330" s="37">
        <f t="shared" si="5"/>
        <v>5474.81</v>
      </c>
    </row>
    <row r="331">
      <c r="A331" s="60" t="s">
        <v>804</v>
      </c>
      <c r="B331" s="60" t="s">
        <v>805</v>
      </c>
      <c r="C331" s="34" t="s">
        <v>77</v>
      </c>
      <c r="D331" s="34" t="s">
        <v>47</v>
      </c>
      <c r="E331" s="63">
        <v>36929.32</v>
      </c>
      <c r="F331" s="37"/>
      <c r="G331" s="37">
        <f t="shared" si="5"/>
        <v>36929.32</v>
      </c>
    </row>
    <row r="332">
      <c r="A332" s="60" t="s">
        <v>806</v>
      </c>
      <c r="B332" s="60" t="s">
        <v>807</v>
      </c>
      <c r="C332" s="34" t="s">
        <v>77</v>
      </c>
      <c r="D332" s="34" t="s">
        <v>47</v>
      </c>
      <c r="E332" s="63">
        <v>5301.0</v>
      </c>
      <c r="F332" s="37"/>
      <c r="G332" s="37">
        <f t="shared" si="5"/>
        <v>5301</v>
      </c>
    </row>
    <row r="333">
      <c r="A333" s="60" t="s">
        <v>808</v>
      </c>
      <c r="B333" s="60" t="s">
        <v>809</v>
      </c>
      <c r="C333" s="34" t="s">
        <v>77</v>
      </c>
      <c r="D333" s="34" t="s">
        <v>47</v>
      </c>
      <c r="E333" s="63">
        <v>5345.0</v>
      </c>
      <c r="F333" s="37"/>
      <c r="G333" s="37">
        <f t="shared" si="5"/>
        <v>5345</v>
      </c>
    </row>
    <row r="334">
      <c r="A334" s="60" t="s">
        <v>810</v>
      </c>
      <c r="B334" s="60" t="s">
        <v>811</v>
      </c>
      <c r="C334" s="34" t="s">
        <v>77</v>
      </c>
      <c r="D334" s="34" t="s">
        <v>47</v>
      </c>
      <c r="E334" s="63">
        <v>6633.9</v>
      </c>
      <c r="F334" s="37"/>
      <c r="G334" s="37">
        <f t="shared" si="5"/>
        <v>6633.9</v>
      </c>
    </row>
    <row r="335">
      <c r="A335" s="60" t="s">
        <v>812</v>
      </c>
      <c r="B335" s="60" t="s">
        <v>813</v>
      </c>
      <c r="C335" s="34" t="s">
        <v>77</v>
      </c>
      <c r="D335" s="34" t="s">
        <v>47</v>
      </c>
      <c r="E335" s="63">
        <v>6741.01</v>
      </c>
      <c r="F335" s="37"/>
      <c r="G335" s="37">
        <f t="shared" si="5"/>
        <v>6741.01</v>
      </c>
    </row>
    <row r="336">
      <c r="A336" s="60" t="s">
        <v>818</v>
      </c>
      <c r="B336" s="60" t="s">
        <v>819</v>
      </c>
      <c r="C336" s="34" t="s">
        <v>77</v>
      </c>
      <c r="D336" s="34" t="s">
        <v>47</v>
      </c>
      <c r="E336" s="63">
        <v>98149.14</v>
      </c>
      <c r="F336" s="37"/>
      <c r="G336" s="37">
        <f t="shared" si="5"/>
        <v>98149.14</v>
      </c>
    </row>
    <row r="337">
      <c r="A337" s="60" t="s">
        <v>1627</v>
      </c>
      <c r="B337" s="60" t="s">
        <v>1628</v>
      </c>
      <c r="C337" s="34" t="s">
        <v>77</v>
      </c>
      <c r="D337" s="34" t="s">
        <v>47</v>
      </c>
      <c r="E337" s="63">
        <v>11267.0</v>
      </c>
      <c r="F337" s="37"/>
      <c r="G337" s="37">
        <f t="shared" si="5"/>
        <v>11267</v>
      </c>
    </row>
    <row r="338">
      <c r="A338" s="60" t="s">
        <v>820</v>
      </c>
      <c r="B338" s="60" t="s">
        <v>821</v>
      </c>
      <c r="C338" s="34" t="s">
        <v>77</v>
      </c>
      <c r="D338" s="34" t="s">
        <v>47</v>
      </c>
      <c r="E338" s="63">
        <v>540.0</v>
      </c>
      <c r="F338" s="37"/>
      <c r="G338" s="37">
        <f t="shared" si="5"/>
        <v>540</v>
      </c>
    </row>
    <row r="339">
      <c r="A339" s="60" t="s">
        <v>822</v>
      </c>
      <c r="B339" s="60" t="s">
        <v>823</v>
      </c>
      <c r="C339" s="34" t="s">
        <v>77</v>
      </c>
      <c r="D339" s="34" t="s">
        <v>47</v>
      </c>
      <c r="E339" s="63">
        <v>540.0</v>
      </c>
      <c r="F339" s="37"/>
      <c r="G339" s="37">
        <f t="shared" si="5"/>
        <v>540</v>
      </c>
    </row>
    <row r="340">
      <c r="A340" s="60" t="s">
        <v>1629</v>
      </c>
      <c r="B340" s="60" t="s">
        <v>1630</v>
      </c>
      <c r="C340" s="34" t="s">
        <v>77</v>
      </c>
      <c r="D340" s="34" t="s">
        <v>47</v>
      </c>
      <c r="E340" s="63">
        <v>500.0</v>
      </c>
      <c r="F340" s="37"/>
      <c r="G340" s="37">
        <f t="shared" si="5"/>
        <v>500</v>
      </c>
    </row>
    <row r="341">
      <c r="A341" s="60" t="s">
        <v>824</v>
      </c>
      <c r="B341" s="60" t="s">
        <v>825</v>
      </c>
      <c r="C341" s="34" t="s">
        <v>77</v>
      </c>
      <c r="D341" s="34" t="s">
        <v>47</v>
      </c>
      <c r="E341" s="63">
        <v>117.04</v>
      </c>
      <c r="F341" s="37"/>
      <c r="G341" s="37">
        <f t="shared" si="5"/>
        <v>117.04</v>
      </c>
    </row>
    <row r="342">
      <c r="A342" s="60" t="s">
        <v>826</v>
      </c>
      <c r="B342" s="60" t="s">
        <v>827</v>
      </c>
      <c r="C342" s="34" t="s">
        <v>77</v>
      </c>
      <c r="D342" s="34" t="s">
        <v>47</v>
      </c>
      <c r="E342" s="63">
        <v>17500.0</v>
      </c>
      <c r="F342" s="37"/>
      <c r="G342" s="37">
        <f t="shared" si="5"/>
        <v>17500</v>
      </c>
    </row>
    <row r="343">
      <c r="A343" s="60" t="s">
        <v>828</v>
      </c>
      <c r="B343" s="60" t="s">
        <v>829</v>
      </c>
      <c r="C343" s="34" t="s">
        <v>77</v>
      </c>
      <c r="D343" s="34" t="s">
        <v>47</v>
      </c>
      <c r="E343" s="63">
        <v>5390.79</v>
      </c>
      <c r="F343" s="37"/>
      <c r="G343" s="37">
        <f t="shared" si="5"/>
        <v>5390.79</v>
      </c>
    </row>
    <row r="344">
      <c r="A344" s="60" t="s">
        <v>1783</v>
      </c>
      <c r="B344" s="60" t="s">
        <v>1784</v>
      </c>
      <c r="C344" s="34" t="s">
        <v>77</v>
      </c>
      <c r="D344" s="34" t="s">
        <v>47</v>
      </c>
      <c r="E344" s="63">
        <v>2800.0</v>
      </c>
      <c r="F344" s="37"/>
      <c r="G344" s="37">
        <f t="shared" si="5"/>
        <v>2800</v>
      </c>
    </row>
    <row r="345">
      <c r="A345" s="60" t="s">
        <v>830</v>
      </c>
      <c r="B345" s="60" t="s">
        <v>831</v>
      </c>
      <c r="C345" s="34" t="s">
        <v>77</v>
      </c>
      <c r="D345" s="34" t="s">
        <v>47</v>
      </c>
      <c r="E345" s="63">
        <v>2701.0</v>
      </c>
      <c r="F345" s="37"/>
      <c r="G345" s="37">
        <f t="shared" si="5"/>
        <v>2701</v>
      </c>
    </row>
    <row r="346">
      <c r="A346" s="60" t="s">
        <v>832</v>
      </c>
      <c r="B346" s="60" t="s">
        <v>833</v>
      </c>
      <c r="C346" s="34" t="s">
        <v>77</v>
      </c>
      <c r="D346" s="34" t="s">
        <v>47</v>
      </c>
      <c r="E346" s="63">
        <v>4121.9</v>
      </c>
      <c r="F346" s="37"/>
      <c r="G346" s="37">
        <f t="shared" si="5"/>
        <v>4121.9</v>
      </c>
    </row>
    <row r="347">
      <c r="A347" s="60" t="s">
        <v>834</v>
      </c>
      <c r="B347" s="60" t="s">
        <v>835</v>
      </c>
      <c r="C347" s="34" t="s">
        <v>77</v>
      </c>
      <c r="D347" s="34" t="s">
        <v>47</v>
      </c>
      <c r="E347" s="63">
        <v>1800.0</v>
      </c>
      <c r="F347" s="37"/>
      <c r="G347" s="37">
        <f t="shared" si="5"/>
        <v>1800</v>
      </c>
    </row>
    <row r="348">
      <c r="A348" s="60" t="s">
        <v>836</v>
      </c>
      <c r="B348" s="60" t="s">
        <v>837</v>
      </c>
      <c r="C348" s="34" t="s">
        <v>77</v>
      </c>
      <c r="D348" s="34" t="s">
        <v>47</v>
      </c>
      <c r="E348" s="63">
        <v>7566.0</v>
      </c>
      <c r="F348" s="37"/>
      <c r="G348" s="37">
        <f t="shared" si="5"/>
        <v>7566</v>
      </c>
    </row>
    <row r="349">
      <c r="A349" s="60" t="s">
        <v>838</v>
      </c>
      <c r="B349" s="60" t="s">
        <v>839</v>
      </c>
      <c r="C349" s="34" t="s">
        <v>77</v>
      </c>
      <c r="D349" s="34" t="s">
        <v>47</v>
      </c>
      <c r="E349" s="63">
        <v>7202.27</v>
      </c>
      <c r="F349" s="37"/>
      <c r="G349" s="37">
        <f t="shared" si="5"/>
        <v>7202.27</v>
      </c>
    </row>
    <row r="350">
      <c r="A350" s="60" t="s">
        <v>840</v>
      </c>
      <c r="B350" s="60" t="s">
        <v>1785</v>
      </c>
      <c r="C350" s="34" t="s">
        <v>77</v>
      </c>
      <c r="D350" s="34" t="s">
        <v>47</v>
      </c>
      <c r="E350" s="63">
        <v>4595.0</v>
      </c>
      <c r="F350" s="37"/>
      <c r="G350" s="37">
        <f t="shared" si="5"/>
        <v>4595</v>
      </c>
    </row>
    <row r="351">
      <c r="A351" s="60" t="s">
        <v>842</v>
      </c>
      <c r="B351" s="60" t="s">
        <v>843</v>
      </c>
      <c r="C351" s="34" t="s">
        <v>77</v>
      </c>
      <c r="D351" s="34" t="s">
        <v>47</v>
      </c>
      <c r="E351" s="63">
        <v>1092.0</v>
      </c>
      <c r="F351" s="37"/>
      <c r="G351" s="37">
        <f t="shared" si="5"/>
        <v>1092</v>
      </c>
    </row>
    <row r="352">
      <c r="A352" s="60" t="s">
        <v>844</v>
      </c>
      <c r="B352" s="60" t="s">
        <v>845</v>
      </c>
      <c r="C352" s="34" t="s">
        <v>77</v>
      </c>
      <c r="D352" s="34" t="s">
        <v>47</v>
      </c>
      <c r="E352" s="63">
        <v>32876.87</v>
      </c>
      <c r="F352" s="37"/>
      <c r="G352" s="37">
        <f t="shared" si="5"/>
        <v>32876.87</v>
      </c>
    </row>
    <row r="353">
      <c r="A353" s="60" t="s">
        <v>1631</v>
      </c>
      <c r="B353" s="60" t="s">
        <v>1632</v>
      </c>
      <c r="C353" s="34" t="s">
        <v>77</v>
      </c>
      <c r="D353" s="34" t="s">
        <v>47</v>
      </c>
      <c r="E353" s="63">
        <v>6503.0</v>
      </c>
      <c r="F353" s="37"/>
      <c r="G353" s="37">
        <f t="shared" si="5"/>
        <v>6503</v>
      </c>
    </row>
    <row r="354">
      <c r="A354" s="60" t="s">
        <v>1786</v>
      </c>
      <c r="B354" s="60" t="s">
        <v>1787</v>
      </c>
      <c r="C354" s="34" t="s">
        <v>75</v>
      </c>
      <c r="D354" s="34" t="s">
        <v>50</v>
      </c>
      <c r="E354" s="63">
        <v>882.0</v>
      </c>
      <c r="F354" s="37"/>
      <c r="G354" s="37">
        <f t="shared" si="5"/>
        <v>882</v>
      </c>
    </row>
    <row r="355">
      <c r="A355" s="60" t="s">
        <v>848</v>
      </c>
      <c r="B355" s="60" t="s">
        <v>849</v>
      </c>
      <c r="C355" s="34" t="s">
        <v>75</v>
      </c>
      <c r="D355" s="34" t="s">
        <v>50</v>
      </c>
      <c r="E355" s="63">
        <v>766.02</v>
      </c>
      <c r="F355" s="37"/>
      <c r="G355" s="37">
        <f t="shared" si="5"/>
        <v>766.02</v>
      </c>
    </row>
    <row r="356">
      <c r="A356" s="60" t="s">
        <v>850</v>
      </c>
      <c r="B356" s="60" t="s">
        <v>851</v>
      </c>
      <c r="C356" s="34" t="s">
        <v>75</v>
      </c>
      <c r="D356" s="34" t="s">
        <v>50</v>
      </c>
      <c r="E356" s="63">
        <v>366.02</v>
      </c>
      <c r="F356" s="37"/>
      <c r="G356" s="37">
        <f t="shared" si="5"/>
        <v>366.02</v>
      </c>
    </row>
    <row r="357">
      <c r="A357" s="60" t="s">
        <v>852</v>
      </c>
      <c r="B357" s="60" t="s">
        <v>853</v>
      </c>
      <c r="C357" s="34" t="s">
        <v>75</v>
      </c>
      <c r="D357" s="34" t="s">
        <v>50</v>
      </c>
      <c r="E357" s="63">
        <v>300.02</v>
      </c>
      <c r="F357" s="37"/>
      <c r="G357" s="37">
        <f t="shared" si="5"/>
        <v>300.02</v>
      </c>
    </row>
    <row r="358">
      <c r="A358" s="60" t="s">
        <v>854</v>
      </c>
      <c r="B358" s="60" t="s">
        <v>855</v>
      </c>
      <c r="C358" s="34" t="s">
        <v>75</v>
      </c>
      <c r="D358" s="34" t="s">
        <v>50</v>
      </c>
      <c r="E358" s="63">
        <v>500.0</v>
      </c>
      <c r="F358" s="37"/>
      <c r="G358" s="37">
        <f t="shared" si="5"/>
        <v>500</v>
      </c>
    </row>
    <row r="359">
      <c r="A359" s="60" t="s">
        <v>856</v>
      </c>
      <c r="B359" s="60" t="s">
        <v>857</v>
      </c>
      <c r="C359" s="34" t="s">
        <v>75</v>
      </c>
      <c r="D359" s="34" t="s">
        <v>50</v>
      </c>
      <c r="E359" s="63">
        <v>300.02</v>
      </c>
      <c r="F359" s="37"/>
      <c r="G359" s="37">
        <f t="shared" si="5"/>
        <v>300.02</v>
      </c>
    </row>
    <row r="360">
      <c r="A360" s="60" t="s">
        <v>858</v>
      </c>
      <c r="B360" s="60" t="s">
        <v>859</v>
      </c>
      <c r="C360" s="34" t="s">
        <v>75</v>
      </c>
      <c r="D360" s="34" t="s">
        <v>50</v>
      </c>
      <c r="E360" s="63">
        <v>286.0</v>
      </c>
      <c r="F360" s="37"/>
      <c r="G360" s="37">
        <f t="shared" si="5"/>
        <v>286</v>
      </c>
    </row>
    <row r="361">
      <c r="A361" s="60" t="s">
        <v>860</v>
      </c>
      <c r="B361" s="60" t="s">
        <v>861</v>
      </c>
      <c r="C361" s="34" t="s">
        <v>75</v>
      </c>
      <c r="D361" s="34" t="s">
        <v>50</v>
      </c>
      <c r="E361" s="63">
        <v>197.84</v>
      </c>
      <c r="F361" s="37"/>
      <c r="G361" s="37">
        <f t="shared" si="5"/>
        <v>197.84</v>
      </c>
    </row>
    <row r="362">
      <c r="A362" s="60" t="s">
        <v>862</v>
      </c>
      <c r="B362" s="60" t="s">
        <v>863</v>
      </c>
      <c r="C362" s="34" t="s">
        <v>75</v>
      </c>
      <c r="D362" s="34" t="s">
        <v>50</v>
      </c>
      <c r="E362" s="63">
        <v>159.97</v>
      </c>
      <c r="F362" s="37"/>
      <c r="G362" s="37">
        <f t="shared" si="5"/>
        <v>159.97</v>
      </c>
    </row>
    <row r="363">
      <c r="A363" s="60" t="s">
        <v>1788</v>
      </c>
      <c r="B363" s="60" t="s">
        <v>1789</v>
      </c>
      <c r="C363" s="34" t="s">
        <v>75</v>
      </c>
      <c r="D363" s="34" t="s">
        <v>50</v>
      </c>
      <c r="E363" s="63">
        <v>199.97</v>
      </c>
      <c r="F363" s="37"/>
      <c r="G363" s="37">
        <f t="shared" si="5"/>
        <v>199.97</v>
      </c>
    </row>
    <row r="364">
      <c r="A364" s="60" t="s">
        <v>864</v>
      </c>
      <c r="B364" s="60" t="s">
        <v>865</v>
      </c>
      <c r="C364" s="34" t="s">
        <v>75</v>
      </c>
      <c r="D364" s="34" t="s">
        <v>50</v>
      </c>
      <c r="E364" s="63">
        <v>199.91</v>
      </c>
      <c r="F364" s="37"/>
      <c r="G364" s="37">
        <f t="shared" si="5"/>
        <v>199.91</v>
      </c>
    </row>
    <row r="365">
      <c r="A365" s="60" t="s">
        <v>866</v>
      </c>
      <c r="B365" s="60" t="s">
        <v>867</v>
      </c>
      <c r="C365" s="34" t="s">
        <v>75</v>
      </c>
      <c r="D365" s="34" t="s">
        <v>50</v>
      </c>
      <c r="E365" s="63">
        <v>199.91</v>
      </c>
      <c r="F365" s="37"/>
      <c r="G365" s="37">
        <f t="shared" si="5"/>
        <v>199.91</v>
      </c>
    </row>
    <row r="366">
      <c r="A366" s="60" t="s">
        <v>868</v>
      </c>
      <c r="B366" s="60" t="s">
        <v>869</v>
      </c>
      <c r="C366" s="34" t="s">
        <v>75</v>
      </c>
      <c r="D366" s="34" t="s">
        <v>50</v>
      </c>
      <c r="E366" s="63">
        <v>482.3</v>
      </c>
      <c r="F366" s="37"/>
      <c r="G366" s="37">
        <f t="shared" si="5"/>
        <v>482.3</v>
      </c>
    </row>
    <row r="367">
      <c r="A367" s="60" t="s">
        <v>870</v>
      </c>
      <c r="B367" s="60" t="s">
        <v>871</v>
      </c>
      <c r="C367" s="34" t="s">
        <v>75</v>
      </c>
      <c r="D367" s="34" t="s">
        <v>50</v>
      </c>
      <c r="E367" s="63">
        <v>482.3</v>
      </c>
      <c r="F367" s="37"/>
      <c r="G367" s="37">
        <f t="shared" si="5"/>
        <v>482.3</v>
      </c>
    </row>
    <row r="368">
      <c r="A368" s="60" t="s">
        <v>872</v>
      </c>
      <c r="B368" s="60" t="s">
        <v>873</v>
      </c>
      <c r="C368" s="34" t="s">
        <v>75</v>
      </c>
      <c r="D368" s="34" t="s">
        <v>50</v>
      </c>
      <c r="E368" s="63">
        <v>562.02</v>
      </c>
      <c r="F368" s="37"/>
      <c r="G368" s="37">
        <f t="shared" si="5"/>
        <v>562.02</v>
      </c>
    </row>
    <row r="369">
      <c r="A369" s="60" t="s">
        <v>874</v>
      </c>
      <c r="B369" s="60" t="s">
        <v>875</v>
      </c>
      <c r="C369" s="34" t="s">
        <v>75</v>
      </c>
      <c r="D369" s="34" t="s">
        <v>50</v>
      </c>
      <c r="E369" s="63">
        <v>242.98</v>
      </c>
      <c r="F369" s="37"/>
      <c r="G369" s="37">
        <f t="shared" si="5"/>
        <v>242.98</v>
      </c>
    </row>
    <row r="370">
      <c r="A370" s="60" t="s">
        <v>876</v>
      </c>
      <c r="B370" s="60" t="s">
        <v>877</v>
      </c>
      <c r="C370" s="34" t="s">
        <v>75</v>
      </c>
      <c r="D370" s="34" t="s">
        <v>50</v>
      </c>
      <c r="E370" s="63">
        <v>1032.06</v>
      </c>
      <c r="F370" s="37"/>
      <c r="G370" s="37">
        <f t="shared" si="5"/>
        <v>1032.06</v>
      </c>
    </row>
    <row r="371">
      <c r="A371" s="60" t="s">
        <v>878</v>
      </c>
      <c r="B371" s="60" t="s">
        <v>879</v>
      </c>
      <c r="C371" s="34" t="s">
        <v>75</v>
      </c>
      <c r="D371" s="34" t="s">
        <v>50</v>
      </c>
      <c r="E371" s="63">
        <v>482.3</v>
      </c>
      <c r="F371" s="37"/>
      <c r="G371" s="37">
        <f t="shared" si="5"/>
        <v>482.3</v>
      </c>
    </row>
    <row r="372">
      <c r="A372" s="60" t="s">
        <v>880</v>
      </c>
      <c r="B372" s="60" t="s">
        <v>881</v>
      </c>
      <c r="C372" s="34" t="s">
        <v>75</v>
      </c>
      <c r="D372" s="34" t="s">
        <v>50</v>
      </c>
      <c r="E372" s="63">
        <v>546.04</v>
      </c>
      <c r="F372" s="37"/>
      <c r="G372" s="37">
        <f t="shared" si="5"/>
        <v>546.04</v>
      </c>
    </row>
    <row r="373">
      <c r="A373" s="60" t="s">
        <v>882</v>
      </c>
      <c r="B373" s="60" t="s">
        <v>883</v>
      </c>
      <c r="C373" s="34" t="s">
        <v>75</v>
      </c>
      <c r="D373" s="34" t="s">
        <v>50</v>
      </c>
      <c r="E373" s="63">
        <v>300.0</v>
      </c>
      <c r="F373" s="37"/>
      <c r="G373" s="37">
        <f t="shared" si="5"/>
        <v>300</v>
      </c>
    </row>
    <row r="374">
      <c r="A374" s="60" t="s">
        <v>884</v>
      </c>
      <c r="B374" s="60" t="s">
        <v>885</v>
      </c>
      <c r="C374" s="34" t="s">
        <v>75</v>
      </c>
      <c r="D374" s="34" t="s">
        <v>50</v>
      </c>
      <c r="E374" s="63">
        <v>192.86</v>
      </c>
      <c r="F374" s="37"/>
      <c r="G374" s="37">
        <f t="shared" si="5"/>
        <v>192.86</v>
      </c>
    </row>
    <row r="375">
      <c r="A375" s="60" t="s">
        <v>886</v>
      </c>
      <c r="B375" s="60" t="s">
        <v>887</v>
      </c>
      <c r="C375" s="34" t="s">
        <v>75</v>
      </c>
      <c r="D375" s="34" t="s">
        <v>50</v>
      </c>
      <c r="E375" s="63">
        <v>300.0</v>
      </c>
      <c r="F375" s="37"/>
      <c r="G375" s="37">
        <f t="shared" si="5"/>
        <v>300</v>
      </c>
    </row>
    <row r="376">
      <c r="A376" s="60" t="s">
        <v>888</v>
      </c>
      <c r="B376" s="60" t="s">
        <v>889</v>
      </c>
      <c r="C376" s="34" t="s">
        <v>75</v>
      </c>
      <c r="D376" s="34" t="s">
        <v>50</v>
      </c>
      <c r="E376" s="63">
        <v>865.95</v>
      </c>
      <c r="F376" s="37"/>
      <c r="G376" s="37">
        <f t="shared" si="5"/>
        <v>865.95</v>
      </c>
    </row>
    <row r="377">
      <c r="A377" s="60" t="s">
        <v>890</v>
      </c>
      <c r="B377" s="60" t="s">
        <v>891</v>
      </c>
      <c r="C377" s="34" t="s">
        <v>75</v>
      </c>
      <c r="D377" s="34" t="s">
        <v>50</v>
      </c>
      <c r="E377" s="63">
        <v>782.03</v>
      </c>
      <c r="F377" s="37"/>
      <c r="G377" s="37">
        <f t="shared" si="5"/>
        <v>782.03</v>
      </c>
    </row>
    <row r="378">
      <c r="A378" s="60" t="s">
        <v>892</v>
      </c>
      <c r="B378" s="60" t="s">
        <v>893</v>
      </c>
      <c r="C378" s="34" t="s">
        <v>75</v>
      </c>
      <c r="D378" s="34" t="s">
        <v>50</v>
      </c>
      <c r="E378" s="63">
        <v>433.55</v>
      </c>
      <c r="F378" s="37"/>
      <c r="G378" s="37">
        <f t="shared" si="5"/>
        <v>433.55</v>
      </c>
    </row>
    <row r="379">
      <c r="A379" s="60" t="s">
        <v>894</v>
      </c>
      <c r="B379" s="60" t="s">
        <v>895</v>
      </c>
      <c r="C379" s="34" t="s">
        <v>75</v>
      </c>
      <c r="D379" s="34" t="s">
        <v>50</v>
      </c>
      <c r="E379" s="63">
        <v>135.85</v>
      </c>
      <c r="F379" s="37"/>
      <c r="G379" s="37">
        <f t="shared" si="5"/>
        <v>135.85</v>
      </c>
    </row>
    <row r="380">
      <c r="A380" s="60" t="s">
        <v>896</v>
      </c>
      <c r="B380" s="60" t="s">
        <v>897</v>
      </c>
      <c r="C380" s="34" t="s">
        <v>75</v>
      </c>
      <c r="D380" s="34" t="s">
        <v>50</v>
      </c>
      <c r="E380" s="63">
        <v>636.93</v>
      </c>
      <c r="F380" s="37"/>
      <c r="G380" s="37">
        <f t="shared" si="5"/>
        <v>636.93</v>
      </c>
    </row>
    <row r="381">
      <c r="A381" s="60" t="s">
        <v>898</v>
      </c>
      <c r="B381" s="60" t="s">
        <v>899</v>
      </c>
      <c r="C381" s="34" t="s">
        <v>75</v>
      </c>
      <c r="D381" s="34" t="s">
        <v>50</v>
      </c>
      <c r="E381" s="63">
        <v>1066.69</v>
      </c>
      <c r="F381" s="37"/>
      <c r="G381" s="37">
        <f t="shared" si="5"/>
        <v>1066.69</v>
      </c>
    </row>
    <row r="382">
      <c r="A382" s="60" t="s">
        <v>900</v>
      </c>
      <c r="B382" s="60" t="s">
        <v>901</v>
      </c>
      <c r="C382" s="34" t="s">
        <v>75</v>
      </c>
      <c r="D382" s="34" t="s">
        <v>50</v>
      </c>
      <c r="E382" s="63">
        <v>200.0</v>
      </c>
      <c r="F382" s="37"/>
      <c r="G382" s="37">
        <f t="shared" si="5"/>
        <v>200</v>
      </c>
    </row>
    <row r="383">
      <c r="A383" s="60" t="s">
        <v>902</v>
      </c>
      <c r="B383" s="60" t="s">
        <v>903</v>
      </c>
      <c r="C383" s="34" t="s">
        <v>75</v>
      </c>
      <c r="D383" s="34" t="s">
        <v>50</v>
      </c>
      <c r="E383" s="63">
        <v>68.98</v>
      </c>
      <c r="F383" s="37"/>
      <c r="G383" s="37">
        <f t="shared" si="5"/>
        <v>68.98</v>
      </c>
    </row>
    <row r="384">
      <c r="A384" s="60" t="s">
        <v>904</v>
      </c>
      <c r="B384" s="60" t="s">
        <v>1633</v>
      </c>
      <c r="C384" s="34" t="s">
        <v>75</v>
      </c>
      <c r="D384" s="34" t="s">
        <v>50</v>
      </c>
      <c r="E384" s="63">
        <v>1271.01</v>
      </c>
      <c r="F384" s="37"/>
      <c r="G384" s="37">
        <f t="shared" si="5"/>
        <v>1271.01</v>
      </c>
    </row>
    <row r="385">
      <c r="A385" s="60" t="s">
        <v>906</v>
      </c>
      <c r="B385" s="60" t="s">
        <v>907</v>
      </c>
      <c r="C385" s="34" t="s">
        <v>75</v>
      </c>
      <c r="D385" s="34" t="s">
        <v>50</v>
      </c>
      <c r="E385" s="63">
        <v>864.01</v>
      </c>
      <c r="F385" s="37"/>
      <c r="G385" s="37">
        <f t="shared" si="5"/>
        <v>864.01</v>
      </c>
    </row>
    <row r="386">
      <c r="A386" s="60" t="s">
        <v>908</v>
      </c>
      <c r="B386" s="60" t="s">
        <v>909</v>
      </c>
      <c r="C386" s="34" t="s">
        <v>75</v>
      </c>
      <c r="D386" s="34" t="s">
        <v>50</v>
      </c>
      <c r="E386" s="63">
        <v>327.02</v>
      </c>
      <c r="F386" s="37"/>
      <c r="G386" s="37">
        <f t="shared" si="5"/>
        <v>327.02</v>
      </c>
    </row>
    <row r="387">
      <c r="A387" s="60" t="s">
        <v>910</v>
      </c>
      <c r="B387" s="60" t="s">
        <v>911</v>
      </c>
      <c r="C387" s="34" t="s">
        <v>75</v>
      </c>
      <c r="D387" s="34" t="s">
        <v>50</v>
      </c>
      <c r="E387" s="63">
        <v>425.02</v>
      </c>
      <c r="F387" s="37"/>
      <c r="G387" s="37">
        <f t="shared" si="5"/>
        <v>425.02</v>
      </c>
    </row>
    <row r="388">
      <c r="A388" s="60" t="s">
        <v>918</v>
      </c>
      <c r="B388" s="60" t="s">
        <v>919</v>
      </c>
      <c r="C388" s="34" t="s">
        <v>75</v>
      </c>
      <c r="D388" s="34" t="s">
        <v>57</v>
      </c>
      <c r="E388" s="63">
        <v>50.99</v>
      </c>
      <c r="F388" s="37"/>
      <c r="G388" s="37">
        <f t="shared" si="5"/>
        <v>50.99</v>
      </c>
    </row>
    <row r="389">
      <c r="A389" s="60" t="s">
        <v>920</v>
      </c>
      <c r="B389" s="60" t="s">
        <v>921</v>
      </c>
      <c r="C389" s="34" t="s">
        <v>75</v>
      </c>
      <c r="D389" s="34" t="s">
        <v>57</v>
      </c>
      <c r="E389" s="63">
        <v>125.97</v>
      </c>
      <c r="F389" s="37"/>
      <c r="G389" s="37">
        <f t="shared" si="5"/>
        <v>125.97</v>
      </c>
    </row>
    <row r="390">
      <c r="A390" s="60" t="s">
        <v>922</v>
      </c>
      <c r="B390" s="60" t="s">
        <v>923</v>
      </c>
      <c r="C390" s="34" t="s">
        <v>75</v>
      </c>
      <c r="D390" s="34" t="s">
        <v>57</v>
      </c>
      <c r="E390" s="63">
        <v>217.97</v>
      </c>
      <c r="F390" s="37"/>
      <c r="G390" s="37">
        <f t="shared" si="5"/>
        <v>217.97</v>
      </c>
    </row>
    <row r="391">
      <c r="A391" s="60" t="s">
        <v>924</v>
      </c>
      <c r="B391" s="60" t="s">
        <v>925</v>
      </c>
      <c r="C391" s="34" t="s">
        <v>75</v>
      </c>
      <c r="D391" s="34" t="s">
        <v>57</v>
      </c>
      <c r="E391" s="63">
        <v>108.98</v>
      </c>
      <c r="F391" s="37"/>
      <c r="G391" s="37">
        <f t="shared" si="5"/>
        <v>108.98</v>
      </c>
    </row>
    <row r="392">
      <c r="A392" s="60" t="s">
        <v>926</v>
      </c>
      <c r="B392" s="60" t="s">
        <v>927</v>
      </c>
      <c r="C392" s="34" t="s">
        <v>75</v>
      </c>
      <c r="D392" s="34" t="s">
        <v>57</v>
      </c>
      <c r="E392" s="63">
        <v>108.98</v>
      </c>
      <c r="F392" s="37"/>
      <c r="G392" s="37">
        <f t="shared" si="5"/>
        <v>108.98</v>
      </c>
    </row>
    <row r="393">
      <c r="A393" s="60" t="s">
        <v>928</v>
      </c>
      <c r="B393" s="60" t="s">
        <v>929</v>
      </c>
      <c r="C393" s="34" t="s">
        <v>75</v>
      </c>
      <c r="D393" s="34" t="s">
        <v>57</v>
      </c>
      <c r="E393" s="63">
        <v>108.98</v>
      </c>
      <c r="F393" s="37"/>
      <c r="G393" s="37">
        <f t="shared" si="5"/>
        <v>108.98</v>
      </c>
    </row>
    <row r="394">
      <c r="A394" s="60" t="s">
        <v>930</v>
      </c>
      <c r="B394" s="60" t="s">
        <v>931</v>
      </c>
      <c r="C394" s="34" t="s">
        <v>75</v>
      </c>
      <c r="D394" s="34" t="s">
        <v>57</v>
      </c>
      <c r="E394" s="63">
        <v>108.98</v>
      </c>
      <c r="F394" s="37"/>
      <c r="G394" s="37">
        <f t="shared" si="5"/>
        <v>108.98</v>
      </c>
    </row>
    <row r="395">
      <c r="A395" s="60" t="s">
        <v>932</v>
      </c>
      <c r="B395" s="60" t="s">
        <v>933</v>
      </c>
      <c r="C395" s="34" t="s">
        <v>75</v>
      </c>
      <c r="D395" s="34" t="s">
        <v>57</v>
      </c>
      <c r="E395" s="63">
        <v>108.98</v>
      </c>
      <c r="F395" s="37"/>
      <c r="G395" s="37">
        <f t="shared" si="5"/>
        <v>108.98</v>
      </c>
    </row>
    <row r="396">
      <c r="A396" s="60" t="s">
        <v>934</v>
      </c>
      <c r="B396" s="60" t="s">
        <v>935</v>
      </c>
      <c r="C396" s="34" t="s">
        <v>75</v>
      </c>
      <c r="D396" s="34" t="s">
        <v>57</v>
      </c>
      <c r="E396" s="63">
        <v>522.0</v>
      </c>
      <c r="F396" s="37"/>
      <c r="G396" s="37">
        <f t="shared" si="5"/>
        <v>522</v>
      </c>
    </row>
    <row r="397">
      <c r="A397" s="60" t="s">
        <v>936</v>
      </c>
      <c r="B397" s="60" t="s">
        <v>937</v>
      </c>
      <c r="C397" s="34" t="s">
        <v>75</v>
      </c>
      <c r="D397" s="34" t="s">
        <v>57</v>
      </c>
      <c r="E397" s="63">
        <v>108.98</v>
      </c>
      <c r="F397" s="37"/>
      <c r="G397" s="37">
        <f t="shared" si="5"/>
        <v>108.98</v>
      </c>
    </row>
    <row r="398">
      <c r="A398" s="60" t="s">
        <v>938</v>
      </c>
      <c r="B398" s="60" t="s">
        <v>939</v>
      </c>
      <c r="C398" s="34" t="s">
        <v>75</v>
      </c>
      <c r="D398" s="34" t="s">
        <v>57</v>
      </c>
      <c r="E398" s="63">
        <v>429.93</v>
      </c>
      <c r="F398" s="37"/>
      <c r="G398" s="37">
        <f t="shared" si="5"/>
        <v>429.93</v>
      </c>
    </row>
    <row r="399">
      <c r="A399" s="60" t="s">
        <v>940</v>
      </c>
      <c r="B399" s="60" t="s">
        <v>941</v>
      </c>
      <c r="C399" s="34" t="s">
        <v>75</v>
      </c>
      <c r="D399" s="34" t="s">
        <v>57</v>
      </c>
      <c r="E399" s="61">
        <v>1529.91</v>
      </c>
      <c r="F399" s="37"/>
      <c r="G399" s="89">
        <f t="shared" si="5"/>
        <v>1529.91</v>
      </c>
    </row>
    <row r="400">
      <c r="A400" s="60" t="s">
        <v>942</v>
      </c>
      <c r="B400" s="60" t="s">
        <v>943</v>
      </c>
      <c r="C400" s="34" t="s">
        <v>75</v>
      </c>
      <c r="D400" s="34" t="s">
        <v>57</v>
      </c>
      <c r="E400" s="63">
        <v>86.96</v>
      </c>
      <c r="F400" s="37"/>
      <c r="G400" s="37">
        <f t="shared" si="5"/>
        <v>86.96</v>
      </c>
    </row>
    <row r="401">
      <c r="A401" s="60" t="s">
        <v>944</v>
      </c>
      <c r="B401" s="60" t="s">
        <v>945</v>
      </c>
      <c r="C401" s="34" t="s">
        <v>75</v>
      </c>
      <c r="D401" s="34" t="s">
        <v>57</v>
      </c>
      <c r="E401" s="63">
        <v>176.97</v>
      </c>
      <c r="F401" s="37"/>
      <c r="G401" s="37">
        <f t="shared" si="5"/>
        <v>176.97</v>
      </c>
    </row>
    <row r="402">
      <c r="A402" s="60" t="s">
        <v>946</v>
      </c>
      <c r="B402" s="60" t="s">
        <v>947</v>
      </c>
      <c r="C402" s="34" t="s">
        <v>75</v>
      </c>
      <c r="D402" s="34" t="s">
        <v>57</v>
      </c>
      <c r="E402" s="63">
        <v>159.97</v>
      </c>
      <c r="F402" s="37"/>
      <c r="G402" s="37">
        <f t="shared" si="5"/>
        <v>159.97</v>
      </c>
    </row>
    <row r="403">
      <c r="A403" s="60" t="s">
        <v>948</v>
      </c>
      <c r="B403" s="60" t="s">
        <v>949</v>
      </c>
      <c r="C403" s="34" t="s">
        <v>75</v>
      </c>
      <c r="D403" s="34" t="s">
        <v>57</v>
      </c>
      <c r="E403" s="63">
        <v>159.97</v>
      </c>
      <c r="F403" s="37"/>
      <c r="G403" s="37">
        <f t="shared" si="5"/>
        <v>159.97</v>
      </c>
    </row>
    <row r="404">
      <c r="A404" s="60" t="s">
        <v>950</v>
      </c>
      <c r="B404" s="60" t="s">
        <v>951</v>
      </c>
      <c r="C404" s="34" t="s">
        <v>75</v>
      </c>
      <c r="D404" s="34" t="s">
        <v>57</v>
      </c>
      <c r="E404" s="63">
        <v>142.98</v>
      </c>
      <c r="F404" s="37"/>
      <c r="G404" s="37">
        <f t="shared" si="5"/>
        <v>142.98</v>
      </c>
    </row>
    <row r="405">
      <c r="A405" s="60" t="s">
        <v>952</v>
      </c>
      <c r="B405" s="60" t="s">
        <v>953</v>
      </c>
      <c r="C405" s="34" t="s">
        <v>80</v>
      </c>
      <c r="D405" s="34" t="s">
        <v>46</v>
      </c>
      <c r="E405" s="63">
        <v>572.0</v>
      </c>
      <c r="F405" s="37"/>
      <c r="G405" s="37">
        <f t="shared" si="5"/>
        <v>572</v>
      </c>
    </row>
    <row r="406">
      <c r="A406" s="60" t="s">
        <v>954</v>
      </c>
      <c r="B406" s="60" t="s">
        <v>1634</v>
      </c>
      <c r="C406" s="34" t="s">
        <v>80</v>
      </c>
      <c r="D406" s="34" t="s">
        <v>46</v>
      </c>
      <c r="E406" s="63">
        <v>1072.02</v>
      </c>
      <c r="F406" s="37"/>
      <c r="G406" s="37">
        <f t="shared" si="5"/>
        <v>1072.02</v>
      </c>
    </row>
    <row r="407">
      <c r="A407" s="60" t="s">
        <v>956</v>
      </c>
      <c r="B407" s="60" t="s">
        <v>957</v>
      </c>
      <c r="C407" s="34" t="s">
        <v>80</v>
      </c>
      <c r="D407" s="34" t="s">
        <v>46</v>
      </c>
      <c r="E407" s="63">
        <v>1220.05</v>
      </c>
      <c r="F407" s="37"/>
      <c r="G407" s="37">
        <f t="shared" si="5"/>
        <v>1220.05</v>
      </c>
    </row>
    <row r="408">
      <c r="A408" s="60" t="s">
        <v>1790</v>
      </c>
      <c r="B408" s="60" t="s">
        <v>1791</v>
      </c>
      <c r="C408" s="34" t="s">
        <v>80</v>
      </c>
      <c r="D408" s="34" t="s">
        <v>46</v>
      </c>
      <c r="E408" s="63">
        <v>-0.01</v>
      </c>
      <c r="F408" s="37"/>
      <c r="G408" s="37">
        <f t="shared" si="5"/>
        <v>-0.01</v>
      </c>
    </row>
    <row r="409">
      <c r="A409" s="60" t="s">
        <v>1453</v>
      </c>
      <c r="B409" s="60" t="s">
        <v>1454</v>
      </c>
      <c r="C409" s="34" t="s">
        <v>80</v>
      </c>
      <c r="D409" s="34" t="s">
        <v>46</v>
      </c>
      <c r="E409" s="63">
        <v>1282.09</v>
      </c>
      <c r="F409" s="37"/>
      <c r="G409" s="37">
        <f t="shared" si="5"/>
        <v>1282.09</v>
      </c>
    </row>
    <row r="410">
      <c r="A410" s="60" t="s">
        <v>998</v>
      </c>
      <c r="B410" s="60" t="s">
        <v>999</v>
      </c>
      <c r="C410" s="34" t="s">
        <v>80</v>
      </c>
      <c r="D410" s="34" t="s">
        <v>46</v>
      </c>
      <c r="E410" s="63">
        <v>2249.98</v>
      </c>
      <c r="F410" s="37"/>
      <c r="G410" s="37">
        <f t="shared" si="5"/>
        <v>2249.98</v>
      </c>
    </row>
    <row r="411">
      <c r="A411" s="60" t="s">
        <v>960</v>
      </c>
      <c r="B411" s="60" t="s">
        <v>961</v>
      </c>
      <c r="C411" s="34" t="s">
        <v>80</v>
      </c>
      <c r="D411" s="34" t="s">
        <v>46</v>
      </c>
      <c r="E411" s="63">
        <v>9884.46</v>
      </c>
      <c r="F411" s="37"/>
      <c r="G411" s="37">
        <f t="shared" si="5"/>
        <v>9884.46</v>
      </c>
    </row>
    <row r="412">
      <c r="A412" s="60" t="s">
        <v>962</v>
      </c>
      <c r="B412" s="60" t="s">
        <v>963</v>
      </c>
      <c r="C412" s="34" t="s">
        <v>80</v>
      </c>
      <c r="D412" s="34" t="s">
        <v>46</v>
      </c>
      <c r="E412" s="63">
        <v>12962.0</v>
      </c>
      <c r="F412" s="37"/>
      <c r="G412" s="37">
        <f t="shared" si="5"/>
        <v>12962</v>
      </c>
    </row>
    <row r="413">
      <c r="A413" s="60" t="s">
        <v>964</v>
      </c>
      <c r="B413" s="60" t="s">
        <v>965</v>
      </c>
      <c r="C413" s="34" t="s">
        <v>80</v>
      </c>
      <c r="D413" s="34" t="s">
        <v>46</v>
      </c>
      <c r="E413" s="63">
        <v>165.98</v>
      </c>
      <c r="F413" s="37"/>
      <c r="G413" s="37">
        <f t="shared" si="5"/>
        <v>165.98</v>
      </c>
    </row>
    <row r="414">
      <c r="A414" s="60" t="s">
        <v>1002</v>
      </c>
      <c r="B414" s="60" t="s">
        <v>1003</v>
      </c>
      <c r="C414" s="34" t="s">
        <v>80</v>
      </c>
      <c r="D414" s="34" t="s">
        <v>46</v>
      </c>
      <c r="E414" s="63">
        <v>544.92</v>
      </c>
      <c r="F414" s="37"/>
      <c r="G414" s="37">
        <f t="shared" si="5"/>
        <v>544.92</v>
      </c>
    </row>
    <row r="415">
      <c r="A415" s="60" t="s">
        <v>966</v>
      </c>
      <c r="B415" s="60" t="s">
        <v>967</v>
      </c>
      <c r="C415" s="34" t="s">
        <v>80</v>
      </c>
      <c r="D415" s="34" t="s">
        <v>46</v>
      </c>
      <c r="E415" s="63">
        <v>1436.17</v>
      </c>
      <c r="F415" s="37"/>
      <c r="G415" s="37">
        <f t="shared" si="5"/>
        <v>1436.17</v>
      </c>
    </row>
    <row r="416">
      <c r="A416" s="60" t="s">
        <v>968</v>
      </c>
      <c r="B416" s="60" t="s">
        <v>969</v>
      </c>
      <c r="C416" s="34" t="s">
        <v>80</v>
      </c>
      <c r="D416" s="34" t="s">
        <v>46</v>
      </c>
      <c r="E416" s="63">
        <v>369.99</v>
      </c>
      <c r="F416" s="37"/>
      <c r="G416" s="37">
        <f t="shared" si="5"/>
        <v>369.99</v>
      </c>
    </row>
    <row r="417">
      <c r="A417" s="60" t="s">
        <v>1635</v>
      </c>
      <c r="B417" s="60" t="s">
        <v>1636</v>
      </c>
      <c r="C417" s="34" t="s">
        <v>80</v>
      </c>
      <c r="D417" s="34" t="s">
        <v>46</v>
      </c>
      <c r="E417" s="63">
        <v>450.0</v>
      </c>
      <c r="F417" s="37"/>
      <c r="G417" s="37">
        <f t="shared" si="5"/>
        <v>450</v>
      </c>
    </row>
    <row r="418">
      <c r="A418" s="60" t="s">
        <v>1004</v>
      </c>
      <c r="B418" s="60" t="s">
        <v>1005</v>
      </c>
      <c r="C418" s="34" t="s">
        <v>80</v>
      </c>
      <c r="D418" s="34" t="s">
        <v>46</v>
      </c>
      <c r="E418" s="63">
        <v>225.0</v>
      </c>
      <c r="F418" s="37"/>
      <c r="G418" s="37">
        <f t="shared" si="5"/>
        <v>225</v>
      </c>
    </row>
    <row r="419">
      <c r="A419" s="60" t="s">
        <v>970</v>
      </c>
      <c r="B419" s="60" t="s">
        <v>971</v>
      </c>
      <c r="C419" s="34" t="s">
        <v>80</v>
      </c>
      <c r="D419" s="34" t="s">
        <v>46</v>
      </c>
      <c r="E419" s="63">
        <v>709.03</v>
      </c>
      <c r="F419" s="37"/>
      <c r="G419" s="37">
        <f t="shared" si="5"/>
        <v>709.03</v>
      </c>
    </row>
    <row r="420">
      <c r="A420" s="60" t="s">
        <v>1792</v>
      </c>
      <c r="B420" s="60" t="s">
        <v>1793</v>
      </c>
      <c r="C420" s="34" t="s">
        <v>80</v>
      </c>
      <c r="D420" s="34" t="s">
        <v>46</v>
      </c>
      <c r="E420" s="63">
        <v>170.0</v>
      </c>
      <c r="F420" s="37"/>
      <c r="G420" s="37">
        <f t="shared" si="5"/>
        <v>170</v>
      </c>
    </row>
    <row r="421">
      <c r="A421" s="60" t="s">
        <v>1006</v>
      </c>
      <c r="B421" s="60" t="s">
        <v>1007</v>
      </c>
      <c r="C421" s="34" t="s">
        <v>80</v>
      </c>
      <c r="D421" s="34" t="s">
        <v>46</v>
      </c>
      <c r="E421" s="63">
        <v>1899.21</v>
      </c>
      <c r="F421" s="37"/>
      <c r="G421" s="37">
        <f t="shared" si="5"/>
        <v>1899.21</v>
      </c>
    </row>
    <row r="422">
      <c r="A422" s="60" t="s">
        <v>974</v>
      </c>
      <c r="B422" s="60" t="s">
        <v>975</v>
      </c>
      <c r="C422" s="34" t="s">
        <v>80</v>
      </c>
      <c r="D422" s="34" t="s">
        <v>46</v>
      </c>
      <c r="E422" s="63">
        <v>657.92</v>
      </c>
      <c r="F422" s="37"/>
      <c r="G422" s="37">
        <f t="shared" si="5"/>
        <v>657.92</v>
      </c>
    </row>
    <row r="423">
      <c r="A423" s="60" t="s">
        <v>1008</v>
      </c>
      <c r="B423" s="60" t="s">
        <v>1009</v>
      </c>
      <c r="C423" s="34" t="s">
        <v>80</v>
      </c>
      <c r="D423" s="34" t="s">
        <v>46</v>
      </c>
      <c r="E423" s="63">
        <v>2190.15</v>
      </c>
      <c r="F423" s="37"/>
      <c r="G423" s="37">
        <f t="shared" si="5"/>
        <v>2190.15</v>
      </c>
    </row>
    <row r="424">
      <c r="C424" s="5"/>
      <c r="D424" s="5"/>
      <c r="G424" s="5" t="str">
        <f t="shared" si="5"/>
        <v/>
      </c>
    </row>
    <row r="425">
      <c r="C425" s="5"/>
      <c r="D425" s="5"/>
      <c r="G425" s="5" t="str">
        <f t="shared" si="5"/>
        <v/>
      </c>
    </row>
    <row r="426">
      <c r="C426" s="5"/>
      <c r="D426" s="5"/>
      <c r="G426" s="5" t="str">
        <f t="shared" si="5"/>
        <v/>
      </c>
    </row>
    <row r="427">
      <c r="C427" s="5"/>
      <c r="D427" s="5"/>
      <c r="G427" s="5" t="str">
        <f t="shared" si="5"/>
        <v/>
      </c>
    </row>
    <row r="428">
      <c r="C428" s="5"/>
      <c r="D428" s="5"/>
      <c r="G428" s="5" t="str">
        <f t="shared" si="5"/>
        <v/>
      </c>
    </row>
    <row r="429">
      <c r="C429" s="5"/>
      <c r="D429" s="5"/>
      <c r="G429" s="5" t="str">
        <f t="shared" si="5"/>
        <v/>
      </c>
    </row>
    <row r="430">
      <c r="C430" s="5"/>
      <c r="D430" s="5"/>
      <c r="G430" s="5" t="str">
        <f t="shared" si="5"/>
        <v/>
      </c>
    </row>
    <row r="431">
      <c r="C431" s="5"/>
      <c r="D431" s="5"/>
      <c r="G431" s="5" t="str">
        <f t="shared" si="5"/>
        <v/>
      </c>
    </row>
    <row r="432">
      <c r="C432" s="5"/>
      <c r="D432" s="5"/>
      <c r="G432" s="5" t="str">
        <f t="shared" si="5"/>
        <v/>
      </c>
    </row>
    <row r="433">
      <c r="C433" s="5"/>
      <c r="D433" s="5"/>
      <c r="G433" s="5" t="str">
        <f t="shared" si="5"/>
        <v/>
      </c>
    </row>
    <row r="434">
      <c r="C434" s="5"/>
      <c r="D434" s="5"/>
      <c r="G434" s="5" t="str">
        <f t="shared" si="5"/>
        <v/>
      </c>
    </row>
    <row r="435">
      <c r="C435" s="5"/>
      <c r="D435" s="5"/>
      <c r="G435" s="5" t="str">
        <f t="shared" si="5"/>
        <v/>
      </c>
    </row>
    <row r="436">
      <c r="C436" s="5"/>
      <c r="D436" s="5"/>
      <c r="G436" s="5" t="str">
        <f t="shared" si="5"/>
        <v/>
      </c>
    </row>
    <row r="437">
      <c r="C437" s="5"/>
      <c r="D437" s="5"/>
      <c r="G437" s="5" t="str">
        <f t="shared" si="5"/>
        <v/>
      </c>
    </row>
    <row r="438">
      <c r="C438" s="5"/>
      <c r="D438" s="5"/>
      <c r="G438" s="5" t="str">
        <f t="shared" si="5"/>
        <v/>
      </c>
    </row>
    <row r="439">
      <c r="C439" s="5"/>
      <c r="D439" s="5"/>
      <c r="G439" s="5" t="str">
        <f t="shared" si="5"/>
        <v/>
      </c>
    </row>
    <row r="440">
      <c r="C440" s="5"/>
      <c r="D440" s="5"/>
      <c r="G440" s="5" t="str">
        <f t="shared" si="5"/>
        <v/>
      </c>
    </row>
    <row r="441">
      <c r="C441" s="5"/>
      <c r="D441" s="5"/>
      <c r="G441" s="5" t="str">
        <f t="shared" si="5"/>
        <v/>
      </c>
    </row>
    <row r="442">
      <c r="C442" s="5"/>
      <c r="D442" s="5"/>
      <c r="G442" s="5" t="str">
        <f t="shared" si="5"/>
        <v/>
      </c>
    </row>
    <row r="443">
      <c r="C443" s="5"/>
      <c r="D443" s="5"/>
      <c r="G443" s="5" t="str">
        <f t="shared" si="5"/>
        <v/>
      </c>
    </row>
    <row r="444">
      <c r="C444" s="5"/>
      <c r="D444" s="5"/>
      <c r="G444" s="5" t="str">
        <f t="shared" si="5"/>
        <v/>
      </c>
    </row>
    <row r="445">
      <c r="C445" s="5"/>
      <c r="D445" s="5"/>
      <c r="G445" s="5" t="str">
        <f t="shared" si="5"/>
        <v/>
      </c>
    </row>
    <row r="446">
      <c r="C446" s="5"/>
      <c r="D446" s="5"/>
      <c r="G446" s="5" t="str">
        <f t="shared" si="5"/>
        <v/>
      </c>
    </row>
    <row r="447">
      <c r="C447" s="5"/>
      <c r="D447" s="5"/>
      <c r="G447" s="5" t="str">
        <f t="shared" si="5"/>
        <v/>
      </c>
    </row>
    <row r="448">
      <c r="C448" s="5"/>
      <c r="D448" s="5"/>
      <c r="G448" s="5" t="str">
        <f t="shared" si="5"/>
        <v/>
      </c>
    </row>
    <row r="449">
      <c r="C449" s="5"/>
      <c r="D449" s="5"/>
      <c r="G449" s="5" t="str">
        <f t="shared" si="5"/>
        <v/>
      </c>
    </row>
    <row r="450">
      <c r="C450" s="5"/>
      <c r="D450" s="5"/>
      <c r="G450" s="5" t="str">
        <f t="shared" si="5"/>
        <v/>
      </c>
    </row>
    <row r="451">
      <c r="C451" s="5"/>
      <c r="D451" s="5"/>
      <c r="G451" s="5" t="str">
        <f t="shared" si="5"/>
        <v/>
      </c>
    </row>
    <row r="452">
      <c r="C452" s="5"/>
      <c r="D452" s="5"/>
      <c r="G452" s="5" t="str">
        <f t="shared" si="5"/>
        <v/>
      </c>
    </row>
    <row r="453">
      <c r="C453" s="5"/>
      <c r="D453" s="5"/>
      <c r="G453" s="5" t="str">
        <f t="shared" si="5"/>
        <v/>
      </c>
    </row>
    <row r="454">
      <c r="C454" s="5"/>
      <c r="D454" s="5"/>
      <c r="G454" s="5" t="str">
        <f t="shared" si="5"/>
        <v/>
      </c>
    </row>
    <row r="455">
      <c r="C455" s="5"/>
      <c r="D455" s="5"/>
      <c r="G455" s="5" t="str">
        <f t="shared" si="5"/>
        <v/>
      </c>
    </row>
    <row r="456">
      <c r="C456" s="5"/>
      <c r="D456" s="5"/>
      <c r="G456" s="5" t="str">
        <f t="shared" si="5"/>
        <v/>
      </c>
    </row>
    <row r="457">
      <c r="C457" s="5"/>
      <c r="D457" s="5"/>
      <c r="G457" s="5" t="str">
        <f t="shared" si="5"/>
        <v/>
      </c>
    </row>
    <row r="458">
      <c r="C458" s="5"/>
      <c r="D458" s="5"/>
      <c r="G458" s="5" t="str">
        <f t="shared" si="5"/>
        <v/>
      </c>
    </row>
    <row r="459">
      <c r="C459" s="5"/>
      <c r="D459" s="5"/>
      <c r="G459" s="5" t="str">
        <f t="shared" si="5"/>
        <v/>
      </c>
    </row>
    <row r="460">
      <c r="C460" s="5"/>
      <c r="D460" s="5"/>
      <c r="G460" s="5" t="str">
        <f t="shared" si="5"/>
        <v/>
      </c>
    </row>
    <row r="461">
      <c r="C461" s="5"/>
      <c r="D461" s="5"/>
      <c r="G461" s="5" t="str">
        <f t="shared" si="5"/>
        <v/>
      </c>
    </row>
    <row r="462">
      <c r="C462" s="5"/>
      <c r="D462" s="5"/>
      <c r="G462" s="5" t="str">
        <f t="shared" si="5"/>
        <v/>
      </c>
    </row>
    <row r="463">
      <c r="C463" s="5"/>
      <c r="D463" s="5"/>
      <c r="G463" s="5" t="str">
        <f t="shared" si="5"/>
        <v/>
      </c>
    </row>
    <row r="464">
      <c r="C464" s="5"/>
      <c r="D464" s="5"/>
      <c r="G464" s="5" t="str">
        <f t="shared" si="5"/>
        <v/>
      </c>
    </row>
    <row r="465">
      <c r="C465" s="5"/>
      <c r="D465" s="5"/>
      <c r="G465" s="5" t="str">
        <f t="shared" si="5"/>
        <v/>
      </c>
    </row>
    <row r="466">
      <c r="C466" s="5"/>
      <c r="D466" s="5"/>
      <c r="G466" s="5" t="str">
        <f t="shared" si="5"/>
        <v/>
      </c>
    </row>
    <row r="467">
      <c r="C467" s="5"/>
      <c r="D467" s="5"/>
      <c r="G467" s="5" t="str">
        <f t="shared" si="5"/>
        <v/>
      </c>
    </row>
    <row r="468">
      <c r="C468" s="5"/>
      <c r="D468" s="5"/>
      <c r="G468" s="5" t="str">
        <f t="shared" si="5"/>
        <v/>
      </c>
    </row>
    <row r="469">
      <c r="C469" s="5"/>
      <c r="D469" s="5"/>
      <c r="G469" s="5" t="str">
        <f t="shared" si="5"/>
        <v/>
      </c>
    </row>
    <row r="470">
      <c r="C470" s="5"/>
      <c r="D470" s="5"/>
      <c r="G470" s="5" t="str">
        <f t="shared" si="5"/>
        <v/>
      </c>
    </row>
    <row r="471">
      <c r="C471" s="5"/>
      <c r="D471" s="5"/>
      <c r="G471" s="5" t="str">
        <f t="shared" si="5"/>
        <v/>
      </c>
    </row>
    <row r="472">
      <c r="C472" s="5"/>
      <c r="D472" s="5"/>
      <c r="G472" s="5" t="str">
        <f t="shared" si="5"/>
        <v/>
      </c>
    </row>
    <row r="473">
      <c r="C473" s="5"/>
      <c r="D473" s="5"/>
      <c r="G473" s="5" t="str">
        <f t="shared" si="5"/>
        <v/>
      </c>
    </row>
    <row r="474">
      <c r="C474" s="5"/>
      <c r="D474" s="5"/>
      <c r="G474" s="5" t="str">
        <f t="shared" si="5"/>
        <v/>
      </c>
    </row>
    <row r="475">
      <c r="C475" s="5"/>
      <c r="D475" s="5"/>
      <c r="G475" s="5" t="str">
        <f t="shared" si="5"/>
        <v/>
      </c>
    </row>
    <row r="476">
      <c r="C476" s="5"/>
      <c r="D476" s="5"/>
      <c r="G476" s="5" t="str">
        <f t="shared" si="5"/>
        <v/>
      </c>
    </row>
    <row r="477">
      <c r="C477" s="5"/>
      <c r="D477" s="5"/>
      <c r="G477" s="5" t="str">
        <f t="shared" si="5"/>
        <v/>
      </c>
    </row>
    <row r="478">
      <c r="C478" s="5"/>
      <c r="D478" s="5"/>
      <c r="G478" s="5" t="str">
        <f t="shared" si="5"/>
        <v/>
      </c>
    </row>
    <row r="479">
      <c r="C479" s="5"/>
      <c r="D479" s="5"/>
      <c r="G479" s="5" t="str">
        <f t="shared" si="5"/>
        <v/>
      </c>
    </row>
    <row r="480">
      <c r="C480" s="5"/>
      <c r="D480" s="5"/>
      <c r="G480" s="5" t="str">
        <f t="shared" si="5"/>
        <v/>
      </c>
    </row>
    <row r="481">
      <c r="C481" s="5"/>
      <c r="D481" s="5"/>
      <c r="G481" s="5" t="str">
        <f t="shared" si="5"/>
        <v/>
      </c>
    </row>
    <row r="482">
      <c r="C482" s="5"/>
      <c r="D482" s="5"/>
      <c r="G482" s="5" t="str">
        <f t="shared" si="5"/>
        <v/>
      </c>
    </row>
    <row r="483">
      <c r="C483" s="5"/>
      <c r="D483" s="5"/>
      <c r="G483" s="5" t="str">
        <f t="shared" si="5"/>
        <v/>
      </c>
    </row>
    <row r="484">
      <c r="C484" s="5"/>
      <c r="D484" s="5"/>
      <c r="G484" s="5" t="str">
        <f t="shared" si="5"/>
        <v/>
      </c>
    </row>
    <row r="485">
      <c r="C485" s="5"/>
      <c r="D485" s="5"/>
      <c r="G485" s="5" t="str">
        <f t="shared" si="5"/>
        <v/>
      </c>
    </row>
    <row r="486">
      <c r="C486" s="5"/>
      <c r="D486" s="5"/>
      <c r="G486" s="5" t="str">
        <f t="shared" si="5"/>
        <v/>
      </c>
    </row>
    <row r="487">
      <c r="C487" s="5"/>
      <c r="D487" s="5"/>
      <c r="G487" s="5" t="str">
        <f t="shared" si="5"/>
        <v/>
      </c>
    </row>
    <row r="488">
      <c r="C488" s="5"/>
      <c r="D488" s="5"/>
      <c r="G488" s="5" t="str">
        <f t="shared" si="5"/>
        <v/>
      </c>
    </row>
    <row r="489">
      <c r="C489" s="5"/>
      <c r="D489" s="5"/>
      <c r="G489" s="5" t="str">
        <f t="shared" si="5"/>
        <v/>
      </c>
    </row>
    <row r="490">
      <c r="C490" s="5"/>
      <c r="D490" s="5"/>
      <c r="G490" s="5" t="str">
        <f t="shared" si="5"/>
        <v/>
      </c>
    </row>
    <row r="491">
      <c r="C491" s="5"/>
      <c r="D491" s="5"/>
      <c r="G491" s="5" t="str">
        <f t="shared" si="5"/>
        <v/>
      </c>
    </row>
    <row r="492">
      <c r="C492" s="5"/>
      <c r="D492" s="5"/>
      <c r="G492" s="5" t="str">
        <f t="shared" si="5"/>
        <v/>
      </c>
    </row>
    <row r="493">
      <c r="C493" s="5"/>
      <c r="D493" s="5"/>
      <c r="G493" s="5" t="str">
        <f t="shared" si="5"/>
        <v/>
      </c>
    </row>
    <row r="494">
      <c r="C494" s="5"/>
      <c r="D494" s="5"/>
      <c r="G494" s="5" t="str">
        <f t="shared" si="5"/>
        <v/>
      </c>
    </row>
    <row r="495">
      <c r="C495" s="5"/>
      <c r="D495" s="5"/>
      <c r="G495" s="5" t="str">
        <f t="shared" si="5"/>
        <v/>
      </c>
    </row>
    <row r="496">
      <c r="C496" s="5"/>
      <c r="D496" s="5"/>
      <c r="G496" s="5" t="str">
        <f t="shared" si="5"/>
        <v/>
      </c>
    </row>
    <row r="497">
      <c r="C497" s="5"/>
      <c r="D497" s="5"/>
      <c r="G497" s="5" t="str">
        <f t="shared" si="5"/>
        <v/>
      </c>
    </row>
    <row r="498">
      <c r="C498" s="5"/>
      <c r="D498" s="5"/>
      <c r="G498" s="5" t="str">
        <f t="shared" si="5"/>
        <v/>
      </c>
    </row>
    <row r="499">
      <c r="C499" s="5"/>
      <c r="D499" s="5"/>
      <c r="G499" s="5" t="str">
        <f t="shared" si="5"/>
        <v/>
      </c>
    </row>
    <row r="500">
      <c r="C500" s="5"/>
      <c r="D500" s="5"/>
      <c r="G500" s="5" t="str">
        <f t="shared" si="5"/>
        <v/>
      </c>
    </row>
    <row r="501">
      <c r="C501" s="5"/>
      <c r="D501" s="5"/>
      <c r="G501" s="5" t="str">
        <f t="shared" si="5"/>
        <v/>
      </c>
    </row>
    <row r="502">
      <c r="C502" s="5"/>
      <c r="D502" s="5"/>
      <c r="G502" s="5" t="str">
        <f t="shared" si="5"/>
        <v/>
      </c>
    </row>
    <row r="503">
      <c r="A503" s="25" t="s">
        <v>1018</v>
      </c>
      <c r="B503" s="64"/>
      <c r="C503" s="64"/>
      <c r="D503" s="64"/>
      <c r="E503" s="64">
        <f t="shared" ref="E503:G503" si="6">SUM(E21:E502)</f>
        <v>2026772.41</v>
      </c>
      <c r="F503" s="64">
        <f t="shared" si="6"/>
        <v>0</v>
      </c>
      <c r="G503" s="64">
        <f t="shared" si="6"/>
        <v>2026772.41</v>
      </c>
      <c r="H503" s="64"/>
    </row>
  </sheetData>
  <mergeCells count="1">
    <mergeCell ref="A1:H1"/>
  </mergeCells>
  <dataValidations>
    <dataValidation type="list" allowBlank="1" sqref="C19:C502">
      <formula1>Settings!$E$15:$E$38</formula1>
    </dataValidation>
    <dataValidation type="list" allowBlank="1" sqref="D19:D502">
      <formula1>Settings!$C$15:$C$30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1794</v>
      </c>
    </row>
    <row r="3">
      <c r="A3" s="33" t="s">
        <v>95</v>
      </c>
      <c r="B3" s="33" t="s">
        <v>23</v>
      </c>
      <c r="C3" s="33" t="s">
        <v>24</v>
      </c>
      <c r="D3" s="33" t="s">
        <v>25</v>
      </c>
      <c r="E3" s="33" t="s">
        <v>26</v>
      </c>
      <c r="F3" s="33" t="s">
        <v>27</v>
      </c>
      <c r="G3" s="33" t="s">
        <v>96</v>
      </c>
    </row>
    <row r="4">
      <c r="A4" s="34" t="s">
        <v>72</v>
      </c>
      <c r="B4" s="66">
        <v>362308.76</v>
      </c>
      <c r="C4" s="66">
        <v>1298100.08</v>
      </c>
      <c r="D4" s="66">
        <v>2042.11</v>
      </c>
      <c r="E4" s="66">
        <v>1286078.63</v>
      </c>
      <c r="F4" s="66">
        <v>372288.1</v>
      </c>
      <c r="G4" s="37"/>
    </row>
    <row r="5">
      <c r="A5" s="34" t="s">
        <v>74</v>
      </c>
      <c r="B5" s="66">
        <v>244226.0</v>
      </c>
      <c r="C5" s="66">
        <v>55828.6</v>
      </c>
      <c r="D5" s="66">
        <v>0.0</v>
      </c>
      <c r="E5" s="66">
        <v>0.0</v>
      </c>
      <c r="F5" s="66">
        <v>300054.6</v>
      </c>
      <c r="G5" s="37"/>
    </row>
    <row r="6">
      <c r="A6" s="34" t="s">
        <v>76</v>
      </c>
      <c r="B6" s="66">
        <v>464198.07</v>
      </c>
      <c r="C6" s="66">
        <v>503650.38</v>
      </c>
      <c r="D6" s="66">
        <v>373.75</v>
      </c>
      <c r="E6" s="67">
        <v>700000.0</v>
      </c>
      <c r="F6" s="66">
        <v>267474.7</v>
      </c>
      <c r="G6" s="37"/>
    </row>
    <row r="7">
      <c r="A7" s="34" t="s">
        <v>97</v>
      </c>
      <c r="B7" s="66">
        <v>284287.2</v>
      </c>
      <c r="C7" s="66">
        <v>1817002.99</v>
      </c>
      <c r="D7" s="66">
        <v>0.0</v>
      </c>
      <c r="E7" s="66">
        <v>1900085.02</v>
      </c>
      <c r="F7" s="66">
        <v>201205.17</v>
      </c>
      <c r="G7" s="37"/>
    </row>
    <row r="8">
      <c r="A8" s="37"/>
      <c r="B8" s="36"/>
      <c r="C8" s="36"/>
      <c r="D8" s="36"/>
      <c r="E8" s="36"/>
      <c r="F8" s="36"/>
      <c r="G8" s="37"/>
    </row>
    <row r="9">
      <c r="A9" s="38" t="s">
        <v>98</v>
      </c>
      <c r="B9" s="39">
        <f t="shared" ref="B9:F9" si="1">SUM(B4:B7)</f>
        <v>1355020.03</v>
      </c>
      <c r="C9" s="39">
        <f t="shared" si="1"/>
        <v>3674582.05</v>
      </c>
      <c r="D9" s="39">
        <f t="shared" si="1"/>
        <v>2415.86</v>
      </c>
      <c r="E9" s="39">
        <f t="shared" si="1"/>
        <v>3886163.65</v>
      </c>
      <c r="F9" s="39">
        <f t="shared" si="1"/>
        <v>1141022.57</v>
      </c>
      <c r="G9" s="40"/>
    </row>
    <row r="10">
      <c r="B10" s="6"/>
      <c r="C10" s="6"/>
      <c r="D10" s="6"/>
      <c r="E10" s="6"/>
      <c r="F10" s="6"/>
    </row>
    <row r="11">
      <c r="A11" s="28" t="s">
        <v>99</v>
      </c>
    </row>
    <row r="12">
      <c r="A12" s="41" t="s">
        <v>95</v>
      </c>
      <c r="B12" s="42" t="s">
        <v>100</v>
      </c>
      <c r="C12" s="42" t="s">
        <v>101</v>
      </c>
      <c r="D12" s="42" t="s">
        <v>102</v>
      </c>
      <c r="E12" s="42" t="s">
        <v>103</v>
      </c>
      <c r="F12" s="42" t="s">
        <v>104</v>
      </c>
      <c r="G12" s="41" t="s">
        <v>96</v>
      </c>
    </row>
    <row r="13">
      <c r="A13" s="34" t="s">
        <v>78</v>
      </c>
      <c r="B13" s="66">
        <v>2679.36</v>
      </c>
      <c r="C13" s="66">
        <v>172941.33</v>
      </c>
      <c r="D13" s="66">
        <v>0.0</v>
      </c>
      <c r="E13" s="66">
        <v>175015.33</v>
      </c>
      <c r="F13" s="68">
        <v>605.36</v>
      </c>
      <c r="G13" s="37"/>
    </row>
    <row r="14">
      <c r="A14" s="37"/>
      <c r="B14" s="36"/>
      <c r="C14" s="36"/>
      <c r="D14" s="36"/>
      <c r="E14" s="36"/>
      <c r="F14" s="36"/>
      <c r="G14" s="37"/>
    </row>
    <row r="15">
      <c r="A15" s="38" t="s">
        <v>105</v>
      </c>
      <c r="B15" s="39">
        <f t="shared" ref="B15:F15" si="2">SUM(B13)</f>
        <v>2679.36</v>
      </c>
      <c r="C15" s="39">
        <f t="shared" si="2"/>
        <v>172941.33</v>
      </c>
      <c r="D15" s="39">
        <f t="shared" si="2"/>
        <v>0</v>
      </c>
      <c r="E15" s="39">
        <f t="shared" si="2"/>
        <v>175015.33</v>
      </c>
      <c r="F15" s="39">
        <f t="shared" si="2"/>
        <v>605.36</v>
      </c>
      <c r="G15" s="40"/>
    </row>
    <row r="16">
      <c r="B16" s="6"/>
      <c r="C16" s="6"/>
      <c r="D16" s="6"/>
      <c r="E16" s="6"/>
      <c r="F16" s="6"/>
    </row>
    <row r="17">
      <c r="A17" s="43" t="s">
        <v>106</v>
      </c>
      <c r="B17" s="44">
        <f t="shared" ref="B17:F17" si="3">B9+B15*3.75</f>
        <v>1365067.63</v>
      </c>
      <c r="C17" s="44">
        <f t="shared" si="3"/>
        <v>4323112.038</v>
      </c>
      <c r="D17" s="44">
        <f t="shared" si="3"/>
        <v>2415.86</v>
      </c>
      <c r="E17" s="44">
        <f t="shared" si="3"/>
        <v>4542471.138</v>
      </c>
      <c r="F17" s="44">
        <f t="shared" si="3"/>
        <v>1143292.67</v>
      </c>
      <c r="G17" s="45"/>
    </row>
    <row r="19">
      <c r="A19" s="46" t="s">
        <v>107</v>
      </c>
      <c r="B19" s="47"/>
      <c r="C19" s="48"/>
    </row>
    <row r="20">
      <c r="A20" s="34" t="s">
        <v>108</v>
      </c>
      <c r="B20" s="37"/>
      <c r="C20" s="49">
        <f>F17</f>
        <v>1143292.67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1795</v>
      </c>
    </row>
    <row r="3">
      <c r="A3" s="57" t="s">
        <v>110</v>
      </c>
      <c r="B3" s="58">
        <v>-7420.48</v>
      </c>
      <c r="D3" s="57" t="s">
        <v>111</v>
      </c>
      <c r="E3" s="59">
        <f>-17267.64+SUM(E7:E1000)-SUM(F7:F1000)</f>
        <v>-62065.42</v>
      </c>
    </row>
    <row r="5">
      <c r="A5" s="7" t="s">
        <v>121</v>
      </c>
    </row>
    <row r="6">
      <c r="A6" s="41" t="s">
        <v>113</v>
      </c>
      <c r="B6" s="41" t="s">
        <v>122</v>
      </c>
      <c r="C6" s="41" t="s">
        <v>115</v>
      </c>
      <c r="D6" s="41" t="s">
        <v>123</v>
      </c>
      <c r="E6" s="41" t="s">
        <v>124</v>
      </c>
      <c r="F6" s="41" t="s">
        <v>125</v>
      </c>
      <c r="G6" s="41" t="s">
        <v>119</v>
      </c>
    </row>
    <row r="7">
      <c r="A7" s="69">
        <v>45778.0</v>
      </c>
      <c r="B7" s="60" t="s">
        <v>1796</v>
      </c>
      <c r="C7" s="60" t="s">
        <v>1797</v>
      </c>
      <c r="D7" s="63"/>
      <c r="E7" s="68">
        <v>0.0</v>
      </c>
      <c r="F7" s="68">
        <v>459.94</v>
      </c>
      <c r="G7" s="36">
        <f>IF(AND(E7="",F7=""),"",B3+E7-F7)</f>
        <v>-7880.42</v>
      </c>
    </row>
    <row r="8">
      <c r="A8" s="69">
        <v>45778.0</v>
      </c>
      <c r="B8" s="60" t="s">
        <v>1798</v>
      </c>
      <c r="C8" s="60" t="s">
        <v>1799</v>
      </c>
      <c r="D8" s="63"/>
      <c r="E8" s="68">
        <v>0.0</v>
      </c>
      <c r="F8" s="68">
        <v>2652.23</v>
      </c>
      <c r="G8" s="36">
        <f t="shared" ref="G8:G100" si="1">IF(AND(E8="",F8=""),"",G7+E8-F8)</f>
        <v>-10532.65</v>
      </c>
    </row>
    <row r="9">
      <c r="A9" s="69">
        <v>45839.0</v>
      </c>
      <c r="B9" s="60" t="s">
        <v>1800</v>
      </c>
      <c r="C9" s="60" t="s">
        <v>1801</v>
      </c>
      <c r="D9" s="63"/>
      <c r="E9" s="68">
        <v>0.0</v>
      </c>
      <c r="F9" s="68">
        <v>702.0</v>
      </c>
      <c r="G9" s="36">
        <f t="shared" si="1"/>
        <v>-11234.65</v>
      </c>
    </row>
    <row r="10">
      <c r="A10" s="69">
        <v>45962.0</v>
      </c>
      <c r="B10" s="60" t="s">
        <v>1802</v>
      </c>
      <c r="C10" s="60" t="s">
        <v>1803</v>
      </c>
      <c r="D10" s="63"/>
      <c r="E10" s="68">
        <v>0.0</v>
      </c>
      <c r="F10" s="68">
        <v>591.5</v>
      </c>
      <c r="G10" s="36">
        <f t="shared" si="1"/>
        <v>-11826.15</v>
      </c>
    </row>
    <row r="11">
      <c r="A11" s="69">
        <v>45992.0</v>
      </c>
      <c r="B11" s="60" t="s">
        <v>1804</v>
      </c>
      <c r="C11" s="60" t="s">
        <v>1799</v>
      </c>
      <c r="D11" s="63"/>
      <c r="E11" s="68">
        <v>0.0</v>
      </c>
      <c r="F11" s="68">
        <v>70.0</v>
      </c>
      <c r="G11" s="36">
        <f t="shared" si="1"/>
        <v>-11896.15</v>
      </c>
    </row>
    <row r="12">
      <c r="A12" s="69">
        <v>45992.0</v>
      </c>
      <c r="B12" s="60" t="s">
        <v>1805</v>
      </c>
      <c r="C12" s="60" t="s">
        <v>1799</v>
      </c>
      <c r="D12" s="63"/>
      <c r="E12" s="68">
        <v>0.0</v>
      </c>
      <c r="F12" s="68">
        <v>75.0</v>
      </c>
      <c r="G12" s="36">
        <f t="shared" si="1"/>
        <v>-11971.15</v>
      </c>
    </row>
    <row r="13">
      <c r="A13" s="69">
        <v>45992.0</v>
      </c>
      <c r="B13" s="60" t="s">
        <v>1806</v>
      </c>
      <c r="C13" s="60" t="s">
        <v>1160</v>
      </c>
      <c r="D13" s="63"/>
      <c r="E13" s="68">
        <v>0.0</v>
      </c>
      <c r="F13" s="68">
        <v>1800.0</v>
      </c>
      <c r="G13" s="36">
        <f t="shared" si="1"/>
        <v>-13771.15</v>
      </c>
    </row>
    <row r="14">
      <c r="A14" s="60" t="s">
        <v>1807</v>
      </c>
      <c r="B14" s="60" t="s">
        <v>1808</v>
      </c>
      <c r="C14" s="60" t="s">
        <v>1799</v>
      </c>
      <c r="D14" s="63"/>
      <c r="E14" s="68">
        <v>0.0</v>
      </c>
      <c r="F14" s="68">
        <v>541.0</v>
      </c>
      <c r="G14" s="36">
        <f t="shared" si="1"/>
        <v>-14312.15</v>
      </c>
    </row>
    <row r="15">
      <c r="A15" s="60" t="s">
        <v>1807</v>
      </c>
      <c r="B15" s="60" t="s">
        <v>1809</v>
      </c>
      <c r="C15" s="60" t="s">
        <v>1810</v>
      </c>
      <c r="D15" s="63"/>
      <c r="E15" s="68">
        <v>0.0</v>
      </c>
      <c r="F15" s="68">
        <v>1361.8</v>
      </c>
      <c r="G15" s="36">
        <f t="shared" si="1"/>
        <v>-15673.95</v>
      </c>
    </row>
    <row r="16">
      <c r="A16" s="60" t="s">
        <v>1066</v>
      </c>
      <c r="B16" s="60" t="s">
        <v>1164</v>
      </c>
      <c r="C16" s="60" t="s">
        <v>1165</v>
      </c>
      <c r="D16" s="63"/>
      <c r="E16" s="68">
        <v>0.0</v>
      </c>
      <c r="F16" s="68">
        <v>1.0</v>
      </c>
      <c r="G16" s="36">
        <f t="shared" si="1"/>
        <v>-15674.95</v>
      </c>
    </row>
    <row r="17">
      <c r="A17" s="60" t="s">
        <v>1066</v>
      </c>
      <c r="B17" s="60" t="s">
        <v>1811</v>
      </c>
      <c r="C17" s="60" t="s">
        <v>1165</v>
      </c>
      <c r="D17" s="63"/>
      <c r="E17" s="68">
        <v>0.0</v>
      </c>
      <c r="F17" s="68">
        <v>50.0</v>
      </c>
      <c r="G17" s="36">
        <f t="shared" si="1"/>
        <v>-15724.95</v>
      </c>
    </row>
    <row r="18">
      <c r="A18" s="60" t="s">
        <v>1812</v>
      </c>
      <c r="B18" s="60" t="s">
        <v>1813</v>
      </c>
      <c r="C18" s="60" t="s">
        <v>1799</v>
      </c>
      <c r="D18" s="63"/>
      <c r="E18" s="68">
        <v>0.0</v>
      </c>
      <c r="F18" s="68">
        <v>470.98</v>
      </c>
      <c r="G18" s="36">
        <f t="shared" si="1"/>
        <v>-16195.93</v>
      </c>
    </row>
    <row r="19">
      <c r="A19" s="60" t="s">
        <v>1812</v>
      </c>
      <c r="B19" s="60" t="s">
        <v>1814</v>
      </c>
      <c r="C19" s="60" t="s">
        <v>1799</v>
      </c>
      <c r="D19" s="63"/>
      <c r="E19" s="68">
        <v>0.0</v>
      </c>
      <c r="F19" s="68">
        <v>397.0</v>
      </c>
      <c r="G19" s="36">
        <f t="shared" si="1"/>
        <v>-16592.93</v>
      </c>
    </row>
    <row r="20">
      <c r="A20" s="60" t="s">
        <v>1815</v>
      </c>
      <c r="B20" s="60" t="s">
        <v>1816</v>
      </c>
      <c r="C20" s="60" t="s">
        <v>1801</v>
      </c>
      <c r="D20" s="63"/>
      <c r="E20" s="68">
        <v>0.0</v>
      </c>
      <c r="F20" s="68">
        <v>842.0</v>
      </c>
      <c r="G20" s="36">
        <f t="shared" si="1"/>
        <v>-17434.93</v>
      </c>
    </row>
    <row r="21">
      <c r="A21" s="60" t="s">
        <v>1815</v>
      </c>
      <c r="B21" s="60" t="s">
        <v>1817</v>
      </c>
      <c r="C21" s="60" t="s">
        <v>1223</v>
      </c>
      <c r="D21" s="63"/>
      <c r="E21" s="68">
        <v>0.0</v>
      </c>
      <c r="F21" s="68">
        <v>781.97</v>
      </c>
      <c r="G21" s="36">
        <f t="shared" si="1"/>
        <v>-18216.9</v>
      </c>
    </row>
    <row r="22">
      <c r="A22" s="60" t="s">
        <v>1815</v>
      </c>
      <c r="B22" s="60" t="s">
        <v>1818</v>
      </c>
      <c r="C22" s="60" t="s">
        <v>1819</v>
      </c>
      <c r="D22" s="63"/>
      <c r="E22" s="68">
        <v>0.0</v>
      </c>
      <c r="F22" s="68">
        <v>917.0</v>
      </c>
      <c r="G22" s="36">
        <f t="shared" si="1"/>
        <v>-19133.9</v>
      </c>
    </row>
    <row r="23">
      <c r="A23" s="60" t="s">
        <v>1820</v>
      </c>
      <c r="B23" s="60" t="s">
        <v>1821</v>
      </c>
      <c r="C23" s="60" t="s">
        <v>1160</v>
      </c>
      <c r="D23" s="63"/>
      <c r="E23" s="68">
        <v>0.0</v>
      </c>
      <c r="F23" s="68">
        <v>2299.0</v>
      </c>
      <c r="G23" s="36">
        <f t="shared" si="1"/>
        <v>-21432.9</v>
      </c>
    </row>
    <row r="24">
      <c r="A24" s="60" t="s">
        <v>1166</v>
      </c>
      <c r="B24" s="60" t="s">
        <v>1167</v>
      </c>
      <c r="C24" s="60" t="s">
        <v>1168</v>
      </c>
      <c r="D24" s="63"/>
      <c r="E24" s="68">
        <v>0.0</v>
      </c>
      <c r="F24" s="68">
        <v>2550.0</v>
      </c>
      <c r="G24" s="36">
        <f t="shared" si="1"/>
        <v>-23982.9</v>
      </c>
    </row>
    <row r="25">
      <c r="A25" s="60" t="s">
        <v>1166</v>
      </c>
      <c r="B25" s="60" t="s">
        <v>1822</v>
      </c>
      <c r="C25" s="60" t="s">
        <v>1823</v>
      </c>
      <c r="D25" s="63"/>
      <c r="E25" s="68">
        <v>0.0</v>
      </c>
      <c r="F25" s="68">
        <v>518.0</v>
      </c>
      <c r="G25" s="36">
        <f t="shared" si="1"/>
        <v>-24500.9</v>
      </c>
    </row>
    <row r="26">
      <c r="A26" s="60" t="s">
        <v>1745</v>
      </c>
      <c r="B26" s="60" t="s">
        <v>1824</v>
      </c>
      <c r="C26" s="60" t="s">
        <v>1825</v>
      </c>
      <c r="D26" s="63"/>
      <c r="E26" s="68">
        <v>0.0</v>
      </c>
      <c r="F26" s="68">
        <v>370.94</v>
      </c>
      <c r="G26" s="36">
        <f t="shared" si="1"/>
        <v>-24871.84</v>
      </c>
    </row>
    <row r="27">
      <c r="A27" s="60" t="s">
        <v>1745</v>
      </c>
      <c r="B27" s="60" t="s">
        <v>1826</v>
      </c>
      <c r="C27" s="60" t="s">
        <v>1223</v>
      </c>
      <c r="D27" s="63"/>
      <c r="E27" s="68">
        <v>0.0</v>
      </c>
      <c r="F27" s="68">
        <v>190.0</v>
      </c>
      <c r="G27" s="36">
        <f t="shared" si="1"/>
        <v>-25061.84</v>
      </c>
    </row>
    <row r="28">
      <c r="A28" s="60" t="s">
        <v>1745</v>
      </c>
      <c r="B28" s="60" t="s">
        <v>1827</v>
      </c>
      <c r="C28" s="60" t="s">
        <v>1801</v>
      </c>
      <c r="D28" s="63"/>
      <c r="E28" s="68">
        <v>0.0</v>
      </c>
      <c r="F28" s="68">
        <v>580.0</v>
      </c>
      <c r="G28" s="36">
        <f t="shared" si="1"/>
        <v>-25641.84</v>
      </c>
    </row>
    <row r="29">
      <c r="A29" s="60" t="s">
        <v>1748</v>
      </c>
      <c r="B29" s="60" t="s">
        <v>1828</v>
      </c>
      <c r="C29" s="60" t="s">
        <v>1160</v>
      </c>
      <c r="D29" s="63"/>
      <c r="E29" s="68">
        <v>0.0</v>
      </c>
      <c r="F29" s="68">
        <v>1431.52</v>
      </c>
      <c r="G29" s="36">
        <f t="shared" si="1"/>
        <v>-27073.36</v>
      </c>
    </row>
    <row r="30">
      <c r="A30" s="60" t="s">
        <v>1748</v>
      </c>
      <c r="B30" s="60" t="s">
        <v>1829</v>
      </c>
      <c r="C30" s="60" t="s">
        <v>1830</v>
      </c>
      <c r="D30" s="63"/>
      <c r="E30" s="68">
        <v>0.0</v>
      </c>
      <c r="F30" s="68">
        <v>680.9</v>
      </c>
      <c r="G30" s="36">
        <f t="shared" si="1"/>
        <v>-27754.26</v>
      </c>
    </row>
    <row r="31">
      <c r="A31" s="60" t="s">
        <v>1831</v>
      </c>
      <c r="B31" s="60" t="s">
        <v>1832</v>
      </c>
      <c r="C31" s="60" t="s">
        <v>1819</v>
      </c>
      <c r="D31" s="63"/>
      <c r="E31" s="68">
        <v>0.0</v>
      </c>
      <c r="F31" s="68">
        <v>900.0</v>
      </c>
      <c r="G31" s="36">
        <f t="shared" si="1"/>
        <v>-28654.26</v>
      </c>
    </row>
    <row r="32">
      <c r="A32" s="60" t="s">
        <v>1831</v>
      </c>
      <c r="B32" s="60" t="s">
        <v>1833</v>
      </c>
      <c r="C32" s="60" t="s">
        <v>1834</v>
      </c>
      <c r="D32" s="63"/>
      <c r="E32" s="68">
        <v>0.0</v>
      </c>
      <c r="F32" s="68">
        <v>1549.79</v>
      </c>
      <c r="G32" s="36">
        <f t="shared" si="1"/>
        <v>-30204.05</v>
      </c>
    </row>
    <row r="33">
      <c r="A33" s="60" t="s">
        <v>1831</v>
      </c>
      <c r="B33" s="60" t="s">
        <v>1835</v>
      </c>
      <c r="C33" s="60" t="s">
        <v>1801</v>
      </c>
      <c r="D33" s="63"/>
      <c r="E33" s="68">
        <v>0.0</v>
      </c>
      <c r="F33" s="68">
        <v>222.0</v>
      </c>
      <c r="G33" s="36">
        <f t="shared" si="1"/>
        <v>-30426.05</v>
      </c>
    </row>
    <row r="34">
      <c r="A34" s="60" t="s">
        <v>1831</v>
      </c>
      <c r="B34" s="60" t="s">
        <v>1836</v>
      </c>
      <c r="C34" s="60" t="s">
        <v>1799</v>
      </c>
      <c r="D34" s="63"/>
      <c r="E34" s="68">
        <v>0.0</v>
      </c>
      <c r="F34" s="68">
        <v>150.0</v>
      </c>
      <c r="G34" s="36">
        <f t="shared" si="1"/>
        <v>-30576.05</v>
      </c>
    </row>
    <row r="35">
      <c r="A35" s="60" t="s">
        <v>1837</v>
      </c>
      <c r="B35" s="60" t="s">
        <v>1838</v>
      </c>
      <c r="C35" s="60" t="s">
        <v>1223</v>
      </c>
      <c r="D35" s="63"/>
      <c r="E35" s="68">
        <v>0.0</v>
      </c>
      <c r="F35" s="68">
        <v>218.0</v>
      </c>
      <c r="G35" s="36">
        <f t="shared" si="1"/>
        <v>-30794.05</v>
      </c>
    </row>
    <row r="36">
      <c r="A36" s="60" t="s">
        <v>1837</v>
      </c>
      <c r="B36" s="60" t="s">
        <v>1839</v>
      </c>
      <c r="C36" s="60" t="s">
        <v>1160</v>
      </c>
      <c r="D36" s="63"/>
      <c r="E36" s="68">
        <v>0.0</v>
      </c>
      <c r="F36" s="68">
        <v>731.8</v>
      </c>
      <c r="G36" s="36">
        <f t="shared" si="1"/>
        <v>-31525.85</v>
      </c>
    </row>
    <row r="37">
      <c r="A37" s="60" t="s">
        <v>1753</v>
      </c>
      <c r="B37" s="60" t="s">
        <v>1840</v>
      </c>
      <c r="C37" s="60" t="s">
        <v>1841</v>
      </c>
      <c r="D37" s="61"/>
      <c r="E37" s="68">
        <v>5735.0</v>
      </c>
      <c r="F37" s="68">
        <v>0.0</v>
      </c>
      <c r="G37" s="36">
        <f t="shared" si="1"/>
        <v>-25790.85</v>
      </c>
    </row>
    <row r="38">
      <c r="A38" s="60" t="s">
        <v>1753</v>
      </c>
      <c r="B38" s="60" t="s">
        <v>1842</v>
      </c>
      <c r="C38" s="60" t="s">
        <v>1160</v>
      </c>
      <c r="D38" s="63"/>
      <c r="E38" s="68">
        <v>0.0</v>
      </c>
      <c r="F38" s="68">
        <v>200.0</v>
      </c>
      <c r="G38" s="36">
        <f t="shared" si="1"/>
        <v>-25990.85</v>
      </c>
    </row>
    <row r="39">
      <c r="A39" s="60" t="s">
        <v>1753</v>
      </c>
      <c r="B39" s="60" t="s">
        <v>1843</v>
      </c>
      <c r="C39" s="60" t="s">
        <v>1834</v>
      </c>
      <c r="D39" s="63"/>
      <c r="E39" s="68">
        <v>0.0</v>
      </c>
      <c r="F39" s="68">
        <v>311.97</v>
      </c>
      <c r="G39" s="36">
        <f t="shared" si="1"/>
        <v>-26302.82</v>
      </c>
    </row>
    <row r="40">
      <c r="A40" s="60" t="s">
        <v>1753</v>
      </c>
      <c r="B40" s="60" t="s">
        <v>1844</v>
      </c>
      <c r="C40" s="60" t="s">
        <v>1845</v>
      </c>
      <c r="D40" s="63"/>
      <c r="E40" s="68">
        <v>0.0</v>
      </c>
      <c r="F40" s="68">
        <v>784.0</v>
      </c>
      <c r="G40" s="36">
        <f t="shared" si="1"/>
        <v>-27086.82</v>
      </c>
    </row>
    <row r="41">
      <c r="A41" s="60" t="s">
        <v>1846</v>
      </c>
      <c r="B41" s="60" t="s">
        <v>1847</v>
      </c>
      <c r="C41" s="60" t="s">
        <v>1834</v>
      </c>
      <c r="D41" s="63"/>
      <c r="E41" s="68">
        <v>0.0</v>
      </c>
      <c r="F41" s="68">
        <v>749.91</v>
      </c>
      <c r="G41" s="36">
        <f t="shared" si="1"/>
        <v>-27836.73</v>
      </c>
    </row>
    <row r="42">
      <c r="A42" s="60" t="s">
        <v>1846</v>
      </c>
      <c r="B42" s="60" t="s">
        <v>1848</v>
      </c>
      <c r="C42" s="60" t="s">
        <v>1801</v>
      </c>
      <c r="D42" s="63"/>
      <c r="E42" s="68">
        <v>0.0</v>
      </c>
      <c r="F42" s="68">
        <v>291.0</v>
      </c>
      <c r="G42" s="36">
        <f t="shared" si="1"/>
        <v>-28127.73</v>
      </c>
    </row>
    <row r="43">
      <c r="A43" s="60" t="s">
        <v>1846</v>
      </c>
      <c r="B43" s="60" t="s">
        <v>1849</v>
      </c>
      <c r="C43" s="60" t="s">
        <v>1160</v>
      </c>
      <c r="D43" s="63"/>
      <c r="E43" s="68">
        <v>0.0</v>
      </c>
      <c r="F43" s="68">
        <v>2124.0</v>
      </c>
      <c r="G43" s="36">
        <f t="shared" si="1"/>
        <v>-30251.73</v>
      </c>
    </row>
    <row r="44">
      <c r="A44" s="60" t="s">
        <v>1850</v>
      </c>
      <c r="B44" s="60" t="s">
        <v>1851</v>
      </c>
      <c r="C44" s="60" t="s">
        <v>1834</v>
      </c>
      <c r="D44" s="63"/>
      <c r="E44" s="68">
        <v>0.0</v>
      </c>
      <c r="F44" s="68">
        <v>623.93</v>
      </c>
      <c r="G44" s="36">
        <f t="shared" si="1"/>
        <v>-30875.66</v>
      </c>
    </row>
    <row r="45">
      <c r="A45" s="60" t="s">
        <v>1850</v>
      </c>
      <c r="B45" s="60" t="s">
        <v>1852</v>
      </c>
      <c r="C45" s="60" t="s">
        <v>1223</v>
      </c>
      <c r="D45" s="63"/>
      <c r="E45" s="68">
        <v>0.0</v>
      </c>
      <c r="F45" s="68">
        <v>160.0</v>
      </c>
      <c r="G45" s="36">
        <f t="shared" si="1"/>
        <v>-31035.66</v>
      </c>
    </row>
    <row r="46">
      <c r="A46" s="60" t="s">
        <v>1850</v>
      </c>
      <c r="B46" s="60" t="s">
        <v>1853</v>
      </c>
      <c r="C46" s="60" t="s">
        <v>1160</v>
      </c>
      <c r="D46" s="63"/>
      <c r="E46" s="68">
        <v>0.0</v>
      </c>
      <c r="F46" s="68">
        <v>270.02</v>
      </c>
      <c r="G46" s="36">
        <f t="shared" si="1"/>
        <v>-31305.68</v>
      </c>
    </row>
    <row r="47">
      <c r="A47" s="60" t="s">
        <v>1854</v>
      </c>
      <c r="B47" s="60" t="s">
        <v>1855</v>
      </c>
      <c r="C47" s="60" t="s">
        <v>1799</v>
      </c>
      <c r="D47" s="63"/>
      <c r="E47" s="68">
        <v>0.0</v>
      </c>
      <c r="F47" s="68">
        <v>80.0</v>
      </c>
      <c r="G47" s="36">
        <f t="shared" si="1"/>
        <v>-31385.68</v>
      </c>
    </row>
    <row r="48">
      <c r="A48" s="60" t="s">
        <v>1854</v>
      </c>
      <c r="B48" s="60" t="s">
        <v>1856</v>
      </c>
      <c r="C48" s="60" t="s">
        <v>1557</v>
      </c>
      <c r="D48" s="61"/>
      <c r="E48" s="68">
        <v>7342.0</v>
      </c>
      <c r="F48" s="68">
        <v>0.0</v>
      </c>
      <c r="G48" s="36">
        <f t="shared" si="1"/>
        <v>-24043.68</v>
      </c>
    </row>
    <row r="49">
      <c r="A49" s="60" t="s">
        <v>1857</v>
      </c>
      <c r="B49" s="60" t="s">
        <v>1858</v>
      </c>
      <c r="C49" s="60" t="s">
        <v>1160</v>
      </c>
      <c r="D49" s="63"/>
      <c r="E49" s="68">
        <v>0.0</v>
      </c>
      <c r="F49" s="68">
        <v>712.0</v>
      </c>
      <c r="G49" s="36">
        <f t="shared" si="1"/>
        <v>-24755.68</v>
      </c>
    </row>
    <row r="50">
      <c r="A50" s="60" t="s">
        <v>1857</v>
      </c>
      <c r="B50" s="60" t="s">
        <v>1859</v>
      </c>
      <c r="C50" s="60" t="s">
        <v>1834</v>
      </c>
      <c r="D50" s="63"/>
      <c r="E50" s="68">
        <v>0.0</v>
      </c>
      <c r="F50" s="68">
        <v>200.98</v>
      </c>
      <c r="G50" s="36">
        <f t="shared" si="1"/>
        <v>-24956.66</v>
      </c>
    </row>
    <row r="51">
      <c r="A51" s="60" t="s">
        <v>1756</v>
      </c>
      <c r="B51" s="60" t="s">
        <v>1860</v>
      </c>
      <c r="C51" s="60" t="s">
        <v>1861</v>
      </c>
      <c r="D51" s="63"/>
      <c r="E51" s="68">
        <v>0.0</v>
      </c>
      <c r="F51" s="68">
        <v>2514.73</v>
      </c>
      <c r="G51" s="36">
        <f t="shared" si="1"/>
        <v>-27471.39</v>
      </c>
    </row>
    <row r="52">
      <c r="A52" s="60" t="s">
        <v>1756</v>
      </c>
      <c r="B52" s="60" t="s">
        <v>1862</v>
      </c>
      <c r="C52" s="60" t="s">
        <v>1863</v>
      </c>
      <c r="D52" s="63"/>
      <c r="E52" s="68">
        <v>0.0</v>
      </c>
      <c r="F52" s="68">
        <v>2550.0</v>
      </c>
      <c r="G52" s="36">
        <f t="shared" si="1"/>
        <v>-30021.39</v>
      </c>
    </row>
    <row r="53">
      <c r="A53" s="60" t="s">
        <v>1756</v>
      </c>
      <c r="B53" s="60" t="s">
        <v>1864</v>
      </c>
      <c r="C53" s="60" t="s">
        <v>1160</v>
      </c>
      <c r="D53" s="63"/>
      <c r="E53" s="68">
        <v>0.0</v>
      </c>
      <c r="F53" s="68">
        <v>1312.0</v>
      </c>
      <c r="G53" s="36">
        <f t="shared" si="1"/>
        <v>-31333.39</v>
      </c>
    </row>
    <row r="54">
      <c r="A54" s="63" t="s">
        <v>1756</v>
      </c>
      <c r="B54" s="60" t="s">
        <v>1865</v>
      </c>
      <c r="C54" s="60" t="s">
        <v>1369</v>
      </c>
      <c r="D54" s="63"/>
      <c r="E54" s="68">
        <v>2100.0</v>
      </c>
      <c r="F54" s="79"/>
      <c r="G54" s="36">
        <f t="shared" si="1"/>
        <v>-29233.39</v>
      </c>
    </row>
    <row r="55">
      <c r="A55" s="60" t="s">
        <v>1756</v>
      </c>
      <c r="B55" s="60" t="s">
        <v>1866</v>
      </c>
      <c r="C55" s="60" t="s">
        <v>1797</v>
      </c>
      <c r="D55" s="63"/>
      <c r="E55" s="68">
        <v>451.0</v>
      </c>
      <c r="F55" s="68">
        <v>0.0</v>
      </c>
      <c r="G55" s="36">
        <f t="shared" si="1"/>
        <v>-28782.39</v>
      </c>
    </row>
    <row r="56">
      <c r="A56" s="60" t="s">
        <v>1867</v>
      </c>
      <c r="B56" s="60" t="s">
        <v>1868</v>
      </c>
      <c r="C56" s="60" t="s">
        <v>1869</v>
      </c>
      <c r="D56" s="63"/>
      <c r="E56" s="68">
        <v>0.0</v>
      </c>
      <c r="F56" s="68">
        <v>1036.98</v>
      </c>
      <c r="G56" s="36">
        <f t="shared" si="1"/>
        <v>-29819.37</v>
      </c>
    </row>
    <row r="57">
      <c r="A57" s="69"/>
      <c r="B57" s="60"/>
      <c r="C57" s="60"/>
      <c r="D57" s="37"/>
      <c r="E57" s="68"/>
      <c r="F57" s="68"/>
      <c r="G57" s="36" t="str">
        <f t="shared" si="1"/>
        <v/>
      </c>
    </row>
    <row r="58">
      <c r="A58" s="69"/>
      <c r="B58" s="60"/>
      <c r="C58" s="60"/>
      <c r="D58" s="37"/>
      <c r="E58" s="68"/>
      <c r="F58" s="68"/>
      <c r="G58" s="36" t="str">
        <f t="shared" si="1"/>
        <v/>
      </c>
    </row>
    <row r="59">
      <c r="A59" s="60"/>
      <c r="B59" s="60"/>
      <c r="C59" s="60"/>
      <c r="D59" s="37"/>
      <c r="E59" s="68"/>
      <c r="F59" s="68"/>
      <c r="G59" s="36" t="str">
        <f t="shared" si="1"/>
        <v/>
      </c>
    </row>
    <row r="60">
      <c r="A60" s="60"/>
      <c r="B60" s="60"/>
      <c r="C60" s="60"/>
      <c r="D60" s="37"/>
      <c r="E60" s="68"/>
      <c r="F60" s="68"/>
      <c r="G60" s="36" t="str">
        <f t="shared" si="1"/>
        <v/>
      </c>
    </row>
    <row r="61">
      <c r="A61" s="60"/>
      <c r="B61" s="60"/>
      <c r="C61" s="60"/>
      <c r="D61" s="37"/>
      <c r="E61" s="68"/>
      <c r="F61" s="68"/>
      <c r="G61" s="36" t="str">
        <f t="shared" si="1"/>
        <v/>
      </c>
    </row>
    <row r="62">
      <c r="A62" s="60"/>
      <c r="B62" s="60"/>
      <c r="C62" s="60"/>
      <c r="D62" s="37"/>
      <c r="E62" s="68"/>
      <c r="F62" s="68"/>
      <c r="G62" s="36" t="str">
        <f t="shared" si="1"/>
        <v/>
      </c>
    </row>
    <row r="63">
      <c r="A63" s="60"/>
      <c r="B63" s="60"/>
      <c r="C63" s="60"/>
      <c r="D63" s="37"/>
      <c r="E63" s="68"/>
      <c r="F63" s="68"/>
      <c r="G63" s="36" t="str">
        <f t="shared" si="1"/>
        <v/>
      </c>
    </row>
    <row r="64">
      <c r="A64" s="60"/>
      <c r="B64" s="60"/>
      <c r="C64" s="60"/>
      <c r="D64" s="37"/>
      <c r="E64" s="68"/>
      <c r="F64" s="68"/>
      <c r="G64" s="36" t="str">
        <f t="shared" si="1"/>
        <v/>
      </c>
    </row>
    <row r="65">
      <c r="A65" s="60"/>
      <c r="B65" s="60"/>
      <c r="C65" s="60"/>
      <c r="D65" s="37"/>
      <c r="E65" s="68"/>
      <c r="F65" s="68"/>
      <c r="G65" s="36" t="str">
        <f t="shared" si="1"/>
        <v/>
      </c>
    </row>
    <row r="66">
      <c r="A66" s="60"/>
      <c r="B66" s="60"/>
      <c r="C66" s="60"/>
      <c r="D66" s="37"/>
      <c r="E66" s="68"/>
      <c r="F66" s="68"/>
      <c r="G66" s="36" t="str">
        <f t="shared" si="1"/>
        <v/>
      </c>
    </row>
    <row r="67">
      <c r="A67" s="60"/>
      <c r="B67" s="60"/>
      <c r="C67" s="60"/>
      <c r="D67" s="37"/>
      <c r="E67" s="68"/>
      <c r="F67" s="68"/>
      <c r="G67" s="36" t="str">
        <f t="shared" si="1"/>
        <v/>
      </c>
    </row>
    <row r="68">
      <c r="A68" s="60"/>
      <c r="B68" s="60"/>
      <c r="C68" s="60"/>
      <c r="D68" s="37"/>
      <c r="E68" s="68"/>
      <c r="F68" s="68"/>
      <c r="G68" s="36" t="str">
        <f t="shared" si="1"/>
        <v/>
      </c>
    </row>
    <row r="69">
      <c r="A69" s="60"/>
      <c r="B69" s="60"/>
      <c r="C69" s="60"/>
      <c r="D69" s="37"/>
      <c r="E69" s="68"/>
      <c r="F69" s="68"/>
      <c r="G69" s="36" t="str">
        <f t="shared" si="1"/>
        <v/>
      </c>
    </row>
    <row r="70">
      <c r="A70" s="60"/>
      <c r="B70" s="60"/>
      <c r="C70" s="60"/>
      <c r="D70" s="37"/>
      <c r="E70" s="68"/>
      <c r="F70" s="68"/>
      <c r="G70" s="36" t="str">
        <f t="shared" si="1"/>
        <v/>
      </c>
    </row>
    <row r="71">
      <c r="A71" s="60"/>
      <c r="B71" s="60"/>
      <c r="C71" s="60"/>
      <c r="D71" s="37"/>
      <c r="E71" s="68"/>
      <c r="F71" s="68"/>
      <c r="G71" s="36" t="str">
        <f t="shared" si="1"/>
        <v/>
      </c>
    </row>
    <row r="72">
      <c r="A72" s="60"/>
      <c r="B72" s="60"/>
      <c r="C72" s="60"/>
      <c r="D72" s="37"/>
      <c r="E72" s="68"/>
      <c r="F72" s="68"/>
      <c r="G72" s="36" t="str">
        <f t="shared" si="1"/>
        <v/>
      </c>
    </row>
    <row r="73">
      <c r="A73" s="60"/>
      <c r="B73" s="60"/>
      <c r="C73" s="60"/>
      <c r="D73" s="37"/>
      <c r="E73" s="68"/>
      <c r="F73" s="68"/>
      <c r="G73" s="36" t="str">
        <f t="shared" si="1"/>
        <v/>
      </c>
    </row>
    <row r="74">
      <c r="A74" s="60"/>
      <c r="B74" s="60"/>
      <c r="C74" s="60"/>
      <c r="D74" s="37"/>
      <c r="E74" s="68"/>
      <c r="F74" s="68"/>
      <c r="G74" s="36" t="str">
        <f t="shared" si="1"/>
        <v/>
      </c>
    </row>
    <row r="75">
      <c r="A75" s="60"/>
      <c r="B75" s="60"/>
      <c r="C75" s="60"/>
      <c r="D75" s="37"/>
      <c r="E75" s="68"/>
      <c r="F75" s="68"/>
      <c r="G75" s="36" t="str">
        <f t="shared" si="1"/>
        <v/>
      </c>
    </row>
    <row r="76">
      <c r="A76" s="60"/>
      <c r="B76" s="60"/>
      <c r="C76" s="60"/>
      <c r="D76" s="37"/>
      <c r="E76" s="68"/>
      <c r="F76" s="68"/>
      <c r="G76" s="36" t="str">
        <f t="shared" si="1"/>
        <v/>
      </c>
    </row>
    <row r="77">
      <c r="A77" s="60"/>
      <c r="B77" s="60"/>
      <c r="C77" s="60"/>
      <c r="D77" s="37"/>
      <c r="E77" s="68"/>
      <c r="F77" s="68"/>
      <c r="G77" s="36" t="str">
        <f t="shared" si="1"/>
        <v/>
      </c>
      <c r="H77" s="5" t="str">
        <f t="shared" ref="H77:H100" si="2">IF(B77="","","NEW")</f>
        <v/>
      </c>
    </row>
    <row r="78">
      <c r="A78" s="60"/>
      <c r="B78" s="60"/>
      <c r="C78" s="60"/>
      <c r="D78" s="37"/>
      <c r="E78" s="68"/>
      <c r="F78" s="68"/>
      <c r="G78" s="36" t="str">
        <f t="shared" si="1"/>
        <v/>
      </c>
      <c r="H78" s="5" t="str">
        <f t="shared" si="2"/>
        <v/>
      </c>
    </row>
    <row r="79">
      <c r="A79" s="60"/>
      <c r="B79" s="60"/>
      <c r="C79" s="60"/>
      <c r="D79" s="37"/>
      <c r="E79" s="68"/>
      <c r="F79" s="68"/>
      <c r="G79" s="36" t="str">
        <f t="shared" si="1"/>
        <v/>
      </c>
      <c r="H79" s="5" t="str">
        <f t="shared" si="2"/>
        <v/>
      </c>
    </row>
    <row r="80">
      <c r="A80" s="60"/>
      <c r="B80" s="60"/>
      <c r="C80" s="60"/>
      <c r="D80" s="37"/>
      <c r="E80" s="68"/>
      <c r="F80" s="68"/>
      <c r="G80" s="36" t="str">
        <f t="shared" si="1"/>
        <v/>
      </c>
      <c r="H80" s="5" t="str">
        <f t="shared" si="2"/>
        <v/>
      </c>
    </row>
    <row r="81">
      <c r="A81" s="60"/>
      <c r="B81" s="60"/>
      <c r="C81" s="60"/>
      <c r="D81" s="37"/>
      <c r="E81" s="68"/>
      <c r="F81" s="68"/>
      <c r="G81" s="36" t="str">
        <f t="shared" si="1"/>
        <v/>
      </c>
      <c r="H81" s="5" t="str">
        <f t="shared" si="2"/>
        <v/>
      </c>
    </row>
    <row r="82">
      <c r="A82" s="60"/>
      <c r="B82" s="60"/>
      <c r="C82" s="60"/>
      <c r="D82" s="37"/>
      <c r="E82" s="68"/>
      <c r="F82" s="68"/>
      <c r="G82" s="36" t="str">
        <f t="shared" si="1"/>
        <v/>
      </c>
      <c r="H82" s="5" t="str">
        <f t="shared" si="2"/>
        <v/>
      </c>
    </row>
    <row r="83">
      <c r="A83" s="60"/>
      <c r="B83" s="60"/>
      <c r="C83" s="60"/>
      <c r="D83" s="37"/>
      <c r="E83" s="68"/>
      <c r="F83" s="68"/>
      <c r="G83" s="36" t="str">
        <f t="shared" si="1"/>
        <v/>
      </c>
      <c r="H83" s="5" t="str">
        <f t="shared" si="2"/>
        <v/>
      </c>
    </row>
    <row r="84">
      <c r="A84" s="60"/>
      <c r="B84" s="60"/>
      <c r="C84" s="60"/>
      <c r="D84" s="37"/>
      <c r="E84" s="68"/>
      <c r="F84" s="68"/>
      <c r="G84" s="36" t="str">
        <f t="shared" si="1"/>
        <v/>
      </c>
      <c r="H84" s="5" t="str">
        <f t="shared" si="2"/>
        <v/>
      </c>
    </row>
    <row r="85">
      <c r="A85" s="60"/>
      <c r="B85" s="60"/>
      <c r="C85" s="60"/>
      <c r="D85" s="37"/>
      <c r="E85" s="68"/>
      <c r="F85" s="68"/>
      <c r="G85" s="36" t="str">
        <f t="shared" si="1"/>
        <v/>
      </c>
      <c r="H85" s="5" t="str">
        <f t="shared" si="2"/>
        <v/>
      </c>
    </row>
    <row r="86">
      <c r="A86" s="60"/>
      <c r="B86" s="60"/>
      <c r="C86" s="60"/>
      <c r="D86" s="37"/>
      <c r="E86" s="68"/>
      <c r="F86" s="68"/>
      <c r="G86" s="36" t="str">
        <f t="shared" si="1"/>
        <v/>
      </c>
      <c r="H86" s="5" t="str">
        <f t="shared" si="2"/>
        <v/>
      </c>
    </row>
    <row r="87">
      <c r="A87" s="60"/>
      <c r="B87" s="60"/>
      <c r="C87" s="60"/>
      <c r="D87" s="37"/>
      <c r="E87" s="68"/>
      <c r="F87" s="68"/>
      <c r="G87" s="36" t="str">
        <f t="shared" si="1"/>
        <v/>
      </c>
      <c r="H87" s="5" t="str">
        <f t="shared" si="2"/>
        <v/>
      </c>
    </row>
    <row r="88">
      <c r="A88" s="60"/>
      <c r="B88" s="60"/>
      <c r="C88" s="60"/>
      <c r="D88" s="37"/>
      <c r="E88" s="68"/>
      <c r="F88" s="68"/>
      <c r="G88" s="36" t="str">
        <f t="shared" si="1"/>
        <v/>
      </c>
      <c r="H88" s="5" t="str">
        <f t="shared" si="2"/>
        <v/>
      </c>
    </row>
    <row r="89">
      <c r="A89" s="60"/>
      <c r="B89" s="60"/>
      <c r="C89" s="60"/>
      <c r="D89" s="37"/>
      <c r="E89" s="68"/>
      <c r="F89" s="68"/>
      <c r="G89" s="36" t="str">
        <f t="shared" si="1"/>
        <v/>
      </c>
      <c r="H89" s="5" t="str">
        <f t="shared" si="2"/>
        <v/>
      </c>
    </row>
    <row r="90">
      <c r="A90" s="60"/>
      <c r="B90" s="60"/>
      <c r="C90" s="60"/>
      <c r="D90" s="37"/>
      <c r="E90" s="68"/>
      <c r="F90" s="68"/>
      <c r="G90" s="36" t="str">
        <f t="shared" si="1"/>
        <v/>
      </c>
      <c r="H90" s="5" t="str">
        <f t="shared" si="2"/>
        <v/>
      </c>
    </row>
    <row r="91">
      <c r="A91" s="60"/>
      <c r="B91" s="60"/>
      <c r="C91" s="60"/>
      <c r="D91" s="37"/>
      <c r="E91" s="68"/>
      <c r="F91" s="68"/>
      <c r="G91" s="36" t="str">
        <f t="shared" si="1"/>
        <v/>
      </c>
      <c r="H91" s="5" t="str">
        <f t="shared" si="2"/>
        <v/>
      </c>
    </row>
    <row r="92">
      <c r="A92" s="60"/>
      <c r="B92" s="60"/>
      <c r="C92" s="60"/>
      <c r="D92" s="37"/>
      <c r="E92" s="68"/>
      <c r="F92" s="68"/>
      <c r="G92" s="36" t="str">
        <f t="shared" si="1"/>
        <v/>
      </c>
      <c r="H92" s="5" t="str">
        <f t="shared" si="2"/>
        <v/>
      </c>
    </row>
    <row r="93">
      <c r="A93" s="60"/>
      <c r="B93" s="60"/>
      <c r="C93" s="60"/>
      <c r="D93" s="37"/>
      <c r="E93" s="68"/>
      <c r="F93" s="68"/>
      <c r="G93" s="36" t="str">
        <f t="shared" si="1"/>
        <v/>
      </c>
      <c r="H93" s="5" t="str">
        <f t="shared" si="2"/>
        <v/>
      </c>
    </row>
    <row r="94">
      <c r="A94" s="60"/>
      <c r="B94" s="60"/>
      <c r="C94" s="60"/>
      <c r="D94" s="37"/>
      <c r="E94" s="68"/>
      <c r="F94" s="68"/>
      <c r="G94" s="36" t="str">
        <f t="shared" si="1"/>
        <v/>
      </c>
      <c r="H94" s="5" t="str">
        <f t="shared" si="2"/>
        <v/>
      </c>
    </row>
    <row r="95">
      <c r="A95" s="60"/>
      <c r="B95" s="60"/>
      <c r="C95" s="60"/>
      <c r="D95" s="37"/>
      <c r="E95" s="68"/>
      <c r="F95" s="68"/>
      <c r="G95" s="36" t="str">
        <f t="shared" si="1"/>
        <v/>
      </c>
      <c r="H95" s="5" t="str">
        <f t="shared" si="2"/>
        <v/>
      </c>
    </row>
    <row r="96">
      <c r="A96" s="60"/>
      <c r="B96" s="60"/>
      <c r="C96" s="60"/>
      <c r="D96" s="37"/>
      <c r="E96" s="68"/>
      <c r="F96" s="68"/>
      <c r="G96" s="36" t="str">
        <f t="shared" si="1"/>
        <v/>
      </c>
      <c r="H96" s="5" t="str">
        <f t="shared" si="2"/>
        <v/>
      </c>
    </row>
    <row r="97">
      <c r="A97" s="60"/>
      <c r="B97" s="60"/>
      <c r="C97" s="60"/>
      <c r="D97" s="37"/>
      <c r="E97" s="68"/>
      <c r="F97" s="68"/>
      <c r="G97" s="36" t="str">
        <f t="shared" si="1"/>
        <v/>
      </c>
      <c r="H97" s="5" t="str">
        <f t="shared" si="2"/>
        <v/>
      </c>
    </row>
    <row r="98">
      <c r="A98" s="60"/>
      <c r="B98" s="60"/>
      <c r="C98" s="60"/>
      <c r="D98" s="37"/>
      <c r="E98" s="68"/>
      <c r="F98" s="68"/>
      <c r="G98" s="36" t="str">
        <f t="shared" si="1"/>
        <v/>
      </c>
      <c r="H98" s="5" t="str">
        <f t="shared" si="2"/>
        <v/>
      </c>
    </row>
    <row r="99">
      <c r="A99" s="63"/>
      <c r="B99" s="60"/>
      <c r="C99" s="60"/>
      <c r="D99" s="37"/>
      <c r="E99" s="68"/>
      <c r="F99" s="79"/>
      <c r="G99" s="36" t="str">
        <f t="shared" si="1"/>
        <v/>
      </c>
      <c r="H99" s="5" t="str">
        <f t="shared" si="2"/>
        <v/>
      </c>
    </row>
    <row r="100">
      <c r="A100" s="60"/>
      <c r="B100" s="60"/>
      <c r="C100" s="60"/>
      <c r="D100" s="37"/>
      <c r="E100" s="68"/>
      <c r="F100" s="68"/>
      <c r="G100" s="36" t="str">
        <f t="shared" si="1"/>
        <v/>
      </c>
      <c r="H100" s="5" t="str">
        <f t="shared" si="2"/>
        <v/>
      </c>
    </row>
    <row r="101">
      <c r="A101" s="60"/>
      <c r="B101" s="60"/>
      <c r="C101" s="60"/>
      <c r="D101" s="37"/>
      <c r="E101" s="68"/>
      <c r="F101" s="68"/>
      <c r="G101" s="36"/>
    </row>
    <row r="102">
      <c r="A102" s="53" t="s">
        <v>59</v>
      </c>
      <c r="B102" s="54"/>
      <c r="C102" s="54"/>
      <c r="D102" s="54"/>
      <c r="E102" s="55">
        <f t="shared" ref="E102:F102" si="3">SUM(E7:E101)</f>
        <v>15628</v>
      </c>
      <c r="F102" s="55">
        <f t="shared" si="3"/>
        <v>38026.89</v>
      </c>
      <c r="G102" s="56"/>
    </row>
  </sheetData>
  <mergeCells count="2">
    <mergeCell ref="A1:G1"/>
    <mergeCell ref="A5:G5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3" width="14.88"/>
    <col customWidth="1" min="4" max="4" width="12.63"/>
    <col customWidth="1" min="5" max="7" width="15.13"/>
    <col customWidth="1" min="8" max="8" width="7.63"/>
  </cols>
  <sheetData>
    <row r="1">
      <c r="A1" s="24" t="s">
        <v>1870</v>
      </c>
    </row>
    <row r="3">
      <c r="A3" s="15" t="s">
        <v>41</v>
      </c>
    </row>
    <row r="4">
      <c r="A4" s="41" t="s">
        <v>1391</v>
      </c>
      <c r="B4" s="90">
        <f t="shared" ref="B4:B8" si="1">SUMIF($D$20:$D$503,A4,$G$20:$G$503)</f>
        <v>42552.35</v>
      </c>
      <c r="C4" s="42">
        <f t="shared" ref="C4:C13" si="2">COUNTIF($D$20:$D$503,A4)</f>
        <v>33</v>
      </c>
      <c r="D4" s="42">
        <f t="shared" ref="D4:D8" si="3">IFERROR(B4/C4,0)</f>
        <v>1289.465152</v>
      </c>
    </row>
    <row r="5">
      <c r="A5" s="34" t="s">
        <v>1392</v>
      </c>
      <c r="B5" s="36">
        <f t="shared" si="1"/>
        <v>24265.64</v>
      </c>
      <c r="C5" s="36">
        <f t="shared" si="2"/>
        <v>19</v>
      </c>
      <c r="D5" s="36">
        <f t="shared" si="3"/>
        <v>1277.138947</v>
      </c>
    </row>
    <row r="6">
      <c r="A6" s="34" t="s">
        <v>1393</v>
      </c>
      <c r="B6" s="36">
        <f t="shared" si="1"/>
        <v>17887.52</v>
      </c>
      <c r="C6" s="36">
        <f t="shared" si="2"/>
        <v>11</v>
      </c>
      <c r="D6" s="36">
        <f t="shared" si="3"/>
        <v>1626.138182</v>
      </c>
    </row>
    <row r="7">
      <c r="A7" s="34" t="s">
        <v>46</v>
      </c>
      <c r="B7" s="36">
        <f t="shared" si="1"/>
        <v>575.93</v>
      </c>
      <c r="C7" s="36">
        <f t="shared" si="2"/>
        <v>1</v>
      </c>
      <c r="D7" s="36">
        <f t="shared" si="3"/>
        <v>575.93</v>
      </c>
    </row>
    <row r="8">
      <c r="A8" s="34" t="s">
        <v>47</v>
      </c>
      <c r="B8" s="36">
        <f t="shared" si="1"/>
        <v>401746.31</v>
      </c>
      <c r="C8" s="36">
        <f t="shared" si="2"/>
        <v>23</v>
      </c>
      <c r="D8" s="36">
        <f t="shared" si="3"/>
        <v>17467.23087</v>
      </c>
    </row>
    <row r="9">
      <c r="A9" s="34" t="s">
        <v>48</v>
      </c>
      <c r="B9" s="36">
        <f t="shared" ref="B9:B15" si="4">SUMIF($D$21:$D$504,A9,$G$21:$G$504)</f>
        <v>22083.16</v>
      </c>
      <c r="C9" s="36">
        <f t="shared" si="2"/>
        <v>15</v>
      </c>
      <c r="D9" s="36">
        <f t="shared" ref="D9:D15" si="5">IFERROR(B9/C9,0)</f>
        <v>1472.210667</v>
      </c>
    </row>
    <row r="10">
      <c r="A10" s="34" t="s">
        <v>49</v>
      </c>
      <c r="B10" s="36">
        <f t="shared" si="4"/>
        <v>985953.74</v>
      </c>
      <c r="C10" s="36">
        <f t="shared" si="2"/>
        <v>14</v>
      </c>
      <c r="D10" s="36">
        <f t="shared" si="5"/>
        <v>70425.26714</v>
      </c>
    </row>
    <row r="11">
      <c r="A11" s="34" t="s">
        <v>50</v>
      </c>
      <c r="B11" s="36">
        <f t="shared" si="4"/>
        <v>0</v>
      </c>
      <c r="C11" s="36">
        <f t="shared" si="2"/>
        <v>0</v>
      </c>
      <c r="D11" s="36">
        <f t="shared" si="5"/>
        <v>0</v>
      </c>
    </row>
    <row r="12">
      <c r="A12" s="91" t="s">
        <v>52</v>
      </c>
      <c r="B12" s="36">
        <f t="shared" si="4"/>
        <v>237083.08</v>
      </c>
      <c r="C12" s="36">
        <f t="shared" si="2"/>
        <v>20</v>
      </c>
      <c r="D12" s="36">
        <f t="shared" si="5"/>
        <v>11854.154</v>
      </c>
    </row>
    <row r="13">
      <c r="A13" s="91" t="s">
        <v>58</v>
      </c>
      <c r="B13" s="36">
        <f t="shared" si="4"/>
        <v>4863</v>
      </c>
      <c r="C13" s="36">
        <f t="shared" si="2"/>
        <v>6</v>
      </c>
      <c r="D13" s="36">
        <f t="shared" si="5"/>
        <v>810.5</v>
      </c>
    </row>
    <row r="14">
      <c r="A14" s="34" t="s">
        <v>1761</v>
      </c>
      <c r="B14" s="36">
        <f t="shared" si="4"/>
        <v>55184.18</v>
      </c>
      <c r="C14" s="36">
        <f t="shared" ref="C14:C16" si="6">COUNTIF($D$21:$D$504,A14)</f>
        <v>96</v>
      </c>
      <c r="D14" s="36">
        <f t="shared" si="5"/>
        <v>574.8352083</v>
      </c>
    </row>
    <row r="15">
      <c r="A15" s="34" t="s">
        <v>51</v>
      </c>
      <c r="B15" s="36">
        <f t="shared" si="4"/>
        <v>3674.58</v>
      </c>
      <c r="C15" s="36">
        <f t="shared" si="6"/>
        <v>11</v>
      </c>
      <c r="D15" s="36">
        <f t="shared" si="5"/>
        <v>334.0527273</v>
      </c>
    </row>
    <row r="16">
      <c r="A16" s="34" t="s">
        <v>57</v>
      </c>
      <c r="B16" s="36">
        <f>SUMIF($D$20:$D$503,A16,$G$20:$G$503)</f>
        <v>0</v>
      </c>
      <c r="C16" s="36">
        <f t="shared" si="6"/>
        <v>0</v>
      </c>
      <c r="D16" s="36">
        <f>IFERROR(B16/C16,0)</f>
        <v>0</v>
      </c>
    </row>
    <row r="17">
      <c r="A17" s="38" t="s">
        <v>59</v>
      </c>
      <c r="B17" s="39">
        <f>SUM(B4:B16)</f>
        <v>1795869.49</v>
      </c>
      <c r="C17" s="39">
        <f t="shared" ref="C17:D17" si="7">SUM(C5:C16)</f>
        <v>216</v>
      </c>
      <c r="D17" s="39">
        <f t="shared" si="7"/>
        <v>106417.4577</v>
      </c>
    </row>
    <row r="19">
      <c r="A19" s="7" t="s">
        <v>1871</v>
      </c>
    </row>
    <row r="20">
      <c r="A20" s="41" t="s">
        <v>130</v>
      </c>
      <c r="B20" s="41" t="s">
        <v>131</v>
      </c>
      <c r="C20" s="41" t="s">
        <v>132</v>
      </c>
      <c r="D20" s="41" t="s">
        <v>41</v>
      </c>
      <c r="E20" s="41" t="s">
        <v>133</v>
      </c>
      <c r="F20" s="41" t="s">
        <v>134</v>
      </c>
      <c r="G20" s="41" t="s">
        <v>104</v>
      </c>
      <c r="H20" s="41" t="s">
        <v>135</v>
      </c>
    </row>
    <row r="21">
      <c r="A21" s="60" t="s">
        <v>170</v>
      </c>
      <c r="B21" s="60" t="s">
        <v>171</v>
      </c>
      <c r="C21" s="34" t="s">
        <v>81</v>
      </c>
      <c r="D21" s="34" t="s">
        <v>1391</v>
      </c>
      <c r="E21" s="35">
        <v>0.0</v>
      </c>
      <c r="F21" s="35">
        <v>0.0</v>
      </c>
      <c r="G21" s="68">
        <v>135.97</v>
      </c>
      <c r="H21" s="37"/>
    </row>
    <row r="22">
      <c r="A22" s="60" t="s">
        <v>176</v>
      </c>
      <c r="B22" s="60" t="s">
        <v>177</v>
      </c>
      <c r="C22" s="34" t="s">
        <v>81</v>
      </c>
      <c r="D22" s="34" t="s">
        <v>1391</v>
      </c>
      <c r="E22" s="35">
        <v>0.0</v>
      </c>
      <c r="F22" s="35">
        <v>0.0</v>
      </c>
      <c r="G22" s="68">
        <v>1696.8</v>
      </c>
      <c r="H22" s="37"/>
    </row>
    <row r="23">
      <c r="A23" s="60" t="s">
        <v>182</v>
      </c>
      <c r="B23" s="60" t="s">
        <v>183</v>
      </c>
      <c r="C23" s="34" t="s">
        <v>81</v>
      </c>
      <c r="D23" s="34" t="s">
        <v>1391</v>
      </c>
      <c r="E23" s="35">
        <v>0.0</v>
      </c>
      <c r="F23" s="35">
        <v>0.0</v>
      </c>
      <c r="G23" s="68">
        <v>969.85</v>
      </c>
      <c r="H23" s="37"/>
    </row>
    <row r="24">
      <c r="A24" s="60" t="s">
        <v>184</v>
      </c>
      <c r="B24" s="60" t="s">
        <v>185</v>
      </c>
      <c r="C24" s="34" t="s">
        <v>81</v>
      </c>
      <c r="D24" s="34" t="s">
        <v>1391</v>
      </c>
      <c r="E24" s="35">
        <v>0.0</v>
      </c>
      <c r="F24" s="35">
        <v>0.0</v>
      </c>
      <c r="G24" s="68">
        <v>3218.57</v>
      </c>
      <c r="H24" s="37"/>
    </row>
    <row r="25">
      <c r="A25" s="60" t="s">
        <v>190</v>
      </c>
      <c r="B25" s="60" t="s">
        <v>191</v>
      </c>
      <c r="C25" s="34" t="s">
        <v>81</v>
      </c>
      <c r="D25" s="34" t="s">
        <v>1391</v>
      </c>
      <c r="E25" s="35">
        <v>0.0</v>
      </c>
      <c r="F25" s="35">
        <v>0.0</v>
      </c>
      <c r="G25" s="68">
        <v>837.89</v>
      </c>
      <c r="H25" s="37"/>
    </row>
    <row r="26">
      <c r="A26" s="60" t="s">
        <v>192</v>
      </c>
      <c r="B26" s="60" t="s">
        <v>193</v>
      </c>
      <c r="C26" s="34" t="s">
        <v>81</v>
      </c>
      <c r="D26" s="34" t="s">
        <v>1391</v>
      </c>
      <c r="E26" s="35">
        <v>0.0</v>
      </c>
      <c r="F26" s="35">
        <v>0.0</v>
      </c>
      <c r="G26" s="68">
        <v>479.92</v>
      </c>
      <c r="H26" s="37"/>
    </row>
    <row r="27">
      <c r="A27" s="60" t="s">
        <v>1872</v>
      </c>
      <c r="B27" s="60" t="s">
        <v>1873</v>
      </c>
      <c r="C27" s="34" t="s">
        <v>81</v>
      </c>
      <c r="D27" s="34" t="s">
        <v>1391</v>
      </c>
      <c r="E27" s="35">
        <v>0.0</v>
      </c>
      <c r="F27" s="35">
        <v>0.0</v>
      </c>
      <c r="G27" s="68">
        <v>1027.87</v>
      </c>
      <c r="H27" s="37"/>
    </row>
    <row r="28">
      <c r="A28" s="60" t="s">
        <v>1874</v>
      </c>
      <c r="B28" s="60" t="s">
        <v>1875</v>
      </c>
      <c r="C28" s="34" t="s">
        <v>81</v>
      </c>
      <c r="D28" s="34" t="s">
        <v>1391</v>
      </c>
      <c r="E28" s="35">
        <v>0.0</v>
      </c>
      <c r="F28" s="35">
        <v>0.0</v>
      </c>
      <c r="G28" s="68">
        <v>1174.83</v>
      </c>
      <c r="H28" s="37"/>
    </row>
    <row r="29">
      <c r="A29" s="60" t="s">
        <v>194</v>
      </c>
      <c r="B29" s="60" t="s">
        <v>195</v>
      </c>
      <c r="C29" s="34" t="s">
        <v>81</v>
      </c>
      <c r="D29" s="34" t="s">
        <v>1391</v>
      </c>
      <c r="E29" s="35">
        <v>0.0</v>
      </c>
      <c r="F29" s="35">
        <v>0.0</v>
      </c>
      <c r="G29" s="68">
        <v>520.92</v>
      </c>
      <c r="H29" s="37"/>
    </row>
    <row r="30">
      <c r="A30" s="60" t="s">
        <v>196</v>
      </c>
      <c r="B30" s="60" t="s">
        <v>197</v>
      </c>
      <c r="C30" s="34" t="s">
        <v>81</v>
      </c>
      <c r="D30" s="34" t="s">
        <v>1391</v>
      </c>
      <c r="E30" s="35">
        <v>0.0</v>
      </c>
      <c r="F30" s="35">
        <v>0.0</v>
      </c>
      <c r="G30" s="68">
        <v>3429.55</v>
      </c>
      <c r="H30" s="37"/>
    </row>
    <row r="31">
      <c r="A31" s="60" t="s">
        <v>198</v>
      </c>
      <c r="B31" s="60" t="s">
        <v>199</v>
      </c>
      <c r="C31" s="34" t="s">
        <v>81</v>
      </c>
      <c r="D31" s="34" t="s">
        <v>1391</v>
      </c>
      <c r="E31" s="35">
        <v>0.0</v>
      </c>
      <c r="F31" s="35">
        <v>0.0</v>
      </c>
      <c r="G31" s="68">
        <v>5061.58</v>
      </c>
      <c r="H31" s="37"/>
    </row>
    <row r="32">
      <c r="A32" s="60" t="s">
        <v>200</v>
      </c>
      <c r="B32" s="60" t="s">
        <v>1876</v>
      </c>
      <c r="C32" s="34" t="s">
        <v>81</v>
      </c>
      <c r="D32" s="34" t="s">
        <v>1391</v>
      </c>
      <c r="E32" s="35">
        <v>0.0</v>
      </c>
      <c r="F32" s="35">
        <v>0.0</v>
      </c>
      <c r="G32" s="68">
        <v>1021.87</v>
      </c>
      <c r="H32" s="37"/>
    </row>
    <row r="33">
      <c r="A33" s="60" t="s">
        <v>202</v>
      </c>
      <c r="B33" s="60" t="s">
        <v>203</v>
      </c>
      <c r="C33" s="34" t="s">
        <v>81</v>
      </c>
      <c r="D33" s="34" t="s">
        <v>1391</v>
      </c>
      <c r="E33" s="35">
        <v>0.0</v>
      </c>
      <c r="F33" s="35">
        <v>0.0</v>
      </c>
      <c r="G33" s="68">
        <v>384.95</v>
      </c>
      <c r="H33" s="37"/>
    </row>
    <row r="34">
      <c r="A34" s="60" t="s">
        <v>204</v>
      </c>
      <c r="B34" s="60" t="s">
        <v>205</v>
      </c>
      <c r="C34" s="34" t="s">
        <v>81</v>
      </c>
      <c r="D34" s="34" t="s">
        <v>1391</v>
      </c>
      <c r="E34" s="35">
        <v>0.0</v>
      </c>
      <c r="F34" s="35">
        <v>0.0</v>
      </c>
      <c r="G34" s="68">
        <v>847.88</v>
      </c>
      <c r="H34" s="37"/>
    </row>
    <row r="35">
      <c r="A35" s="60" t="s">
        <v>206</v>
      </c>
      <c r="B35" s="60" t="s">
        <v>207</v>
      </c>
      <c r="C35" s="34" t="s">
        <v>81</v>
      </c>
      <c r="D35" s="34" t="s">
        <v>1391</v>
      </c>
      <c r="E35" s="35">
        <v>0.0</v>
      </c>
      <c r="F35" s="35">
        <v>0.0</v>
      </c>
      <c r="G35" s="68">
        <v>1557.81</v>
      </c>
      <c r="H35" s="37"/>
    </row>
    <row r="36">
      <c r="A36" s="60" t="s">
        <v>208</v>
      </c>
      <c r="B36" s="60" t="s">
        <v>209</v>
      </c>
      <c r="C36" s="34" t="s">
        <v>81</v>
      </c>
      <c r="D36" s="34" t="s">
        <v>1391</v>
      </c>
      <c r="E36" s="35">
        <v>0.0</v>
      </c>
      <c r="F36" s="35">
        <v>0.0</v>
      </c>
      <c r="G36" s="68">
        <v>1973.69</v>
      </c>
      <c r="H36" s="37"/>
    </row>
    <row r="37">
      <c r="A37" s="60" t="s">
        <v>210</v>
      </c>
      <c r="B37" s="60" t="s">
        <v>211</v>
      </c>
      <c r="C37" s="34" t="s">
        <v>81</v>
      </c>
      <c r="D37" s="34" t="s">
        <v>1391</v>
      </c>
      <c r="E37" s="35">
        <v>0.0</v>
      </c>
      <c r="F37" s="35">
        <v>0.0</v>
      </c>
      <c r="G37" s="68">
        <v>1084.91</v>
      </c>
      <c r="H37" s="37"/>
    </row>
    <row r="38">
      <c r="A38" s="60" t="s">
        <v>1405</v>
      </c>
      <c r="B38" s="60" t="s">
        <v>1406</v>
      </c>
      <c r="C38" s="34" t="s">
        <v>81</v>
      </c>
      <c r="D38" s="34" t="s">
        <v>1391</v>
      </c>
      <c r="E38" s="35">
        <v>0.0</v>
      </c>
      <c r="F38" s="35">
        <v>0.0</v>
      </c>
      <c r="G38" s="68">
        <v>1999.73</v>
      </c>
      <c r="H38" s="37"/>
    </row>
    <row r="39">
      <c r="A39" s="60" t="s">
        <v>214</v>
      </c>
      <c r="B39" s="60" t="s">
        <v>215</v>
      </c>
      <c r="C39" s="34" t="s">
        <v>81</v>
      </c>
      <c r="D39" s="34" t="s">
        <v>1391</v>
      </c>
      <c r="E39" s="35">
        <v>0.0</v>
      </c>
      <c r="F39" s="35">
        <v>0.0</v>
      </c>
      <c r="G39" s="68">
        <v>234.97</v>
      </c>
      <c r="H39" s="37"/>
    </row>
    <row r="40">
      <c r="A40" s="60" t="s">
        <v>218</v>
      </c>
      <c r="B40" s="60" t="s">
        <v>219</v>
      </c>
      <c r="C40" s="34" t="s">
        <v>81</v>
      </c>
      <c r="D40" s="34" t="s">
        <v>1391</v>
      </c>
      <c r="E40" s="35">
        <v>0.0</v>
      </c>
      <c r="F40" s="35">
        <v>0.0</v>
      </c>
      <c r="G40" s="68">
        <v>2775.62</v>
      </c>
      <c r="H40" s="37"/>
    </row>
    <row r="41">
      <c r="A41" s="60" t="s">
        <v>220</v>
      </c>
      <c r="B41" s="60" t="s">
        <v>221</v>
      </c>
      <c r="C41" s="34" t="s">
        <v>81</v>
      </c>
      <c r="D41" s="34" t="s">
        <v>1391</v>
      </c>
      <c r="E41" s="35">
        <v>0.0</v>
      </c>
      <c r="F41" s="35">
        <v>0.0</v>
      </c>
      <c r="G41" s="68">
        <v>393.94</v>
      </c>
      <c r="H41" s="37"/>
    </row>
    <row r="42">
      <c r="A42" s="60" t="s">
        <v>226</v>
      </c>
      <c r="B42" s="60" t="s">
        <v>227</v>
      </c>
      <c r="C42" s="34" t="s">
        <v>81</v>
      </c>
      <c r="D42" s="34" t="s">
        <v>1391</v>
      </c>
      <c r="E42" s="35">
        <v>0.0</v>
      </c>
      <c r="F42" s="35">
        <v>0.0</v>
      </c>
      <c r="G42" s="68">
        <v>1549.8</v>
      </c>
      <c r="H42" s="37"/>
    </row>
    <row r="43">
      <c r="A43" s="60" t="s">
        <v>228</v>
      </c>
      <c r="B43" s="60" t="s">
        <v>229</v>
      </c>
      <c r="C43" s="34" t="s">
        <v>81</v>
      </c>
      <c r="D43" s="34" t="s">
        <v>1391</v>
      </c>
      <c r="E43" s="35">
        <v>0.0</v>
      </c>
      <c r="F43" s="35">
        <v>0.0</v>
      </c>
      <c r="G43" s="68">
        <v>187.82</v>
      </c>
      <c r="H43" s="37"/>
    </row>
    <row r="44">
      <c r="A44" s="60" t="s">
        <v>1877</v>
      </c>
      <c r="B44" s="60" t="s">
        <v>1878</v>
      </c>
      <c r="C44" s="34" t="s">
        <v>81</v>
      </c>
      <c r="D44" s="34" t="s">
        <v>1391</v>
      </c>
      <c r="E44" s="35">
        <v>0.0</v>
      </c>
      <c r="F44" s="35">
        <v>0.0</v>
      </c>
      <c r="G44" s="68">
        <v>193.96</v>
      </c>
      <c r="H44" s="37"/>
    </row>
    <row r="45">
      <c r="A45" s="60" t="s">
        <v>230</v>
      </c>
      <c r="B45" s="60" t="s">
        <v>231</v>
      </c>
      <c r="C45" s="34" t="s">
        <v>81</v>
      </c>
      <c r="D45" s="34" t="s">
        <v>1391</v>
      </c>
      <c r="E45" s="35">
        <v>0.0</v>
      </c>
      <c r="F45" s="35">
        <v>0.0</v>
      </c>
      <c r="G45" s="68">
        <v>1031.97</v>
      </c>
      <c r="H45" s="37"/>
    </row>
    <row r="46">
      <c r="A46" s="60" t="s">
        <v>232</v>
      </c>
      <c r="B46" s="60" t="s">
        <v>233</v>
      </c>
      <c r="C46" s="34" t="s">
        <v>81</v>
      </c>
      <c r="D46" s="34" t="s">
        <v>1391</v>
      </c>
      <c r="E46" s="35">
        <v>0.0</v>
      </c>
      <c r="F46" s="35">
        <v>0.0</v>
      </c>
      <c r="G46" s="68">
        <v>646.9</v>
      </c>
      <c r="H46" s="37"/>
    </row>
    <row r="47">
      <c r="A47" s="60" t="s">
        <v>236</v>
      </c>
      <c r="B47" s="60" t="s">
        <v>237</v>
      </c>
      <c r="C47" s="34" t="s">
        <v>81</v>
      </c>
      <c r="D47" s="34" t="s">
        <v>1391</v>
      </c>
      <c r="E47" s="35">
        <v>0.0</v>
      </c>
      <c r="F47" s="35">
        <v>0.0</v>
      </c>
      <c r="G47" s="68">
        <v>292.95</v>
      </c>
      <c r="H47" s="37"/>
    </row>
    <row r="48">
      <c r="A48" s="60" t="s">
        <v>238</v>
      </c>
      <c r="B48" s="60" t="s">
        <v>239</v>
      </c>
      <c r="C48" s="34" t="s">
        <v>81</v>
      </c>
      <c r="D48" s="34" t="s">
        <v>1391</v>
      </c>
      <c r="E48" s="35">
        <v>0.0</v>
      </c>
      <c r="F48" s="35">
        <v>0.0</v>
      </c>
      <c r="G48" s="68">
        <v>1241.77</v>
      </c>
      <c r="H48" s="37"/>
    </row>
    <row r="49">
      <c r="A49" s="60" t="s">
        <v>240</v>
      </c>
      <c r="B49" s="60" t="s">
        <v>241</v>
      </c>
      <c r="C49" s="34" t="s">
        <v>81</v>
      </c>
      <c r="D49" s="34" t="s">
        <v>1391</v>
      </c>
      <c r="E49" s="35">
        <v>0.0</v>
      </c>
      <c r="F49" s="35">
        <v>0.0</v>
      </c>
      <c r="G49" s="68">
        <v>3983.41</v>
      </c>
      <c r="H49" s="37"/>
    </row>
    <row r="50">
      <c r="A50" s="60" t="s">
        <v>244</v>
      </c>
      <c r="B50" s="60" t="s">
        <v>245</v>
      </c>
      <c r="C50" s="34" t="s">
        <v>81</v>
      </c>
      <c r="D50" s="34" t="s">
        <v>1391</v>
      </c>
      <c r="E50" s="35">
        <v>0.0</v>
      </c>
      <c r="F50" s="35">
        <v>0.0</v>
      </c>
      <c r="G50" s="68">
        <v>799.91</v>
      </c>
      <c r="H50" s="37"/>
    </row>
    <row r="51">
      <c r="A51" s="60" t="s">
        <v>250</v>
      </c>
      <c r="B51" s="60" t="s">
        <v>251</v>
      </c>
      <c r="C51" s="34" t="s">
        <v>81</v>
      </c>
      <c r="D51" s="34" t="s">
        <v>1391</v>
      </c>
      <c r="E51" s="35">
        <v>0.0</v>
      </c>
      <c r="F51" s="35">
        <v>0.0</v>
      </c>
      <c r="G51" s="68">
        <v>1021.86</v>
      </c>
      <c r="H51" s="37"/>
    </row>
    <row r="52">
      <c r="A52" s="60" t="s">
        <v>252</v>
      </c>
      <c r="B52" s="60" t="s">
        <v>253</v>
      </c>
      <c r="C52" s="34" t="s">
        <v>81</v>
      </c>
      <c r="D52" s="34" t="s">
        <v>1391</v>
      </c>
      <c r="E52" s="35">
        <v>0.0</v>
      </c>
      <c r="F52" s="35">
        <v>0.0</v>
      </c>
      <c r="G52" s="68">
        <v>387.93</v>
      </c>
      <c r="H52" s="37"/>
    </row>
    <row r="53">
      <c r="A53" s="60" t="s">
        <v>260</v>
      </c>
      <c r="B53" s="60" t="s">
        <v>261</v>
      </c>
      <c r="C53" s="34" t="s">
        <v>81</v>
      </c>
      <c r="D53" s="34" t="s">
        <v>1391</v>
      </c>
      <c r="E53" s="35">
        <v>0.0</v>
      </c>
      <c r="F53" s="35">
        <v>0.0</v>
      </c>
      <c r="G53" s="68">
        <v>384.95</v>
      </c>
      <c r="H53" s="37"/>
    </row>
    <row r="54">
      <c r="A54" s="60" t="s">
        <v>136</v>
      </c>
      <c r="B54" s="60" t="s">
        <v>137</v>
      </c>
      <c r="C54" s="34" t="s">
        <v>83</v>
      </c>
      <c r="D54" s="34" t="s">
        <v>44</v>
      </c>
      <c r="E54" s="35">
        <v>0.0</v>
      </c>
      <c r="F54" s="35">
        <v>0.0</v>
      </c>
      <c r="G54" s="68">
        <v>2363.66</v>
      </c>
      <c r="H54" s="37"/>
    </row>
    <row r="55">
      <c r="A55" s="60" t="s">
        <v>138</v>
      </c>
      <c r="B55" s="60" t="s">
        <v>139</v>
      </c>
      <c r="C55" s="34" t="s">
        <v>83</v>
      </c>
      <c r="D55" s="34" t="s">
        <v>44</v>
      </c>
      <c r="E55" s="35">
        <v>0.0</v>
      </c>
      <c r="F55" s="35">
        <v>0.0</v>
      </c>
      <c r="G55" s="68">
        <v>1889.74</v>
      </c>
      <c r="H55" s="37"/>
    </row>
    <row r="56">
      <c r="A56" s="60" t="s">
        <v>1879</v>
      </c>
      <c r="B56" s="60" t="s">
        <v>1880</v>
      </c>
      <c r="C56" s="34" t="s">
        <v>83</v>
      </c>
      <c r="D56" s="34" t="s">
        <v>44</v>
      </c>
      <c r="E56" s="35">
        <v>0.0</v>
      </c>
      <c r="F56" s="35">
        <v>0.0</v>
      </c>
      <c r="G56" s="68">
        <v>1089.85</v>
      </c>
      <c r="H56" s="37"/>
    </row>
    <row r="57">
      <c r="A57" s="60" t="s">
        <v>140</v>
      </c>
      <c r="B57" s="60" t="s">
        <v>141</v>
      </c>
      <c r="C57" s="34" t="s">
        <v>83</v>
      </c>
      <c r="D57" s="34" t="s">
        <v>44</v>
      </c>
      <c r="E57" s="35">
        <v>0.0</v>
      </c>
      <c r="F57" s="35">
        <v>0.0</v>
      </c>
      <c r="G57" s="68">
        <v>100.0</v>
      </c>
      <c r="H57" s="37"/>
    </row>
    <row r="58">
      <c r="A58" s="60" t="s">
        <v>1881</v>
      </c>
      <c r="B58" s="60" t="s">
        <v>1882</v>
      </c>
      <c r="C58" s="34" t="s">
        <v>83</v>
      </c>
      <c r="D58" s="34" t="s">
        <v>44</v>
      </c>
      <c r="E58" s="35">
        <v>0.0</v>
      </c>
      <c r="F58" s="35">
        <v>0.0</v>
      </c>
      <c r="G58" s="68">
        <v>52.95</v>
      </c>
      <c r="H58" s="37"/>
    </row>
    <row r="59">
      <c r="A59" s="60" t="s">
        <v>1883</v>
      </c>
      <c r="B59" s="60" t="s">
        <v>1884</v>
      </c>
      <c r="C59" s="34" t="s">
        <v>83</v>
      </c>
      <c r="D59" s="34" t="s">
        <v>44</v>
      </c>
      <c r="E59" s="35">
        <v>0.0</v>
      </c>
      <c r="F59" s="35">
        <v>0.0</v>
      </c>
      <c r="G59" s="68">
        <v>1019.94</v>
      </c>
      <c r="H59" s="37"/>
    </row>
    <row r="60">
      <c r="A60" s="60" t="s">
        <v>142</v>
      </c>
      <c r="B60" s="60" t="s">
        <v>143</v>
      </c>
      <c r="C60" s="34" t="s">
        <v>83</v>
      </c>
      <c r="D60" s="34" t="s">
        <v>44</v>
      </c>
      <c r="E60" s="35">
        <v>0.0</v>
      </c>
      <c r="F60" s="35">
        <v>0.0</v>
      </c>
      <c r="G60" s="68">
        <v>1460.78</v>
      </c>
      <c r="H60" s="37"/>
    </row>
    <row r="61">
      <c r="A61" s="60" t="s">
        <v>1885</v>
      </c>
      <c r="B61" s="60" t="s">
        <v>1886</v>
      </c>
      <c r="C61" s="34" t="s">
        <v>83</v>
      </c>
      <c r="D61" s="34" t="s">
        <v>44</v>
      </c>
      <c r="E61" s="35">
        <v>0.0</v>
      </c>
      <c r="F61" s="35">
        <v>0.0</v>
      </c>
      <c r="G61" s="68">
        <v>1017.85</v>
      </c>
      <c r="H61" s="37"/>
    </row>
    <row r="62">
      <c r="A62" s="60" t="s">
        <v>1887</v>
      </c>
      <c r="B62" s="60" t="s">
        <v>1888</v>
      </c>
      <c r="C62" s="34" t="s">
        <v>83</v>
      </c>
      <c r="D62" s="34" t="s">
        <v>44</v>
      </c>
      <c r="E62" s="35">
        <v>0.0</v>
      </c>
      <c r="F62" s="35">
        <v>0.0</v>
      </c>
      <c r="G62" s="68">
        <v>496.92</v>
      </c>
      <c r="H62" s="37"/>
    </row>
    <row r="63">
      <c r="A63" s="60" t="s">
        <v>1602</v>
      </c>
      <c r="B63" s="60" t="s">
        <v>1603</v>
      </c>
      <c r="C63" s="34" t="s">
        <v>83</v>
      </c>
      <c r="D63" s="34" t="s">
        <v>44</v>
      </c>
      <c r="E63" s="35">
        <v>0.0</v>
      </c>
      <c r="F63" s="35">
        <v>0.0</v>
      </c>
      <c r="G63" s="68">
        <v>1017.86</v>
      </c>
      <c r="H63" s="37"/>
    </row>
    <row r="64">
      <c r="A64" s="60" t="s">
        <v>1889</v>
      </c>
      <c r="B64" s="60" t="s">
        <v>1890</v>
      </c>
      <c r="C64" s="34" t="s">
        <v>83</v>
      </c>
      <c r="D64" s="34" t="s">
        <v>44</v>
      </c>
      <c r="E64" s="35">
        <v>0.0</v>
      </c>
      <c r="F64" s="35">
        <v>0.0</v>
      </c>
      <c r="G64" s="68">
        <v>108.98</v>
      </c>
      <c r="H64" s="37"/>
    </row>
    <row r="65">
      <c r="A65" s="60" t="s">
        <v>146</v>
      </c>
      <c r="B65" s="60" t="s">
        <v>147</v>
      </c>
      <c r="C65" s="34" t="s">
        <v>83</v>
      </c>
      <c r="D65" s="34" t="s">
        <v>44</v>
      </c>
      <c r="E65" s="35">
        <v>0.0</v>
      </c>
      <c r="F65" s="35">
        <v>0.0</v>
      </c>
      <c r="G65" s="68">
        <v>527.93</v>
      </c>
      <c r="H65" s="37"/>
    </row>
    <row r="66">
      <c r="A66" s="60" t="s">
        <v>1891</v>
      </c>
      <c r="B66" s="60" t="s">
        <v>1892</v>
      </c>
      <c r="C66" s="34" t="s">
        <v>83</v>
      </c>
      <c r="D66" s="34" t="s">
        <v>44</v>
      </c>
      <c r="E66" s="35">
        <v>0.0</v>
      </c>
      <c r="F66" s="35">
        <v>0.0</v>
      </c>
      <c r="G66" s="68">
        <v>663.9</v>
      </c>
      <c r="H66" s="37"/>
    </row>
    <row r="67">
      <c r="A67" s="60" t="s">
        <v>1893</v>
      </c>
      <c r="B67" s="60" t="s">
        <v>1894</v>
      </c>
      <c r="C67" s="34" t="s">
        <v>83</v>
      </c>
      <c r="D67" s="34" t="s">
        <v>44</v>
      </c>
      <c r="E67" s="35">
        <v>0.0</v>
      </c>
      <c r="F67" s="35">
        <v>0.0</v>
      </c>
      <c r="G67" s="68">
        <v>118.98</v>
      </c>
      <c r="H67" s="37"/>
    </row>
    <row r="68">
      <c r="A68" s="60" t="s">
        <v>148</v>
      </c>
      <c r="B68" s="60" t="s">
        <v>149</v>
      </c>
      <c r="C68" s="34" t="s">
        <v>83</v>
      </c>
      <c r="D68" s="34" t="s">
        <v>44</v>
      </c>
      <c r="E68" s="35">
        <v>0.0</v>
      </c>
      <c r="F68" s="35">
        <v>0.0</v>
      </c>
      <c r="G68" s="68">
        <v>4827.51</v>
      </c>
      <c r="H68" s="37"/>
    </row>
    <row r="69">
      <c r="A69" s="60" t="s">
        <v>152</v>
      </c>
      <c r="B69" s="60" t="s">
        <v>153</v>
      </c>
      <c r="C69" s="34" t="s">
        <v>83</v>
      </c>
      <c r="D69" s="34" t="s">
        <v>44</v>
      </c>
      <c r="E69" s="35">
        <v>0.0</v>
      </c>
      <c r="F69" s="35">
        <v>0.0</v>
      </c>
      <c r="G69" s="68">
        <v>4153.34</v>
      </c>
      <c r="H69" s="37"/>
    </row>
    <row r="70">
      <c r="A70" s="60" t="s">
        <v>1895</v>
      </c>
      <c r="B70" s="60" t="s">
        <v>1896</v>
      </c>
      <c r="C70" s="34" t="s">
        <v>83</v>
      </c>
      <c r="D70" s="34" t="s">
        <v>44</v>
      </c>
      <c r="E70" s="35">
        <v>0.0</v>
      </c>
      <c r="F70" s="35">
        <v>0.0</v>
      </c>
      <c r="G70" s="68">
        <v>1021.86</v>
      </c>
      <c r="H70" s="37"/>
    </row>
    <row r="71">
      <c r="A71" s="60" t="s">
        <v>160</v>
      </c>
      <c r="B71" s="60" t="s">
        <v>161</v>
      </c>
      <c r="C71" s="34" t="s">
        <v>83</v>
      </c>
      <c r="D71" s="34" t="s">
        <v>44</v>
      </c>
      <c r="E71" s="35">
        <v>0.0</v>
      </c>
      <c r="F71" s="35">
        <v>0.0</v>
      </c>
      <c r="G71" s="68">
        <v>1945.65</v>
      </c>
      <c r="H71" s="37"/>
    </row>
    <row r="72">
      <c r="A72" s="60" t="s">
        <v>1897</v>
      </c>
      <c r="B72" s="60" t="s">
        <v>1898</v>
      </c>
      <c r="C72" s="34" t="s">
        <v>83</v>
      </c>
      <c r="D72" s="34" t="s">
        <v>44</v>
      </c>
      <c r="E72" s="35">
        <v>0.0</v>
      </c>
      <c r="F72" s="35">
        <v>0.0</v>
      </c>
      <c r="G72" s="68">
        <v>387.94</v>
      </c>
      <c r="H72" s="37"/>
    </row>
    <row r="73">
      <c r="A73" s="60" t="s">
        <v>278</v>
      </c>
      <c r="B73" s="60" t="s">
        <v>279</v>
      </c>
      <c r="C73" s="34" t="s">
        <v>82</v>
      </c>
      <c r="D73" s="34" t="s">
        <v>45</v>
      </c>
      <c r="E73" s="35">
        <v>0.0</v>
      </c>
      <c r="F73" s="35">
        <v>0.0</v>
      </c>
      <c r="G73" s="68">
        <v>1957.72</v>
      </c>
      <c r="H73" s="37"/>
    </row>
    <row r="74">
      <c r="A74" s="60" t="s">
        <v>980</v>
      </c>
      <c r="B74" s="60" t="s">
        <v>981</v>
      </c>
      <c r="C74" s="34" t="s">
        <v>82</v>
      </c>
      <c r="D74" s="34" t="s">
        <v>45</v>
      </c>
      <c r="E74" s="35">
        <v>0.0</v>
      </c>
      <c r="F74" s="35">
        <v>0.0</v>
      </c>
      <c r="G74" s="68">
        <v>2144.93</v>
      </c>
      <c r="H74" s="37"/>
    </row>
    <row r="75">
      <c r="A75" s="60" t="s">
        <v>280</v>
      </c>
      <c r="B75" s="60" t="s">
        <v>281</v>
      </c>
      <c r="C75" s="34" t="s">
        <v>82</v>
      </c>
      <c r="D75" s="34" t="s">
        <v>45</v>
      </c>
      <c r="E75" s="35">
        <v>0.0</v>
      </c>
      <c r="F75" s="35">
        <v>0.0</v>
      </c>
      <c r="G75" s="68">
        <v>1699.99</v>
      </c>
      <c r="H75" s="37"/>
    </row>
    <row r="76">
      <c r="A76" s="60" t="s">
        <v>1413</v>
      </c>
      <c r="B76" s="60" t="s">
        <v>1414</v>
      </c>
      <c r="C76" s="34" t="s">
        <v>82</v>
      </c>
      <c r="D76" s="34" t="s">
        <v>45</v>
      </c>
      <c r="E76" s="35">
        <v>0.0</v>
      </c>
      <c r="F76" s="35">
        <v>0.0</v>
      </c>
      <c r="G76" s="68">
        <v>493.93</v>
      </c>
      <c r="H76" s="37"/>
    </row>
    <row r="77">
      <c r="A77" s="60" t="s">
        <v>282</v>
      </c>
      <c r="B77" s="60" t="s">
        <v>283</v>
      </c>
      <c r="C77" s="34" t="s">
        <v>82</v>
      </c>
      <c r="D77" s="34" t="s">
        <v>45</v>
      </c>
      <c r="E77" s="35">
        <v>0.0</v>
      </c>
      <c r="F77" s="35">
        <v>0.0</v>
      </c>
      <c r="G77" s="68">
        <v>1455.76</v>
      </c>
      <c r="H77" s="37"/>
    </row>
    <row r="78">
      <c r="A78" s="60" t="s">
        <v>284</v>
      </c>
      <c r="B78" s="60" t="s">
        <v>285</v>
      </c>
      <c r="C78" s="34" t="s">
        <v>82</v>
      </c>
      <c r="D78" s="34" t="s">
        <v>45</v>
      </c>
      <c r="E78" s="35">
        <v>0.0</v>
      </c>
      <c r="F78" s="35">
        <v>0.0</v>
      </c>
      <c r="G78" s="68">
        <v>2830.18</v>
      </c>
      <c r="H78" s="37"/>
    </row>
    <row r="79">
      <c r="A79" s="60" t="s">
        <v>286</v>
      </c>
      <c r="B79" s="60" t="s">
        <v>287</v>
      </c>
      <c r="C79" s="34" t="s">
        <v>82</v>
      </c>
      <c r="D79" s="34" t="s">
        <v>45</v>
      </c>
      <c r="E79" s="35">
        <v>0.0</v>
      </c>
      <c r="F79" s="35">
        <v>0.0</v>
      </c>
      <c r="G79" s="68">
        <v>1235.82</v>
      </c>
      <c r="H79" s="37"/>
    </row>
    <row r="80">
      <c r="A80" s="60" t="s">
        <v>296</v>
      </c>
      <c r="B80" s="60" t="s">
        <v>297</v>
      </c>
      <c r="C80" s="34" t="s">
        <v>82</v>
      </c>
      <c r="D80" s="34" t="s">
        <v>45</v>
      </c>
      <c r="E80" s="35">
        <v>0.0</v>
      </c>
      <c r="F80" s="35">
        <v>0.0</v>
      </c>
      <c r="G80" s="68">
        <v>555.86</v>
      </c>
      <c r="H80" s="37"/>
    </row>
    <row r="81">
      <c r="A81" s="60" t="s">
        <v>1899</v>
      </c>
      <c r="B81" s="60" t="s">
        <v>1900</v>
      </c>
      <c r="C81" s="34" t="s">
        <v>82</v>
      </c>
      <c r="D81" s="34" t="s">
        <v>45</v>
      </c>
      <c r="E81" s="35">
        <v>0.0</v>
      </c>
      <c r="F81" s="35">
        <v>0.0</v>
      </c>
      <c r="G81" s="68">
        <v>919.88</v>
      </c>
      <c r="H81" s="37"/>
    </row>
    <row r="82">
      <c r="A82" s="60" t="s">
        <v>1901</v>
      </c>
      <c r="B82" s="60" t="s">
        <v>1902</v>
      </c>
      <c r="C82" s="34" t="s">
        <v>82</v>
      </c>
      <c r="D82" s="34" t="s">
        <v>45</v>
      </c>
      <c r="E82" s="35">
        <v>0.0</v>
      </c>
      <c r="F82" s="35">
        <v>0.0</v>
      </c>
      <c r="G82" s="68">
        <v>1511.88</v>
      </c>
      <c r="H82" s="37"/>
    </row>
    <row r="83">
      <c r="A83" s="60" t="s">
        <v>1903</v>
      </c>
      <c r="B83" s="60" t="s">
        <v>1904</v>
      </c>
      <c r="C83" s="34" t="s">
        <v>82</v>
      </c>
      <c r="D83" s="34" t="s">
        <v>45</v>
      </c>
      <c r="E83" s="35">
        <v>0.0</v>
      </c>
      <c r="F83" s="35">
        <v>0.0</v>
      </c>
      <c r="G83" s="68">
        <v>3081.57</v>
      </c>
      <c r="H83" s="37"/>
    </row>
    <row r="84">
      <c r="A84" s="60" t="s">
        <v>308</v>
      </c>
      <c r="B84" s="60" t="s">
        <v>309</v>
      </c>
      <c r="C84" s="34" t="s">
        <v>73</v>
      </c>
      <c r="D84" s="34" t="s">
        <v>52</v>
      </c>
      <c r="E84" s="35">
        <v>0.0</v>
      </c>
      <c r="F84" s="35">
        <v>0.0</v>
      </c>
      <c r="G84" s="68">
        <v>24294.28</v>
      </c>
      <c r="H84" s="37"/>
    </row>
    <row r="85">
      <c r="A85" s="60" t="s">
        <v>310</v>
      </c>
      <c r="B85" s="60" t="s">
        <v>311</v>
      </c>
      <c r="C85" s="34" t="s">
        <v>73</v>
      </c>
      <c r="D85" s="34" t="s">
        <v>52</v>
      </c>
      <c r="E85" s="35">
        <v>0.0</v>
      </c>
      <c r="F85" s="35">
        <v>0.0</v>
      </c>
      <c r="G85" s="68">
        <v>19329.37</v>
      </c>
      <c r="H85" s="37"/>
    </row>
    <row r="86">
      <c r="A86" s="60" t="s">
        <v>1905</v>
      </c>
      <c r="B86" s="60" t="s">
        <v>1906</v>
      </c>
      <c r="C86" s="34" t="s">
        <v>73</v>
      </c>
      <c r="D86" s="34" t="s">
        <v>52</v>
      </c>
      <c r="E86" s="35">
        <v>0.0</v>
      </c>
      <c r="F86" s="35">
        <v>0.0</v>
      </c>
      <c r="G86" s="68">
        <v>9879.96</v>
      </c>
      <c r="H86" s="37"/>
    </row>
    <row r="87">
      <c r="A87" s="60" t="s">
        <v>312</v>
      </c>
      <c r="B87" s="60" t="s">
        <v>313</v>
      </c>
      <c r="C87" s="34" t="s">
        <v>73</v>
      </c>
      <c r="D87" s="34" t="s">
        <v>52</v>
      </c>
      <c r="E87" s="35">
        <v>0.0</v>
      </c>
      <c r="F87" s="35">
        <v>0.0</v>
      </c>
      <c r="G87" s="68">
        <v>9322.23</v>
      </c>
      <c r="H87" s="37"/>
    </row>
    <row r="88">
      <c r="A88" s="60" t="s">
        <v>314</v>
      </c>
      <c r="B88" s="60" t="s">
        <v>315</v>
      </c>
      <c r="C88" s="34" t="s">
        <v>73</v>
      </c>
      <c r="D88" s="34" t="s">
        <v>52</v>
      </c>
      <c r="E88" s="35">
        <v>0.0</v>
      </c>
      <c r="F88" s="35">
        <v>0.0</v>
      </c>
      <c r="G88" s="68">
        <v>13975.33</v>
      </c>
      <c r="H88" s="37"/>
    </row>
    <row r="89">
      <c r="A89" s="60" t="s">
        <v>316</v>
      </c>
      <c r="B89" s="60" t="s">
        <v>317</v>
      </c>
      <c r="C89" s="34" t="s">
        <v>73</v>
      </c>
      <c r="D89" s="34" t="s">
        <v>52</v>
      </c>
      <c r="E89" s="35">
        <v>0.0</v>
      </c>
      <c r="F89" s="35">
        <v>0.0</v>
      </c>
      <c r="G89" s="68">
        <v>7573.62</v>
      </c>
      <c r="H89" s="37"/>
    </row>
    <row r="90">
      <c r="A90" s="60" t="s">
        <v>318</v>
      </c>
      <c r="B90" s="60" t="s">
        <v>1907</v>
      </c>
      <c r="C90" s="34" t="s">
        <v>73</v>
      </c>
      <c r="D90" s="34" t="s">
        <v>52</v>
      </c>
      <c r="E90" s="35">
        <v>0.0</v>
      </c>
      <c r="F90" s="35">
        <v>0.0</v>
      </c>
      <c r="G90" s="68">
        <v>10920.86</v>
      </c>
      <c r="H90" s="37"/>
    </row>
    <row r="91">
      <c r="A91" s="60" t="s">
        <v>1908</v>
      </c>
      <c r="B91" s="60" t="s">
        <v>1909</v>
      </c>
      <c r="C91" s="34" t="s">
        <v>73</v>
      </c>
      <c r="D91" s="34" t="s">
        <v>52</v>
      </c>
      <c r="E91" s="35">
        <v>0.0</v>
      </c>
      <c r="F91" s="35">
        <v>0.0</v>
      </c>
      <c r="G91" s="68">
        <v>1304.04</v>
      </c>
      <c r="H91" s="37"/>
    </row>
    <row r="92">
      <c r="A92" s="60" t="s">
        <v>320</v>
      </c>
      <c r="B92" s="60" t="s">
        <v>321</v>
      </c>
      <c r="C92" s="34" t="s">
        <v>73</v>
      </c>
      <c r="D92" s="34" t="s">
        <v>52</v>
      </c>
      <c r="E92" s="35">
        <v>0.0</v>
      </c>
      <c r="F92" s="35">
        <v>0.0</v>
      </c>
      <c r="G92" s="68">
        <v>3223.25</v>
      </c>
      <c r="H92" s="37"/>
    </row>
    <row r="93">
      <c r="A93" s="60" t="s">
        <v>322</v>
      </c>
      <c r="B93" s="60" t="s">
        <v>323</v>
      </c>
      <c r="C93" s="34" t="s">
        <v>73</v>
      </c>
      <c r="D93" s="34" t="s">
        <v>52</v>
      </c>
      <c r="E93" s="35">
        <v>0.0</v>
      </c>
      <c r="F93" s="35">
        <v>0.0</v>
      </c>
      <c r="G93" s="68">
        <v>6655.93</v>
      </c>
      <c r="H93" s="37"/>
    </row>
    <row r="94">
      <c r="A94" s="60" t="s">
        <v>326</v>
      </c>
      <c r="B94" s="60" t="s">
        <v>327</v>
      </c>
      <c r="C94" s="34" t="s">
        <v>73</v>
      </c>
      <c r="D94" s="34" t="s">
        <v>52</v>
      </c>
      <c r="E94" s="35">
        <v>0.0</v>
      </c>
      <c r="F94" s="35">
        <v>0.0</v>
      </c>
      <c r="G94" s="68">
        <v>1019.99</v>
      </c>
      <c r="H94" s="37"/>
    </row>
    <row r="95">
      <c r="A95" s="60" t="s">
        <v>328</v>
      </c>
      <c r="B95" s="60" t="s">
        <v>329</v>
      </c>
      <c r="C95" s="34" t="s">
        <v>73</v>
      </c>
      <c r="D95" s="34" t="s">
        <v>52</v>
      </c>
      <c r="E95" s="35">
        <v>0.0</v>
      </c>
      <c r="F95" s="35">
        <v>0.0</v>
      </c>
      <c r="G95" s="68">
        <v>12605.32</v>
      </c>
      <c r="H95" s="37"/>
    </row>
    <row r="96">
      <c r="A96" s="60" t="s">
        <v>330</v>
      </c>
      <c r="B96" s="60" t="s">
        <v>331</v>
      </c>
      <c r="C96" s="34" t="s">
        <v>73</v>
      </c>
      <c r="D96" s="34" t="s">
        <v>52</v>
      </c>
      <c r="E96" s="35">
        <v>0.0</v>
      </c>
      <c r="F96" s="35">
        <v>0.0</v>
      </c>
      <c r="G96" s="68">
        <v>3399.98</v>
      </c>
      <c r="H96" s="37"/>
    </row>
    <row r="97">
      <c r="A97" s="60" t="s">
        <v>332</v>
      </c>
      <c r="B97" s="60" t="s">
        <v>333</v>
      </c>
      <c r="C97" s="34" t="s">
        <v>73</v>
      </c>
      <c r="D97" s="34" t="s">
        <v>52</v>
      </c>
      <c r="E97" s="35">
        <v>0.0</v>
      </c>
      <c r="F97" s="35">
        <v>0.0</v>
      </c>
      <c r="G97" s="68">
        <v>550.75</v>
      </c>
      <c r="H97" s="37"/>
    </row>
    <row r="98">
      <c r="A98" s="60" t="s">
        <v>334</v>
      </c>
      <c r="B98" s="60" t="s">
        <v>335</v>
      </c>
      <c r="C98" s="34" t="s">
        <v>73</v>
      </c>
      <c r="D98" s="34" t="s">
        <v>52</v>
      </c>
      <c r="E98" s="35">
        <v>0.0</v>
      </c>
      <c r="F98" s="35">
        <v>0.0</v>
      </c>
      <c r="G98" s="68">
        <v>101307.9</v>
      </c>
      <c r="H98" s="37"/>
    </row>
    <row r="99">
      <c r="A99" s="60" t="s">
        <v>336</v>
      </c>
      <c r="B99" s="60" t="s">
        <v>337</v>
      </c>
      <c r="C99" s="34" t="s">
        <v>73</v>
      </c>
      <c r="D99" s="34" t="s">
        <v>52</v>
      </c>
      <c r="E99" s="35">
        <v>0.0</v>
      </c>
      <c r="F99" s="35">
        <v>0.0</v>
      </c>
      <c r="G99" s="68">
        <v>500.29</v>
      </c>
      <c r="H99" s="37"/>
    </row>
    <row r="100">
      <c r="A100" s="60" t="s">
        <v>340</v>
      </c>
      <c r="B100" s="60" t="s">
        <v>341</v>
      </c>
      <c r="C100" s="34" t="s">
        <v>73</v>
      </c>
      <c r="D100" s="34" t="s">
        <v>52</v>
      </c>
      <c r="E100" s="35">
        <v>0.0</v>
      </c>
      <c r="F100" s="35">
        <v>0.0</v>
      </c>
      <c r="G100" s="68">
        <v>4144.99</v>
      </c>
      <c r="H100" s="37"/>
    </row>
    <row r="101">
      <c r="A101" s="60" t="s">
        <v>1910</v>
      </c>
      <c r="B101" s="60" t="s">
        <v>1911</v>
      </c>
      <c r="C101" s="34" t="s">
        <v>73</v>
      </c>
      <c r="D101" s="34" t="s">
        <v>52</v>
      </c>
      <c r="E101" s="35">
        <v>0.0</v>
      </c>
      <c r="F101" s="35">
        <v>0.0</v>
      </c>
      <c r="G101" s="68">
        <v>409.99</v>
      </c>
      <c r="H101" s="37"/>
    </row>
    <row r="102">
      <c r="A102" s="60" t="s">
        <v>342</v>
      </c>
      <c r="B102" s="60" t="s">
        <v>343</v>
      </c>
      <c r="C102" s="34" t="s">
        <v>73</v>
      </c>
      <c r="D102" s="34" t="s">
        <v>52</v>
      </c>
      <c r="E102" s="35">
        <v>0.0</v>
      </c>
      <c r="F102" s="35">
        <v>0.0</v>
      </c>
      <c r="G102" s="68">
        <v>6325.0</v>
      </c>
      <c r="H102" s="37"/>
    </row>
    <row r="103">
      <c r="A103" s="60" t="s">
        <v>1912</v>
      </c>
      <c r="B103" s="60" t="s">
        <v>1913</v>
      </c>
      <c r="C103" s="34" t="s">
        <v>73</v>
      </c>
      <c r="D103" s="34" t="s">
        <v>52</v>
      </c>
      <c r="E103" s="35">
        <v>0.0</v>
      </c>
      <c r="F103" s="35">
        <v>0.0</v>
      </c>
      <c r="G103" s="68">
        <v>340.0</v>
      </c>
      <c r="H103" s="37"/>
    </row>
    <row r="104">
      <c r="A104" s="60" t="s">
        <v>426</v>
      </c>
      <c r="B104" s="60" t="s">
        <v>1914</v>
      </c>
      <c r="C104" s="34" t="s">
        <v>75</v>
      </c>
      <c r="D104" s="34" t="s">
        <v>48</v>
      </c>
      <c r="E104" s="35">
        <v>0.0</v>
      </c>
      <c r="F104" s="35">
        <v>0.0</v>
      </c>
      <c r="G104" s="68">
        <v>234.97</v>
      </c>
      <c r="H104" s="37"/>
    </row>
    <row r="105">
      <c r="A105" s="60" t="s">
        <v>432</v>
      </c>
      <c r="B105" s="60" t="s">
        <v>433</v>
      </c>
      <c r="C105" s="34" t="s">
        <v>75</v>
      </c>
      <c r="D105" s="34" t="s">
        <v>48</v>
      </c>
      <c r="E105" s="35">
        <v>0.0</v>
      </c>
      <c r="F105" s="35">
        <v>0.0</v>
      </c>
      <c r="G105" s="68">
        <v>460.03</v>
      </c>
      <c r="H105" s="37"/>
    </row>
    <row r="106">
      <c r="A106" s="60" t="s">
        <v>442</v>
      </c>
      <c r="B106" s="60" t="s">
        <v>443</v>
      </c>
      <c r="C106" s="34" t="s">
        <v>75</v>
      </c>
      <c r="D106" s="34" t="s">
        <v>48</v>
      </c>
      <c r="E106" s="35">
        <v>0.0</v>
      </c>
      <c r="F106" s="35">
        <v>0.0</v>
      </c>
      <c r="G106" s="68">
        <v>6435.1</v>
      </c>
      <c r="H106" s="37"/>
    </row>
    <row r="107">
      <c r="A107" s="60" t="s">
        <v>450</v>
      </c>
      <c r="B107" s="60" t="s">
        <v>451</v>
      </c>
      <c r="C107" s="34" t="s">
        <v>75</v>
      </c>
      <c r="D107" s="34" t="s">
        <v>48</v>
      </c>
      <c r="E107" s="35">
        <v>0.0</v>
      </c>
      <c r="F107" s="35">
        <v>0.0</v>
      </c>
      <c r="G107" s="68">
        <v>1723.8</v>
      </c>
      <c r="H107" s="37"/>
    </row>
    <row r="108">
      <c r="A108" s="60" t="s">
        <v>460</v>
      </c>
      <c r="B108" s="60" t="s">
        <v>461</v>
      </c>
      <c r="C108" s="34" t="s">
        <v>75</v>
      </c>
      <c r="D108" s="34" t="s">
        <v>48</v>
      </c>
      <c r="E108" s="35">
        <v>0.0</v>
      </c>
      <c r="F108" s="35">
        <v>0.0</v>
      </c>
      <c r="G108" s="68">
        <v>252.64</v>
      </c>
      <c r="H108" s="37"/>
    </row>
    <row r="109">
      <c r="A109" s="60" t="s">
        <v>350</v>
      </c>
      <c r="B109" s="60" t="s">
        <v>351</v>
      </c>
      <c r="C109" s="34" t="s">
        <v>75</v>
      </c>
      <c r="D109" s="34" t="s">
        <v>48</v>
      </c>
      <c r="E109" s="35">
        <v>0.0</v>
      </c>
      <c r="F109" s="35">
        <v>0.0</v>
      </c>
      <c r="G109" s="68">
        <v>100.0</v>
      </c>
      <c r="H109" s="37"/>
    </row>
    <row r="110">
      <c r="A110" s="60" t="s">
        <v>352</v>
      </c>
      <c r="B110" s="60" t="s">
        <v>353</v>
      </c>
      <c r="C110" s="34" t="s">
        <v>75</v>
      </c>
      <c r="D110" s="34" t="s">
        <v>48</v>
      </c>
      <c r="E110" s="35">
        <v>0.0</v>
      </c>
      <c r="F110" s="35">
        <v>0.0</v>
      </c>
      <c r="G110" s="68">
        <v>108.98</v>
      </c>
      <c r="H110" s="37"/>
    </row>
    <row r="111">
      <c r="A111" s="60" t="s">
        <v>354</v>
      </c>
      <c r="B111" s="60" t="s">
        <v>355</v>
      </c>
      <c r="C111" s="34" t="s">
        <v>75</v>
      </c>
      <c r="D111" s="34" t="s">
        <v>48</v>
      </c>
      <c r="E111" s="35">
        <v>0.0</v>
      </c>
      <c r="F111" s="35">
        <v>0.0</v>
      </c>
      <c r="G111" s="68">
        <v>266.97</v>
      </c>
      <c r="H111" s="37"/>
    </row>
    <row r="112">
      <c r="A112" s="60" t="s">
        <v>356</v>
      </c>
      <c r="B112" s="60" t="s">
        <v>357</v>
      </c>
      <c r="C112" s="34" t="s">
        <v>75</v>
      </c>
      <c r="D112" s="34" t="s">
        <v>48</v>
      </c>
      <c r="E112" s="35">
        <v>0.0</v>
      </c>
      <c r="F112" s="35">
        <v>0.0</v>
      </c>
      <c r="G112" s="68">
        <v>149.98</v>
      </c>
      <c r="H112" s="37"/>
    </row>
    <row r="113">
      <c r="A113" s="60" t="s">
        <v>358</v>
      </c>
      <c r="B113" s="60" t="s">
        <v>359</v>
      </c>
      <c r="C113" s="34" t="s">
        <v>75</v>
      </c>
      <c r="D113" s="34" t="s">
        <v>48</v>
      </c>
      <c r="E113" s="35">
        <v>0.0</v>
      </c>
      <c r="F113" s="35">
        <v>0.0</v>
      </c>
      <c r="G113" s="68">
        <v>207.98</v>
      </c>
      <c r="H113" s="37"/>
    </row>
    <row r="114">
      <c r="A114" s="60" t="s">
        <v>362</v>
      </c>
      <c r="B114" s="60" t="s">
        <v>363</v>
      </c>
      <c r="C114" s="34" t="s">
        <v>75</v>
      </c>
      <c r="D114" s="34" t="s">
        <v>48</v>
      </c>
      <c r="E114" s="35">
        <v>0.0</v>
      </c>
      <c r="F114" s="35">
        <v>0.0</v>
      </c>
      <c r="G114" s="68">
        <v>142.98</v>
      </c>
      <c r="H114" s="37"/>
    </row>
    <row r="115">
      <c r="A115" s="60" t="s">
        <v>952</v>
      </c>
      <c r="B115" s="60" t="s">
        <v>1915</v>
      </c>
      <c r="C115" s="34" t="s">
        <v>75</v>
      </c>
      <c r="D115" s="34" t="s">
        <v>48</v>
      </c>
      <c r="E115" s="35">
        <v>0.0</v>
      </c>
      <c r="F115" s="35">
        <v>0.0</v>
      </c>
      <c r="G115" s="68">
        <v>575.93</v>
      </c>
      <c r="H115" s="37"/>
    </row>
    <row r="116">
      <c r="A116" s="60" t="s">
        <v>364</v>
      </c>
      <c r="B116" s="60" t="s">
        <v>365</v>
      </c>
      <c r="C116" s="34" t="s">
        <v>75</v>
      </c>
      <c r="D116" s="34" t="s">
        <v>48</v>
      </c>
      <c r="E116" s="35">
        <v>0.0</v>
      </c>
      <c r="F116" s="35">
        <v>0.0</v>
      </c>
      <c r="G116" s="68">
        <v>5507.77</v>
      </c>
      <c r="H116" s="37"/>
    </row>
    <row r="117">
      <c r="A117" s="60" t="s">
        <v>370</v>
      </c>
      <c r="B117" s="60" t="s">
        <v>371</v>
      </c>
      <c r="C117" s="34" t="s">
        <v>75</v>
      </c>
      <c r="D117" s="34" t="s">
        <v>48</v>
      </c>
      <c r="E117" s="35">
        <v>0.0</v>
      </c>
      <c r="F117" s="35">
        <v>0.0</v>
      </c>
      <c r="G117" s="68">
        <v>4260.06</v>
      </c>
      <c r="H117" s="37"/>
    </row>
    <row r="118">
      <c r="A118" s="60" t="s">
        <v>376</v>
      </c>
      <c r="B118" s="60" t="s">
        <v>377</v>
      </c>
      <c r="C118" s="34" t="s">
        <v>75</v>
      </c>
      <c r="D118" s="34" t="s">
        <v>48</v>
      </c>
      <c r="E118" s="35">
        <v>0.0</v>
      </c>
      <c r="F118" s="35">
        <v>0.0</v>
      </c>
      <c r="G118" s="68">
        <v>1655.97</v>
      </c>
      <c r="H118" s="37"/>
    </row>
    <row r="119">
      <c r="A119" s="60" t="s">
        <v>472</v>
      </c>
      <c r="B119" s="60" t="s">
        <v>473</v>
      </c>
      <c r="C119" s="34" t="s">
        <v>75</v>
      </c>
      <c r="D119" s="34" t="s">
        <v>53</v>
      </c>
      <c r="E119" s="35">
        <v>0.0</v>
      </c>
      <c r="F119" s="35">
        <v>0.0</v>
      </c>
      <c r="G119" s="68">
        <v>150.06</v>
      </c>
      <c r="H119" s="37"/>
    </row>
    <row r="120">
      <c r="A120" s="60" t="s">
        <v>474</v>
      </c>
      <c r="B120" s="60" t="s">
        <v>475</v>
      </c>
      <c r="C120" s="34" t="s">
        <v>75</v>
      </c>
      <c r="D120" s="34" t="s">
        <v>53</v>
      </c>
      <c r="E120" s="35">
        <v>0.0</v>
      </c>
      <c r="F120" s="35">
        <v>0.0</v>
      </c>
      <c r="G120" s="68">
        <v>47.28</v>
      </c>
      <c r="H120" s="37"/>
    </row>
    <row r="121">
      <c r="A121" s="60" t="s">
        <v>476</v>
      </c>
      <c r="B121" s="60" t="s">
        <v>477</v>
      </c>
      <c r="C121" s="34" t="s">
        <v>75</v>
      </c>
      <c r="D121" s="34" t="s">
        <v>53</v>
      </c>
      <c r="E121" s="35">
        <v>0.0</v>
      </c>
      <c r="F121" s="35">
        <v>0.0</v>
      </c>
      <c r="G121" s="68">
        <v>101.98</v>
      </c>
      <c r="H121" s="37"/>
    </row>
    <row r="122">
      <c r="A122" s="60" t="s">
        <v>478</v>
      </c>
      <c r="B122" s="60" t="s">
        <v>479</v>
      </c>
      <c r="C122" s="34" t="s">
        <v>75</v>
      </c>
      <c r="D122" s="34" t="s">
        <v>53</v>
      </c>
      <c r="E122" s="35">
        <v>0.0</v>
      </c>
      <c r="F122" s="35">
        <v>0.0</v>
      </c>
      <c r="G122" s="68">
        <v>401.94</v>
      </c>
      <c r="H122" s="37"/>
    </row>
    <row r="123">
      <c r="A123" s="60" t="s">
        <v>480</v>
      </c>
      <c r="B123" s="60" t="s">
        <v>481</v>
      </c>
      <c r="C123" s="34" t="s">
        <v>75</v>
      </c>
      <c r="D123" s="34" t="s">
        <v>53</v>
      </c>
      <c r="E123" s="35">
        <v>0.0</v>
      </c>
      <c r="F123" s="35">
        <v>0.0</v>
      </c>
      <c r="G123" s="68">
        <v>200.98</v>
      </c>
      <c r="H123" s="37"/>
    </row>
    <row r="124">
      <c r="A124" s="60" t="s">
        <v>482</v>
      </c>
      <c r="B124" s="60" t="s">
        <v>483</v>
      </c>
      <c r="C124" s="34" t="s">
        <v>75</v>
      </c>
      <c r="D124" s="34" t="s">
        <v>53</v>
      </c>
      <c r="E124" s="35">
        <v>0.0</v>
      </c>
      <c r="F124" s="35">
        <v>0.0</v>
      </c>
      <c r="G124" s="68">
        <v>183.98</v>
      </c>
      <c r="H124" s="37"/>
    </row>
    <row r="125">
      <c r="A125" s="60" t="s">
        <v>1916</v>
      </c>
      <c r="B125" s="60" t="s">
        <v>1917</v>
      </c>
      <c r="C125" s="34" t="s">
        <v>75</v>
      </c>
      <c r="D125" s="34" t="s">
        <v>53</v>
      </c>
      <c r="E125" s="35">
        <v>0.0</v>
      </c>
      <c r="F125" s="35">
        <v>0.0</v>
      </c>
      <c r="G125" s="68">
        <v>183.98</v>
      </c>
      <c r="H125" s="37"/>
    </row>
    <row r="126">
      <c r="A126" s="60" t="s">
        <v>1918</v>
      </c>
      <c r="B126" s="60" t="s">
        <v>1919</v>
      </c>
      <c r="C126" s="34" t="s">
        <v>75</v>
      </c>
      <c r="D126" s="34" t="s">
        <v>53</v>
      </c>
      <c r="E126" s="35">
        <v>0.0</v>
      </c>
      <c r="F126" s="35">
        <v>0.0</v>
      </c>
      <c r="G126" s="68">
        <v>217.97</v>
      </c>
      <c r="H126" s="37"/>
    </row>
    <row r="127">
      <c r="A127" s="60" t="s">
        <v>484</v>
      </c>
      <c r="B127" s="60" t="s">
        <v>485</v>
      </c>
      <c r="C127" s="34" t="s">
        <v>75</v>
      </c>
      <c r="D127" s="34" t="s">
        <v>53</v>
      </c>
      <c r="E127" s="35">
        <v>0.0</v>
      </c>
      <c r="F127" s="35">
        <v>0.0</v>
      </c>
      <c r="G127" s="68">
        <v>778.02</v>
      </c>
      <c r="H127" s="37"/>
    </row>
    <row r="128">
      <c r="A128" s="60" t="s">
        <v>486</v>
      </c>
      <c r="B128" s="60" t="s">
        <v>487</v>
      </c>
      <c r="C128" s="34" t="s">
        <v>75</v>
      </c>
      <c r="D128" s="34" t="s">
        <v>53</v>
      </c>
      <c r="E128" s="35">
        <v>0.0</v>
      </c>
      <c r="F128" s="35">
        <v>0.0</v>
      </c>
      <c r="G128" s="68">
        <v>408.98</v>
      </c>
      <c r="H128" s="37"/>
    </row>
    <row r="129">
      <c r="A129" s="60" t="s">
        <v>1920</v>
      </c>
      <c r="B129" s="60" t="s">
        <v>1921</v>
      </c>
      <c r="C129" s="34" t="s">
        <v>75</v>
      </c>
      <c r="D129" s="34" t="s">
        <v>53</v>
      </c>
      <c r="E129" s="35">
        <v>0.0</v>
      </c>
      <c r="F129" s="35">
        <v>0.0</v>
      </c>
      <c r="G129" s="68">
        <v>517.5</v>
      </c>
      <c r="H129" s="37"/>
    </row>
    <row r="130">
      <c r="A130" s="60" t="s">
        <v>488</v>
      </c>
      <c r="B130" s="60" t="s">
        <v>489</v>
      </c>
      <c r="C130" s="34" t="s">
        <v>75</v>
      </c>
      <c r="D130" s="34" t="s">
        <v>53</v>
      </c>
      <c r="E130" s="35">
        <v>0.0</v>
      </c>
      <c r="F130" s="35">
        <v>0.0</v>
      </c>
      <c r="G130" s="68">
        <v>108.98</v>
      </c>
      <c r="H130" s="37"/>
    </row>
    <row r="131">
      <c r="A131" s="60" t="s">
        <v>490</v>
      </c>
      <c r="B131" s="60" t="s">
        <v>491</v>
      </c>
      <c r="C131" s="34" t="s">
        <v>75</v>
      </c>
      <c r="D131" s="34" t="s">
        <v>53</v>
      </c>
      <c r="E131" s="35">
        <v>0.0</v>
      </c>
      <c r="F131" s="35">
        <v>0.0</v>
      </c>
      <c r="G131" s="68">
        <v>285.96</v>
      </c>
      <c r="H131" s="37"/>
    </row>
    <row r="132">
      <c r="A132" s="60" t="s">
        <v>492</v>
      </c>
      <c r="B132" s="60" t="s">
        <v>493</v>
      </c>
      <c r="C132" s="34" t="s">
        <v>75</v>
      </c>
      <c r="D132" s="34" t="s">
        <v>53</v>
      </c>
      <c r="E132" s="35">
        <v>0.0</v>
      </c>
      <c r="F132" s="35">
        <v>0.0</v>
      </c>
      <c r="G132" s="68">
        <v>220.96</v>
      </c>
      <c r="H132" s="37"/>
    </row>
    <row r="133">
      <c r="A133" s="60" t="s">
        <v>494</v>
      </c>
      <c r="B133" s="60" t="s">
        <v>495</v>
      </c>
      <c r="C133" s="34" t="s">
        <v>75</v>
      </c>
      <c r="D133" s="34" t="s">
        <v>53</v>
      </c>
      <c r="E133" s="35">
        <v>0.0</v>
      </c>
      <c r="F133" s="35">
        <v>0.0</v>
      </c>
      <c r="G133" s="68">
        <v>200.98</v>
      </c>
      <c r="H133" s="37"/>
    </row>
    <row r="134">
      <c r="A134" s="60" t="s">
        <v>496</v>
      </c>
      <c r="B134" s="60" t="s">
        <v>497</v>
      </c>
      <c r="C134" s="34" t="s">
        <v>75</v>
      </c>
      <c r="D134" s="34" t="s">
        <v>53</v>
      </c>
      <c r="E134" s="35">
        <v>0.0</v>
      </c>
      <c r="F134" s="35">
        <v>0.0</v>
      </c>
      <c r="G134" s="68">
        <v>91.98</v>
      </c>
      <c r="H134" s="37"/>
    </row>
    <row r="135">
      <c r="A135" s="60" t="s">
        <v>498</v>
      </c>
      <c r="B135" s="60" t="s">
        <v>499</v>
      </c>
      <c r="C135" s="34" t="s">
        <v>75</v>
      </c>
      <c r="D135" s="34" t="s">
        <v>53</v>
      </c>
      <c r="E135" s="35">
        <v>0.0</v>
      </c>
      <c r="F135" s="35">
        <v>0.0</v>
      </c>
      <c r="G135" s="68">
        <v>476.94</v>
      </c>
      <c r="H135" s="37"/>
    </row>
    <row r="136">
      <c r="A136" s="60" t="s">
        <v>500</v>
      </c>
      <c r="B136" s="60" t="s">
        <v>501</v>
      </c>
      <c r="C136" s="34" t="s">
        <v>75</v>
      </c>
      <c r="D136" s="34" t="s">
        <v>53</v>
      </c>
      <c r="E136" s="35">
        <v>0.0</v>
      </c>
      <c r="F136" s="35">
        <v>0.0</v>
      </c>
      <c r="G136" s="68">
        <v>207.97</v>
      </c>
      <c r="H136" s="37"/>
    </row>
    <row r="137">
      <c r="A137" s="60" t="s">
        <v>502</v>
      </c>
      <c r="B137" s="60" t="s">
        <v>503</v>
      </c>
      <c r="C137" s="34" t="s">
        <v>75</v>
      </c>
      <c r="D137" s="34" t="s">
        <v>53</v>
      </c>
      <c r="E137" s="35">
        <v>0.0</v>
      </c>
      <c r="F137" s="35">
        <v>0.0</v>
      </c>
      <c r="G137" s="68">
        <v>53.98</v>
      </c>
      <c r="H137" s="37"/>
    </row>
    <row r="138">
      <c r="A138" s="60" t="s">
        <v>504</v>
      </c>
      <c r="B138" s="60" t="s">
        <v>505</v>
      </c>
      <c r="C138" s="34" t="s">
        <v>75</v>
      </c>
      <c r="D138" s="34" t="s">
        <v>53</v>
      </c>
      <c r="E138" s="35">
        <v>0.0</v>
      </c>
      <c r="F138" s="35">
        <v>0.0</v>
      </c>
      <c r="G138" s="68">
        <v>200.98</v>
      </c>
      <c r="H138" s="37"/>
    </row>
    <row r="139">
      <c r="A139" s="60" t="s">
        <v>506</v>
      </c>
      <c r="B139" s="60" t="s">
        <v>507</v>
      </c>
      <c r="C139" s="34" t="s">
        <v>75</v>
      </c>
      <c r="D139" s="34" t="s">
        <v>53</v>
      </c>
      <c r="E139" s="35">
        <v>0.0</v>
      </c>
      <c r="F139" s="35">
        <v>0.0</v>
      </c>
      <c r="G139" s="68">
        <v>1012.26</v>
      </c>
      <c r="H139" s="37"/>
    </row>
    <row r="140">
      <c r="A140" s="60" t="s">
        <v>508</v>
      </c>
      <c r="B140" s="60" t="s">
        <v>509</v>
      </c>
      <c r="C140" s="34" t="s">
        <v>75</v>
      </c>
      <c r="D140" s="34" t="s">
        <v>53</v>
      </c>
      <c r="E140" s="35">
        <v>0.0</v>
      </c>
      <c r="F140" s="35">
        <v>0.0</v>
      </c>
      <c r="G140" s="68">
        <v>460.03</v>
      </c>
      <c r="H140" s="37"/>
    </row>
    <row r="141">
      <c r="A141" s="60" t="s">
        <v>1922</v>
      </c>
      <c r="B141" s="60" t="s">
        <v>1923</v>
      </c>
      <c r="C141" s="34" t="s">
        <v>75</v>
      </c>
      <c r="D141" s="34" t="s">
        <v>53</v>
      </c>
      <c r="E141" s="35">
        <v>0.0</v>
      </c>
      <c r="F141" s="35">
        <v>0.0</v>
      </c>
      <c r="G141" s="68">
        <v>125.97</v>
      </c>
      <c r="H141" s="37"/>
    </row>
    <row r="142">
      <c r="A142" s="60" t="s">
        <v>510</v>
      </c>
      <c r="B142" s="60" t="s">
        <v>511</v>
      </c>
      <c r="C142" s="34" t="s">
        <v>75</v>
      </c>
      <c r="D142" s="34" t="s">
        <v>53</v>
      </c>
      <c r="E142" s="35">
        <v>0.0</v>
      </c>
      <c r="F142" s="35">
        <v>0.0</v>
      </c>
      <c r="G142" s="68">
        <v>357.99</v>
      </c>
      <c r="H142" s="37"/>
    </row>
    <row r="143">
      <c r="A143" s="60" t="s">
        <v>1924</v>
      </c>
      <c r="B143" s="60" t="s">
        <v>1925</v>
      </c>
      <c r="C143" s="34" t="s">
        <v>75</v>
      </c>
      <c r="D143" s="34" t="s">
        <v>53</v>
      </c>
      <c r="E143" s="35">
        <v>0.0</v>
      </c>
      <c r="F143" s="35">
        <v>0.0</v>
      </c>
      <c r="G143" s="68">
        <v>326.95</v>
      </c>
      <c r="H143" s="37"/>
    </row>
    <row r="144">
      <c r="A144" s="60" t="s">
        <v>512</v>
      </c>
      <c r="B144" s="60" t="s">
        <v>513</v>
      </c>
      <c r="C144" s="34" t="s">
        <v>75</v>
      </c>
      <c r="D144" s="34" t="s">
        <v>53</v>
      </c>
      <c r="E144" s="35">
        <v>0.0</v>
      </c>
      <c r="F144" s="35">
        <v>0.0</v>
      </c>
      <c r="G144" s="68">
        <v>515.98</v>
      </c>
      <c r="H144" s="37"/>
    </row>
    <row r="145">
      <c r="A145" s="60" t="s">
        <v>514</v>
      </c>
      <c r="B145" s="60" t="s">
        <v>515</v>
      </c>
      <c r="C145" s="34" t="s">
        <v>75</v>
      </c>
      <c r="D145" s="34" t="s">
        <v>53</v>
      </c>
      <c r="E145" s="35">
        <v>0.0</v>
      </c>
      <c r="F145" s="35">
        <v>0.0</v>
      </c>
      <c r="G145" s="68">
        <v>125.97</v>
      </c>
      <c r="H145" s="37"/>
    </row>
    <row r="146">
      <c r="A146" s="60" t="s">
        <v>516</v>
      </c>
      <c r="B146" s="60" t="s">
        <v>517</v>
      </c>
      <c r="C146" s="34" t="s">
        <v>75</v>
      </c>
      <c r="D146" s="34" t="s">
        <v>53</v>
      </c>
      <c r="E146" s="35">
        <v>0.0</v>
      </c>
      <c r="F146" s="35">
        <v>0.0</v>
      </c>
      <c r="G146" s="68">
        <v>350.96</v>
      </c>
      <c r="H146" s="37"/>
    </row>
    <row r="147">
      <c r="A147" s="60" t="s">
        <v>518</v>
      </c>
      <c r="B147" s="60" t="s">
        <v>519</v>
      </c>
      <c r="C147" s="34" t="s">
        <v>75</v>
      </c>
      <c r="D147" s="34" t="s">
        <v>53</v>
      </c>
      <c r="E147" s="35">
        <v>0.0</v>
      </c>
      <c r="F147" s="35">
        <v>0.0</v>
      </c>
      <c r="G147" s="68">
        <v>561.93</v>
      </c>
      <c r="H147" s="37"/>
    </row>
    <row r="148">
      <c r="A148" s="60" t="s">
        <v>1926</v>
      </c>
      <c r="B148" s="60" t="s">
        <v>1927</v>
      </c>
      <c r="C148" s="34" t="s">
        <v>75</v>
      </c>
      <c r="D148" s="34" t="s">
        <v>53</v>
      </c>
      <c r="E148" s="35">
        <v>0.0</v>
      </c>
      <c r="F148" s="35">
        <v>0.0</v>
      </c>
      <c r="G148" s="68">
        <v>103.5</v>
      </c>
      <c r="H148" s="37"/>
    </row>
    <row r="149">
      <c r="A149" s="60" t="s">
        <v>522</v>
      </c>
      <c r="B149" s="60" t="s">
        <v>523</v>
      </c>
      <c r="C149" s="34" t="s">
        <v>75</v>
      </c>
      <c r="D149" s="34" t="s">
        <v>53</v>
      </c>
      <c r="E149" s="35">
        <v>0.0</v>
      </c>
      <c r="F149" s="35">
        <v>0.0</v>
      </c>
      <c r="G149" s="68">
        <v>217.97</v>
      </c>
      <c r="H149" s="37"/>
    </row>
    <row r="150">
      <c r="A150" s="60" t="s">
        <v>524</v>
      </c>
      <c r="B150" s="60" t="s">
        <v>525</v>
      </c>
      <c r="C150" s="34" t="s">
        <v>75</v>
      </c>
      <c r="D150" s="34" t="s">
        <v>53</v>
      </c>
      <c r="E150" s="35">
        <v>0.0</v>
      </c>
      <c r="F150" s="35">
        <v>0.0</v>
      </c>
      <c r="G150" s="68">
        <v>16520.58</v>
      </c>
      <c r="H150" s="37"/>
    </row>
    <row r="151">
      <c r="A151" s="60" t="s">
        <v>526</v>
      </c>
      <c r="B151" s="60" t="s">
        <v>527</v>
      </c>
      <c r="C151" s="34" t="s">
        <v>75</v>
      </c>
      <c r="D151" s="34" t="s">
        <v>53</v>
      </c>
      <c r="E151" s="35">
        <v>0.0</v>
      </c>
      <c r="F151" s="35">
        <v>0.0</v>
      </c>
      <c r="G151" s="68">
        <v>108.98</v>
      </c>
      <c r="H151" s="37"/>
    </row>
    <row r="152">
      <c r="A152" s="60" t="s">
        <v>528</v>
      </c>
      <c r="B152" s="60" t="s">
        <v>529</v>
      </c>
      <c r="C152" s="34" t="s">
        <v>75</v>
      </c>
      <c r="D152" s="34" t="s">
        <v>53</v>
      </c>
      <c r="E152" s="35">
        <v>0.0</v>
      </c>
      <c r="F152" s="35">
        <v>0.0</v>
      </c>
      <c r="G152" s="68">
        <v>152.97</v>
      </c>
      <c r="H152" s="37"/>
    </row>
    <row r="153">
      <c r="A153" s="60" t="s">
        <v>530</v>
      </c>
      <c r="B153" s="60" t="s">
        <v>531</v>
      </c>
      <c r="C153" s="34" t="s">
        <v>75</v>
      </c>
      <c r="D153" s="34" t="s">
        <v>53</v>
      </c>
      <c r="E153" s="35">
        <v>0.0</v>
      </c>
      <c r="F153" s="35">
        <v>0.0</v>
      </c>
      <c r="G153" s="68">
        <v>511.02</v>
      </c>
      <c r="H153" s="37"/>
    </row>
    <row r="154">
      <c r="A154" s="60" t="s">
        <v>532</v>
      </c>
      <c r="B154" s="60" t="s">
        <v>533</v>
      </c>
      <c r="C154" s="34" t="s">
        <v>75</v>
      </c>
      <c r="D154" s="34" t="s">
        <v>53</v>
      </c>
      <c r="E154" s="35">
        <v>0.0</v>
      </c>
      <c r="F154" s="35">
        <v>0.0</v>
      </c>
      <c r="G154" s="68">
        <v>200.98</v>
      </c>
      <c r="H154" s="37"/>
    </row>
    <row r="155">
      <c r="A155" s="60" t="s">
        <v>534</v>
      </c>
      <c r="B155" s="60" t="s">
        <v>535</v>
      </c>
      <c r="C155" s="34" t="s">
        <v>75</v>
      </c>
      <c r="D155" s="34" t="s">
        <v>53</v>
      </c>
      <c r="E155" s="35">
        <v>0.0</v>
      </c>
      <c r="F155" s="35">
        <v>0.0</v>
      </c>
      <c r="G155" s="68">
        <v>50.99</v>
      </c>
      <c r="H155" s="37"/>
    </row>
    <row r="156">
      <c r="A156" s="60" t="s">
        <v>536</v>
      </c>
      <c r="B156" s="60" t="s">
        <v>537</v>
      </c>
      <c r="C156" s="34" t="s">
        <v>75</v>
      </c>
      <c r="D156" s="34" t="s">
        <v>53</v>
      </c>
      <c r="E156" s="35">
        <v>0.0</v>
      </c>
      <c r="F156" s="35">
        <v>0.0</v>
      </c>
      <c r="G156" s="68">
        <v>200.98</v>
      </c>
      <c r="H156" s="37"/>
    </row>
    <row r="157">
      <c r="A157" s="60" t="s">
        <v>538</v>
      </c>
      <c r="B157" s="60" t="s">
        <v>539</v>
      </c>
      <c r="C157" s="34" t="s">
        <v>75</v>
      </c>
      <c r="D157" s="34" t="s">
        <v>53</v>
      </c>
      <c r="E157" s="35">
        <v>0.0</v>
      </c>
      <c r="F157" s="35">
        <v>0.0</v>
      </c>
      <c r="G157" s="68">
        <v>340.96</v>
      </c>
      <c r="H157" s="37"/>
    </row>
    <row r="158">
      <c r="A158" s="60" t="s">
        <v>542</v>
      </c>
      <c r="B158" s="60" t="s">
        <v>543</v>
      </c>
      <c r="C158" s="34" t="s">
        <v>75</v>
      </c>
      <c r="D158" s="34" t="s">
        <v>53</v>
      </c>
      <c r="E158" s="35">
        <v>0.0</v>
      </c>
      <c r="F158" s="35">
        <v>0.0</v>
      </c>
      <c r="G158" s="68">
        <v>290.0</v>
      </c>
      <c r="H158" s="37"/>
    </row>
    <row r="159">
      <c r="A159" s="60" t="s">
        <v>544</v>
      </c>
      <c r="B159" s="60" t="s">
        <v>545</v>
      </c>
      <c r="C159" s="34" t="s">
        <v>75</v>
      </c>
      <c r="D159" s="34" t="s">
        <v>53</v>
      </c>
      <c r="E159" s="35">
        <v>0.0</v>
      </c>
      <c r="F159" s="35">
        <v>0.0</v>
      </c>
      <c r="G159" s="68">
        <v>316.97</v>
      </c>
      <c r="H159" s="37"/>
    </row>
    <row r="160">
      <c r="A160" s="60" t="s">
        <v>546</v>
      </c>
      <c r="B160" s="60" t="s">
        <v>547</v>
      </c>
      <c r="C160" s="34" t="s">
        <v>75</v>
      </c>
      <c r="D160" s="34" t="s">
        <v>53</v>
      </c>
      <c r="E160" s="35">
        <v>0.0</v>
      </c>
      <c r="F160" s="35">
        <v>0.0</v>
      </c>
      <c r="G160" s="68">
        <v>251.96</v>
      </c>
      <c r="H160" s="37"/>
    </row>
    <row r="161">
      <c r="A161" s="60" t="s">
        <v>1928</v>
      </c>
      <c r="B161" s="60" t="s">
        <v>1929</v>
      </c>
      <c r="C161" s="34" t="s">
        <v>75</v>
      </c>
      <c r="D161" s="34" t="s">
        <v>53</v>
      </c>
      <c r="E161" s="35">
        <v>0.0</v>
      </c>
      <c r="F161" s="35">
        <v>0.0</v>
      </c>
      <c r="G161" s="68">
        <v>108.98</v>
      </c>
      <c r="H161" s="37"/>
    </row>
    <row r="162">
      <c r="A162" s="60" t="s">
        <v>548</v>
      </c>
      <c r="B162" s="60" t="s">
        <v>549</v>
      </c>
      <c r="C162" s="34" t="s">
        <v>75</v>
      </c>
      <c r="D162" s="34" t="s">
        <v>53</v>
      </c>
      <c r="E162" s="35">
        <v>0.0</v>
      </c>
      <c r="F162" s="35">
        <v>0.0</v>
      </c>
      <c r="G162" s="68">
        <v>460.03</v>
      </c>
      <c r="H162" s="37"/>
    </row>
    <row r="163">
      <c r="A163" s="60" t="s">
        <v>550</v>
      </c>
      <c r="B163" s="60" t="s">
        <v>551</v>
      </c>
      <c r="C163" s="34" t="s">
        <v>75</v>
      </c>
      <c r="D163" s="34" t="s">
        <v>53</v>
      </c>
      <c r="E163" s="35">
        <v>0.0</v>
      </c>
      <c r="F163" s="35">
        <v>0.0</v>
      </c>
      <c r="G163" s="68">
        <v>234.97</v>
      </c>
      <c r="H163" s="37"/>
    </row>
    <row r="164">
      <c r="A164" s="60" t="s">
        <v>552</v>
      </c>
      <c r="B164" s="60" t="s">
        <v>553</v>
      </c>
      <c r="C164" s="34" t="s">
        <v>75</v>
      </c>
      <c r="D164" s="34" t="s">
        <v>53</v>
      </c>
      <c r="E164" s="35">
        <v>0.0</v>
      </c>
      <c r="F164" s="35">
        <v>0.0</v>
      </c>
      <c r="G164" s="68">
        <v>3950.07</v>
      </c>
      <c r="H164" s="37"/>
    </row>
    <row r="165">
      <c r="A165" s="60" t="s">
        <v>556</v>
      </c>
      <c r="B165" s="60" t="s">
        <v>557</v>
      </c>
      <c r="C165" s="34" t="s">
        <v>75</v>
      </c>
      <c r="D165" s="34" t="s">
        <v>53</v>
      </c>
      <c r="E165" s="35">
        <v>0.0</v>
      </c>
      <c r="F165" s="35">
        <v>0.0</v>
      </c>
      <c r="G165" s="68">
        <v>309.95</v>
      </c>
      <c r="H165" s="37"/>
    </row>
    <row r="166">
      <c r="A166" s="60" t="s">
        <v>1930</v>
      </c>
      <c r="B166" s="60" t="s">
        <v>1931</v>
      </c>
      <c r="C166" s="34" t="s">
        <v>75</v>
      </c>
      <c r="D166" s="34" t="s">
        <v>53</v>
      </c>
      <c r="E166" s="35">
        <v>0.0</v>
      </c>
      <c r="F166" s="35">
        <v>0.0</v>
      </c>
      <c r="G166" s="68">
        <v>200.98</v>
      </c>
      <c r="H166" s="37"/>
    </row>
    <row r="167">
      <c r="A167" s="60" t="s">
        <v>558</v>
      </c>
      <c r="B167" s="60" t="s">
        <v>559</v>
      </c>
      <c r="C167" s="34" t="s">
        <v>75</v>
      </c>
      <c r="D167" s="34" t="s">
        <v>53</v>
      </c>
      <c r="E167" s="35">
        <v>0.0</v>
      </c>
      <c r="F167" s="35">
        <v>0.0</v>
      </c>
      <c r="G167" s="68">
        <v>485.97</v>
      </c>
      <c r="H167" s="37"/>
    </row>
    <row r="168">
      <c r="A168" s="60" t="s">
        <v>560</v>
      </c>
      <c r="B168" s="60" t="s">
        <v>561</v>
      </c>
      <c r="C168" s="34" t="s">
        <v>75</v>
      </c>
      <c r="D168" s="34" t="s">
        <v>53</v>
      </c>
      <c r="E168" s="35">
        <v>0.0</v>
      </c>
      <c r="F168" s="35">
        <v>0.0</v>
      </c>
      <c r="G168" s="68">
        <v>268.96</v>
      </c>
      <c r="H168" s="37"/>
    </row>
    <row r="169">
      <c r="A169" s="60" t="s">
        <v>562</v>
      </c>
      <c r="B169" s="60" t="s">
        <v>563</v>
      </c>
      <c r="C169" s="34" t="s">
        <v>75</v>
      </c>
      <c r="D169" s="34" t="s">
        <v>53</v>
      </c>
      <c r="E169" s="35">
        <v>0.0</v>
      </c>
      <c r="F169" s="35">
        <v>0.0</v>
      </c>
      <c r="G169" s="68">
        <v>84.99</v>
      </c>
      <c r="H169" s="37"/>
    </row>
    <row r="170">
      <c r="A170" s="60" t="s">
        <v>564</v>
      </c>
      <c r="B170" s="60" t="s">
        <v>565</v>
      </c>
      <c r="C170" s="34" t="s">
        <v>75</v>
      </c>
      <c r="D170" s="34" t="s">
        <v>53</v>
      </c>
      <c r="E170" s="35">
        <v>0.0</v>
      </c>
      <c r="F170" s="35">
        <v>0.0</v>
      </c>
      <c r="G170" s="68">
        <v>91.98</v>
      </c>
      <c r="H170" s="37"/>
    </row>
    <row r="171">
      <c r="A171" s="60" t="s">
        <v>566</v>
      </c>
      <c r="B171" s="60" t="s">
        <v>567</v>
      </c>
      <c r="C171" s="34" t="s">
        <v>75</v>
      </c>
      <c r="D171" s="34" t="s">
        <v>53</v>
      </c>
      <c r="E171" s="35">
        <v>0.0</v>
      </c>
      <c r="F171" s="35">
        <v>0.0</v>
      </c>
      <c r="G171" s="68">
        <v>200.98</v>
      </c>
      <c r="H171" s="37"/>
    </row>
    <row r="172">
      <c r="A172" s="60" t="s">
        <v>1932</v>
      </c>
      <c r="B172" s="60" t="s">
        <v>1933</v>
      </c>
      <c r="C172" s="34" t="s">
        <v>75</v>
      </c>
      <c r="D172" s="34" t="s">
        <v>53</v>
      </c>
      <c r="E172" s="35">
        <v>0.0</v>
      </c>
      <c r="F172" s="35">
        <v>0.0</v>
      </c>
      <c r="G172" s="68">
        <v>217.97</v>
      </c>
      <c r="H172" s="37"/>
    </row>
    <row r="173">
      <c r="A173" s="60" t="s">
        <v>568</v>
      </c>
      <c r="B173" s="60" t="s">
        <v>569</v>
      </c>
      <c r="C173" s="34" t="s">
        <v>75</v>
      </c>
      <c r="D173" s="34" t="s">
        <v>53</v>
      </c>
      <c r="E173" s="35">
        <v>0.0</v>
      </c>
      <c r="F173" s="35">
        <v>0.0</v>
      </c>
      <c r="G173" s="68">
        <v>2484.0</v>
      </c>
      <c r="H173" s="37"/>
    </row>
    <row r="174">
      <c r="A174" s="60" t="s">
        <v>1934</v>
      </c>
      <c r="B174" s="60" t="s">
        <v>1935</v>
      </c>
      <c r="C174" s="34" t="s">
        <v>75</v>
      </c>
      <c r="D174" s="34" t="s">
        <v>53</v>
      </c>
      <c r="E174" s="35">
        <v>0.0</v>
      </c>
      <c r="F174" s="35">
        <v>0.0</v>
      </c>
      <c r="G174" s="68">
        <v>460.03</v>
      </c>
      <c r="H174" s="37"/>
    </row>
    <row r="175">
      <c r="A175" s="60" t="s">
        <v>570</v>
      </c>
      <c r="B175" s="60" t="s">
        <v>571</v>
      </c>
      <c r="C175" s="34" t="s">
        <v>75</v>
      </c>
      <c r="D175" s="34" t="s">
        <v>53</v>
      </c>
      <c r="E175" s="35">
        <v>0.0</v>
      </c>
      <c r="F175" s="35">
        <v>0.0</v>
      </c>
      <c r="G175" s="68">
        <v>309.95</v>
      </c>
      <c r="H175" s="37"/>
    </row>
    <row r="176">
      <c r="A176" s="60" t="s">
        <v>572</v>
      </c>
      <c r="B176" s="60" t="s">
        <v>573</v>
      </c>
      <c r="C176" s="34" t="s">
        <v>75</v>
      </c>
      <c r="D176" s="34" t="s">
        <v>53</v>
      </c>
      <c r="E176" s="35">
        <v>0.0</v>
      </c>
      <c r="F176" s="35">
        <v>0.0</v>
      </c>
      <c r="G176" s="68">
        <v>149.98</v>
      </c>
      <c r="H176" s="37"/>
    </row>
    <row r="177">
      <c r="A177" s="60" t="s">
        <v>576</v>
      </c>
      <c r="B177" s="60" t="s">
        <v>577</v>
      </c>
      <c r="C177" s="34" t="s">
        <v>75</v>
      </c>
      <c r="D177" s="34" t="s">
        <v>53</v>
      </c>
      <c r="E177" s="35">
        <v>0.0</v>
      </c>
      <c r="F177" s="35">
        <v>0.0</v>
      </c>
      <c r="G177" s="68">
        <v>108.98</v>
      </c>
      <c r="H177" s="37"/>
    </row>
    <row r="178">
      <c r="A178" s="60" t="s">
        <v>578</v>
      </c>
      <c r="B178" s="60" t="s">
        <v>579</v>
      </c>
      <c r="C178" s="34" t="s">
        <v>75</v>
      </c>
      <c r="D178" s="34" t="s">
        <v>53</v>
      </c>
      <c r="E178" s="35">
        <v>0.0</v>
      </c>
      <c r="F178" s="35">
        <v>0.0</v>
      </c>
      <c r="G178" s="68">
        <v>183.98</v>
      </c>
      <c r="H178" s="37"/>
    </row>
    <row r="179">
      <c r="A179" s="60" t="s">
        <v>580</v>
      </c>
      <c r="B179" s="60" t="s">
        <v>581</v>
      </c>
      <c r="C179" s="34" t="s">
        <v>75</v>
      </c>
      <c r="D179" s="34" t="s">
        <v>53</v>
      </c>
      <c r="E179" s="35">
        <v>0.0</v>
      </c>
      <c r="F179" s="35">
        <v>0.0</v>
      </c>
      <c r="G179" s="68">
        <v>108.98</v>
      </c>
      <c r="H179" s="37"/>
    </row>
    <row r="180">
      <c r="A180" s="60" t="s">
        <v>582</v>
      </c>
      <c r="B180" s="60" t="s">
        <v>583</v>
      </c>
      <c r="C180" s="34" t="s">
        <v>75</v>
      </c>
      <c r="D180" s="34" t="s">
        <v>53</v>
      </c>
      <c r="E180" s="35">
        <v>0.0</v>
      </c>
      <c r="F180" s="35">
        <v>0.0</v>
      </c>
      <c r="G180" s="68">
        <v>108.98</v>
      </c>
      <c r="H180" s="37"/>
    </row>
    <row r="181">
      <c r="A181" s="60" t="s">
        <v>1936</v>
      </c>
      <c r="B181" s="60" t="s">
        <v>1937</v>
      </c>
      <c r="C181" s="34" t="s">
        <v>75</v>
      </c>
      <c r="D181" s="34" t="s">
        <v>53</v>
      </c>
      <c r="E181" s="35">
        <v>0.0</v>
      </c>
      <c r="F181" s="35">
        <v>0.0</v>
      </c>
      <c r="G181" s="68">
        <v>234.97</v>
      </c>
      <c r="H181" s="37"/>
    </row>
    <row r="182">
      <c r="A182" s="60" t="s">
        <v>586</v>
      </c>
      <c r="B182" s="60" t="s">
        <v>587</v>
      </c>
      <c r="C182" s="34" t="s">
        <v>75</v>
      </c>
      <c r="D182" s="34" t="s">
        <v>53</v>
      </c>
      <c r="E182" s="35">
        <v>0.0</v>
      </c>
      <c r="F182" s="35">
        <v>0.0</v>
      </c>
      <c r="G182" s="68">
        <v>493.93</v>
      </c>
      <c r="H182" s="37"/>
    </row>
    <row r="183">
      <c r="A183" s="60" t="s">
        <v>588</v>
      </c>
      <c r="B183" s="60" t="s">
        <v>589</v>
      </c>
      <c r="C183" s="34" t="s">
        <v>75</v>
      </c>
      <c r="D183" s="34" t="s">
        <v>53</v>
      </c>
      <c r="E183" s="35">
        <v>0.0</v>
      </c>
      <c r="F183" s="35">
        <v>0.0</v>
      </c>
      <c r="G183" s="68">
        <v>527.93</v>
      </c>
      <c r="H183" s="37"/>
    </row>
    <row r="184">
      <c r="A184" s="60" t="s">
        <v>1777</v>
      </c>
      <c r="B184" s="60" t="s">
        <v>1778</v>
      </c>
      <c r="C184" s="34" t="s">
        <v>75</v>
      </c>
      <c r="D184" s="34" t="s">
        <v>53</v>
      </c>
      <c r="E184" s="35">
        <v>0.0</v>
      </c>
      <c r="F184" s="35">
        <v>0.0</v>
      </c>
      <c r="G184" s="68">
        <v>125.97</v>
      </c>
      <c r="H184" s="37"/>
    </row>
    <row r="185">
      <c r="A185" s="60" t="s">
        <v>590</v>
      </c>
      <c r="B185" s="60" t="s">
        <v>591</v>
      </c>
      <c r="C185" s="34" t="s">
        <v>75</v>
      </c>
      <c r="D185" s="34" t="s">
        <v>53</v>
      </c>
      <c r="E185" s="35">
        <v>0.0</v>
      </c>
      <c r="F185" s="35">
        <v>0.0</v>
      </c>
      <c r="G185" s="68">
        <v>108.98</v>
      </c>
      <c r="H185" s="37"/>
    </row>
    <row r="186">
      <c r="A186" s="60" t="s">
        <v>592</v>
      </c>
      <c r="B186" s="60" t="s">
        <v>593</v>
      </c>
      <c r="C186" s="34" t="s">
        <v>75</v>
      </c>
      <c r="D186" s="34" t="s">
        <v>53</v>
      </c>
      <c r="E186" s="35">
        <v>0.0</v>
      </c>
      <c r="F186" s="35">
        <v>0.0</v>
      </c>
      <c r="G186" s="68">
        <v>74.99</v>
      </c>
      <c r="H186" s="37"/>
    </row>
    <row r="187">
      <c r="A187" s="60" t="s">
        <v>594</v>
      </c>
      <c r="B187" s="60" t="s">
        <v>595</v>
      </c>
      <c r="C187" s="34" t="s">
        <v>75</v>
      </c>
      <c r="D187" s="34" t="s">
        <v>53</v>
      </c>
      <c r="E187" s="35">
        <v>0.0</v>
      </c>
      <c r="F187" s="35">
        <v>0.0</v>
      </c>
      <c r="G187" s="68">
        <v>217.97</v>
      </c>
      <c r="H187" s="37"/>
    </row>
    <row r="188">
      <c r="A188" s="60" t="s">
        <v>1938</v>
      </c>
      <c r="B188" s="60" t="s">
        <v>1939</v>
      </c>
      <c r="C188" s="34" t="s">
        <v>75</v>
      </c>
      <c r="D188" s="34" t="s">
        <v>53</v>
      </c>
      <c r="E188" s="35">
        <v>0.0</v>
      </c>
      <c r="F188" s="35">
        <v>0.0</v>
      </c>
      <c r="G188" s="68">
        <v>108.98</v>
      </c>
      <c r="H188" s="37"/>
    </row>
    <row r="189">
      <c r="A189" s="60" t="s">
        <v>596</v>
      </c>
      <c r="B189" s="60" t="s">
        <v>597</v>
      </c>
      <c r="C189" s="34" t="s">
        <v>75</v>
      </c>
      <c r="D189" s="34" t="s">
        <v>53</v>
      </c>
      <c r="E189" s="35">
        <v>0.0</v>
      </c>
      <c r="F189" s="35">
        <v>0.0</v>
      </c>
      <c r="G189" s="68">
        <v>108.98</v>
      </c>
      <c r="H189" s="37"/>
    </row>
    <row r="190">
      <c r="A190" s="60" t="s">
        <v>598</v>
      </c>
      <c r="B190" s="60" t="s">
        <v>599</v>
      </c>
      <c r="C190" s="34" t="s">
        <v>75</v>
      </c>
      <c r="D190" s="34" t="s">
        <v>53</v>
      </c>
      <c r="E190" s="35">
        <v>0.0</v>
      </c>
      <c r="F190" s="35">
        <v>0.0</v>
      </c>
      <c r="G190" s="68">
        <v>292.96</v>
      </c>
      <c r="H190" s="37"/>
    </row>
    <row r="191">
      <c r="A191" s="60" t="s">
        <v>1940</v>
      </c>
      <c r="B191" s="60" t="s">
        <v>1941</v>
      </c>
      <c r="C191" s="34" t="s">
        <v>75</v>
      </c>
      <c r="D191" s="34" t="s">
        <v>53</v>
      </c>
      <c r="E191" s="35">
        <v>0.0</v>
      </c>
      <c r="F191" s="35">
        <v>0.0</v>
      </c>
      <c r="G191" s="68">
        <v>108.98</v>
      </c>
      <c r="H191" s="37"/>
    </row>
    <row r="192">
      <c r="A192" s="60" t="s">
        <v>600</v>
      </c>
      <c r="B192" s="60" t="s">
        <v>601</v>
      </c>
      <c r="C192" s="34" t="s">
        <v>75</v>
      </c>
      <c r="D192" s="34" t="s">
        <v>53</v>
      </c>
      <c r="E192" s="35">
        <v>0.0</v>
      </c>
      <c r="F192" s="35">
        <v>0.0</v>
      </c>
      <c r="G192" s="68">
        <v>74.99</v>
      </c>
      <c r="H192" s="37"/>
    </row>
    <row r="193">
      <c r="A193" s="60" t="s">
        <v>602</v>
      </c>
      <c r="B193" s="60" t="s">
        <v>603</v>
      </c>
      <c r="C193" s="34" t="s">
        <v>75</v>
      </c>
      <c r="D193" s="34" t="s">
        <v>53</v>
      </c>
      <c r="E193" s="35">
        <v>0.0</v>
      </c>
      <c r="F193" s="35">
        <v>0.0</v>
      </c>
      <c r="G193" s="68">
        <v>2400.01</v>
      </c>
      <c r="H193" s="37"/>
    </row>
    <row r="194">
      <c r="A194" s="60" t="s">
        <v>604</v>
      </c>
      <c r="B194" s="60" t="s">
        <v>605</v>
      </c>
      <c r="C194" s="34" t="s">
        <v>75</v>
      </c>
      <c r="D194" s="34" t="s">
        <v>53</v>
      </c>
      <c r="E194" s="35">
        <v>0.0</v>
      </c>
      <c r="F194" s="35">
        <v>0.0</v>
      </c>
      <c r="G194" s="68">
        <v>108.98</v>
      </c>
      <c r="H194" s="37"/>
    </row>
    <row r="195">
      <c r="A195" s="60" t="s">
        <v>606</v>
      </c>
      <c r="B195" s="60" t="s">
        <v>1942</v>
      </c>
      <c r="C195" s="34" t="s">
        <v>75</v>
      </c>
      <c r="D195" s="34" t="s">
        <v>53</v>
      </c>
      <c r="E195" s="35">
        <v>0.0</v>
      </c>
      <c r="F195" s="35">
        <v>0.0</v>
      </c>
      <c r="G195" s="68">
        <v>562.02</v>
      </c>
      <c r="H195" s="37"/>
    </row>
    <row r="196">
      <c r="A196" s="60" t="s">
        <v>1943</v>
      </c>
      <c r="B196" s="60" t="s">
        <v>1944</v>
      </c>
      <c r="C196" s="34" t="s">
        <v>75</v>
      </c>
      <c r="D196" s="34" t="s">
        <v>53</v>
      </c>
      <c r="E196" s="35">
        <v>0.0</v>
      </c>
      <c r="F196" s="35">
        <v>0.0</v>
      </c>
      <c r="G196" s="68">
        <v>149.98</v>
      </c>
      <c r="H196" s="37"/>
    </row>
    <row r="197">
      <c r="A197" s="60" t="s">
        <v>1945</v>
      </c>
      <c r="B197" s="60" t="s">
        <v>1946</v>
      </c>
      <c r="C197" s="34" t="s">
        <v>75</v>
      </c>
      <c r="D197" s="34" t="s">
        <v>53</v>
      </c>
      <c r="E197" s="35">
        <v>0.0</v>
      </c>
      <c r="F197" s="35">
        <v>0.0</v>
      </c>
      <c r="G197" s="68">
        <v>217.97</v>
      </c>
      <c r="H197" s="37"/>
    </row>
    <row r="198">
      <c r="A198" s="60" t="s">
        <v>608</v>
      </c>
      <c r="B198" s="60" t="s">
        <v>609</v>
      </c>
      <c r="C198" s="34" t="s">
        <v>75</v>
      </c>
      <c r="D198" s="34" t="s">
        <v>53</v>
      </c>
      <c r="E198" s="35">
        <v>0.0</v>
      </c>
      <c r="F198" s="35">
        <v>0.0</v>
      </c>
      <c r="G198" s="68">
        <v>217.97</v>
      </c>
      <c r="H198" s="37"/>
    </row>
    <row r="199">
      <c r="A199" s="60" t="s">
        <v>610</v>
      </c>
      <c r="B199" s="60" t="s">
        <v>611</v>
      </c>
      <c r="C199" s="34" t="s">
        <v>75</v>
      </c>
      <c r="D199" s="34" t="s">
        <v>53</v>
      </c>
      <c r="E199" s="35">
        <v>0.0</v>
      </c>
      <c r="F199" s="35">
        <v>0.0</v>
      </c>
      <c r="G199" s="68">
        <v>470.47</v>
      </c>
      <c r="H199" s="37"/>
    </row>
    <row r="200">
      <c r="A200" s="60" t="s">
        <v>612</v>
      </c>
      <c r="B200" s="60" t="s">
        <v>613</v>
      </c>
      <c r="C200" s="34" t="s">
        <v>75</v>
      </c>
      <c r="D200" s="34" t="s">
        <v>53</v>
      </c>
      <c r="E200" s="35">
        <v>0.0</v>
      </c>
      <c r="F200" s="35">
        <v>0.0</v>
      </c>
      <c r="G200" s="68">
        <v>1006.25</v>
      </c>
      <c r="H200" s="37"/>
    </row>
    <row r="201">
      <c r="A201" s="60" t="s">
        <v>1947</v>
      </c>
      <c r="B201" s="60" t="s">
        <v>1948</v>
      </c>
      <c r="C201" s="34" t="s">
        <v>75</v>
      </c>
      <c r="D201" s="34" t="s">
        <v>53</v>
      </c>
      <c r="E201" s="35">
        <v>0.0</v>
      </c>
      <c r="F201" s="35">
        <v>0.0</v>
      </c>
      <c r="G201" s="68">
        <v>217.97</v>
      </c>
      <c r="H201" s="37"/>
    </row>
    <row r="202">
      <c r="A202" s="60" t="s">
        <v>1949</v>
      </c>
      <c r="B202" s="60" t="s">
        <v>1950</v>
      </c>
      <c r="C202" s="34" t="s">
        <v>75</v>
      </c>
      <c r="D202" s="34" t="s">
        <v>53</v>
      </c>
      <c r="E202" s="35">
        <v>0.0</v>
      </c>
      <c r="F202" s="35">
        <v>0.0</v>
      </c>
      <c r="G202" s="68">
        <v>108.98</v>
      </c>
      <c r="H202" s="37"/>
    </row>
    <row r="203">
      <c r="A203" s="60" t="s">
        <v>614</v>
      </c>
      <c r="B203" s="60" t="s">
        <v>615</v>
      </c>
      <c r="C203" s="34" t="s">
        <v>75</v>
      </c>
      <c r="D203" s="34" t="s">
        <v>53</v>
      </c>
      <c r="E203" s="35">
        <v>0.0</v>
      </c>
      <c r="F203" s="35">
        <v>0.0</v>
      </c>
      <c r="G203" s="68">
        <v>91.98</v>
      </c>
      <c r="H203" s="37"/>
    </row>
    <row r="204">
      <c r="A204" s="60" t="s">
        <v>616</v>
      </c>
      <c r="B204" s="60" t="s">
        <v>617</v>
      </c>
      <c r="C204" s="34" t="s">
        <v>75</v>
      </c>
      <c r="D204" s="34" t="s">
        <v>53</v>
      </c>
      <c r="E204" s="35">
        <v>0.0</v>
      </c>
      <c r="F204" s="35">
        <v>0.0</v>
      </c>
      <c r="G204" s="68">
        <v>108.98</v>
      </c>
      <c r="H204" s="37"/>
    </row>
    <row r="205">
      <c r="A205" s="60" t="s">
        <v>618</v>
      </c>
      <c r="B205" s="60" t="s">
        <v>619</v>
      </c>
      <c r="C205" s="34" t="s">
        <v>75</v>
      </c>
      <c r="D205" s="34" t="s">
        <v>53</v>
      </c>
      <c r="E205" s="35">
        <v>0.0</v>
      </c>
      <c r="F205" s="35">
        <v>0.0</v>
      </c>
      <c r="G205" s="68">
        <v>50.99</v>
      </c>
      <c r="H205" s="37"/>
    </row>
    <row r="206">
      <c r="A206" s="60" t="s">
        <v>620</v>
      </c>
      <c r="B206" s="60" t="s">
        <v>621</v>
      </c>
      <c r="C206" s="34" t="s">
        <v>75</v>
      </c>
      <c r="D206" s="34" t="s">
        <v>53</v>
      </c>
      <c r="E206" s="35">
        <v>0.0</v>
      </c>
      <c r="F206" s="35">
        <v>0.0</v>
      </c>
      <c r="G206" s="68">
        <v>326.95</v>
      </c>
      <c r="H206" s="37"/>
    </row>
    <row r="207">
      <c r="A207" s="60" t="s">
        <v>622</v>
      </c>
      <c r="B207" s="60" t="s">
        <v>623</v>
      </c>
      <c r="C207" s="34" t="s">
        <v>75</v>
      </c>
      <c r="D207" s="34" t="s">
        <v>53</v>
      </c>
      <c r="E207" s="35">
        <v>0.0</v>
      </c>
      <c r="F207" s="35">
        <v>0.0</v>
      </c>
      <c r="G207" s="68">
        <v>217.97</v>
      </c>
      <c r="H207" s="37"/>
    </row>
    <row r="208">
      <c r="A208" s="60" t="s">
        <v>624</v>
      </c>
      <c r="B208" s="60" t="s">
        <v>625</v>
      </c>
      <c r="C208" s="34" t="s">
        <v>75</v>
      </c>
      <c r="D208" s="34" t="s">
        <v>53</v>
      </c>
      <c r="E208" s="35">
        <v>0.0</v>
      </c>
      <c r="F208" s="35">
        <v>0.0</v>
      </c>
      <c r="G208" s="68">
        <v>1125.06</v>
      </c>
      <c r="H208" s="37"/>
    </row>
    <row r="209">
      <c r="A209" s="60" t="s">
        <v>626</v>
      </c>
      <c r="B209" s="60" t="s">
        <v>627</v>
      </c>
      <c r="C209" s="34" t="s">
        <v>75</v>
      </c>
      <c r="D209" s="34" t="s">
        <v>53</v>
      </c>
      <c r="E209" s="35">
        <v>0.0</v>
      </c>
      <c r="F209" s="35">
        <v>0.0</v>
      </c>
      <c r="G209" s="68">
        <v>84.98</v>
      </c>
      <c r="H209" s="37"/>
    </row>
    <row r="210">
      <c r="A210" s="60" t="s">
        <v>628</v>
      </c>
      <c r="B210" s="60" t="s">
        <v>629</v>
      </c>
      <c r="C210" s="34" t="s">
        <v>75</v>
      </c>
      <c r="D210" s="34" t="s">
        <v>53</v>
      </c>
      <c r="E210" s="35">
        <v>0.0</v>
      </c>
      <c r="F210" s="35">
        <v>0.0</v>
      </c>
      <c r="G210" s="68">
        <v>180.35</v>
      </c>
      <c r="H210" s="37"/>
    </row>
    <row r="211">
      <c r="A211" s="60" t="s">
        <v>630</v>
      </c>
      <c r="B211" s="60" t="s">
        <v>631</v>
      </c>
      <c r="C211" s="34" t="s">
        <v>75</v>
      </c>
      <c r="D211" s="34" t="s">
        <v>53</v>
      </c>
      <c r="E211" s="35">
        <v>0.0</v>
      </c>
      <c r="F211" s="35">
        <v>0.0</v>
      </c>
      <c r="G211" s="68">
        <v>4086.79</v>
      </c>
      <c r="H211" s="37"/>
    </row>
    <row r="212">
      <c r="A212" s="60" t="s">
        <v>632</v>
      </c>
      <c r="B212" s="60" t="s">
        <v>633</v>
      </c>
      <c r="C212" s="34" t="s">
        <v>75</v>
      </c>
      <c r="D212" s="34" t="s">
        <v>53</v>
      </c>
      <c r="E212" s="35">
        <v>0.0</v>
      </c>
      <c r="F212" s="35">
        <v>0.0</v>
      </c>
      <c r="G212" s="68">
        <v>1637.9</v>
      </c>
      <c r="H212" s="37"/>
    </row>
    <row r="213">
      <c r="A213" s="60" t="s">
        <v>634</v>
      </c>
      <c r="B213" s="60" t="s">
        <v>635</v>
      </c>
      <c r="C213" s="34" t="s">
        <v>75</v>
      </c>
      <c r="D213" s="34" t="s">
        <v>53</v>
      </c>
      <c r="E213" s="35">
        <v>0.0</v>
      </c>
      <c r="F213" s="35">
        <v>0.0</v>
      </c>
      <c r="G213" s="68">
        <v>142.97</v>
      </c>
      <c r="H213" s="37"/>
    </row>
    <row r="214">
      <c r="A214" s="60" t="s">
        <v>636</v>
      </c>
      <c r="B214" s="60" t="s">
        <v>637</v>
      </c>
      <c r="C214" s="34" t="s">
        <v>75</v>
      </c>
      <c r="D214" s="34" t="s">
        <v>53</v>
      </c>
      <c r="E214" s="35">
        <v>0.0</v>
      </c>
      <c r="F214" s="35">
        <v>0.0</v>
      </c>
      <c r="G214" s="68">
        <v>511.02</v>
      </c>
      <c r="H214" s="37"/>
    </row>
    <row r="215">
      <c r="A215" s="60" t="s">
        <v>1951</v>
      </c>
      <c r="B215" s="60" t="s">
        <v>1952</v>
      </c>
      <c r="C215" s="34" t="s">
        <v>84</v>
      </c>
      <c r="D215" s="34" t="s">
        <v>58</v>
      </c>
      <c r="E215" s="35">
        <v>0.0</v>
      </c>
      <c r="F215" s="35">
        <v>0.0</v>
      </c>
      <c r="G215" s="68">
        <v>692.0</v>
      </c>
      <c r="H215" s="37"/>
    </row>
    <row r="216">
      <c r="A216" s="60" t="s">
        <v>1953</v>
      </c>
      <c r="B216" s="60" t="s">
        <v>1954</v>
      </c>
      <c r="C216" s="34" t="s">
        <v>84</v>
      </c>
      <c r="D216" s="34" t="s">
        <v>58</v>
      </c>
      <c r="E216" s="35">
        <v>0.0</v>
      </c>
      <c r="F216" s="35">
        <v>0.0</v>
      </c>
      <c r="G216" s="68">
        <v>317.0</v>
      </c>
      <c r="H216" s="37"/>
    </row>
    <row r="217">
      <c r="A217" s="60" t="s">
        <v>704</v>
      </c>
      <c r="B217" s="60" t="s">
        <v>705</v>
      </c>
      <c r="C217" s="34" t="s">
        <v>84</v>
      </c>
      <c r="D217" s="34" t="s">
        <v>58</v>
      </c>
      <c r="E217" s="35">
        <v>0.0</v>
      </c>
      <c r="F217" s="35">
        <v>0.0</v>
      </c>
      <c r="G217" s="68">
        <v>630.0</v>
      </c>
      <c r="H217" s="37"/>
    </row>
    <row r="218">
      <c r="A218" s="60" t="s">
        <v>1435</v>
      </c>
      <c r="B218" s="60" t="s">
        <v>1436</v>
      </c>
      <c r="C218" s="34" t="s">
        <v>84</v>
      </c>
      <c r="D218" s="34" t="s">
        <v>58</v>
      </c>
      <c r="E218" s="35">
        <v>0.0</v>
      </c>
      <c r="F218" s="35">
        <v>0.0</v>
      </c>
      <c r="G218" s="68">
        <v>1022.0</v>
      </c>
      <c r="H218" s="37"/>
    </row>
    <row r="219">
      <c r="A219" s="60" t="s">
        <v>1955</v>
      </c>
      <c r="B219" s="60" t="s">
        <v>1956</v>
      </c>
      <c r="C219" s="34" t="s">
        <v>84</v>
      </c>
      <c r="D219" s="34" t="s">
        <v>58</v>
      </c>
      <c r="E219" s="35">
        <v>0.0</v>
      </c>
      <c r="F219" s="35">
        <v>0.0</v>
      </c>
      <c r="G219" s="68">
        <v>552.0</v>
      </c>
      <c r="H219" s="37"/>
    </row>
    <row r="220">
      <c r="A220" s="60" t="s">
        <v>706</v>
      </c>
      <c r="B220" s="60" t="s">
        <v>707</v>
      </c>
      <c r="C220" s="34" t="s">
        <v>84</v>
      </c>
      <c r="D220" s="34" t="s">
        <v>58</v>
      </c>
      <c r="E220" s="35">
        <v>0.0</v>
      </c>
      <c r="F220" s="35">
        <v>0.0</v>
      </c>
      <c r="G220" s="68">
        <v>1650.0</v>
      </c>
      <c r="H220" s="37"/>
    </row>
    <row r="221">
      <c r="A221" s="60" t="s">
        <v>722</v>
      </c>
      <c r="B221" s="60" t="s">
        <v>723</v>
      </c>
      <c r="C221" s="34" t="s">
        <v>85</v>
      </c>
      <c r="D221" s="34" t="s">
        <v>51</v>
      </c>
      <c r="E221" s="35">
        <v>0.0</v>
      </c>
      <c r="F221" s="35">
        <v>0.0</v>
      </c>
      <c r="G221" s="68">
        <v>664.38</v>
      </c>
      <c r="H221" s="37"/>
    </row>
    <row r="222">
      <c r="A222" s="60" t="s">
        <v>724</v>
      </c>
      <c r="B222" s="60" t="s">
        <v>725</v>
      </c>
      <c r="C222" s="34" t="s">
        <v>85</v>
      </c>
      <c r="D222" s="34" t="s">
        <v>51</v>
      </c>
      <c r="E222" s="35">
        <v>0.0</v>
      </c>
      <c r="F222" s="35">
        <v>0.0</v>
      </c>
      <c r="G222" s="68">
        <v>309.95</v>
      </c>
      <c r="H222" s="37"/>
    </row>
    <row r="223">
      <c r="A223" s="60" t="s">
        <v>728</v>
      </c>
      <c r="B223" s="60" t="s">
        <v>729</v>
      </c>
      <c r="C223" s="34" t="s">
        <v>85</v>
      </c>
      <c r="D223" s="34" t="s">
        <v>51</v>
      </c>
      <c r="E223" s="35">
        <v>0.0</v>
      </c>
      <c r="F223" s="35">
        <v>0.0</v>
      </c>
      <c r="G223" s="68">
        <v>183.02</v>
      </c>
      <c r="H223" s="37"/>
    </row>
    <row r="224">
      <c r="A224" s="60" t="s">
        <v>730</v>
      </c>
      <c r="B224" s="60" t="s">
        <v>731</v>
      </c>
      <c r="C224" s="34" t="s">
        <v>85</v>
      </c>
      <c r="D224" s="34" t="s">
        <v>51</v>
      </c>
      <c r="E224" s="35">
        <v>0.0</v>
      </c>
      <c r="F224" s="35">
        <v>0.0</v>
      </c>
      <c r="G224" s="68">
        <v>101.98</v>
      </c>
      <c r="H224" s="37"/>
    </row>
    <row r="225">
      <c r="A225" s="60" t="s">
        <v>734</v>
      </c>
      <c r="B225" s="60" t="s">
        <v>735</v>
      </c>
      <c r="C225" s="34" t="s">
        <v>85</v>
      </c>
      <c r="D225" s="34" t="s">
        <v>51</v>
      </c>
      <c r="E225" s="35">
        <v>0.0</v>
      </c>
      <c r="F225" s="35">
        <v>0.0</v>
      </c>
      <c r="G225" s="68">
        <v>125.97</v>
      </c>
      <c r="H225" s="37"/>
    </row>
    <row r="226">
      <c r="A226" s="60" t="s">
        <v>736</v>
      </c>
      <c r="B226" s="60" t="s">
        <v>737</v>
      </c>
      <c r="C226" s="34" t="s">
        <v>85</v>
      </c>
      <c r="D226" s="34" t="s">
        <v>51</v>
      </c>
      <c r="E226" s="35">
        <v>0.0</v>
      </c>
      <c r="F226" s="35">
        <v>0.0</v>
      </c>
      <c r="G226" s="68">
        <v>735.35</v>
      </c>
      <c r="H226" s="37"/>
    </row>
    <row r="227">
      <c r="A227" s="60" t="s">
        <v>738</v>
      </c>
      <c r="B227" s="60" t="s">
        <v>739</v>
      </c>
      <c r="C227" s="34" t="s">
        <v>85</v>
      </c>
      <c r="D227" s="34" t="s">
        <v>51</v>
      </c>
      <c r="E227" s="35">
        <v>0.0</v>
      </c>
      <c r="F227" s="35">
        <v>0.0</v>
      </c>
      <c r="G227" s="68">
        <v>108.98</v>
      </c>
      <c r="H227" s="37"/>
    </row>
    <row r="228">
      <c r="A228" s="60" t="s">
        <v>1957</v>
      </c>
      <c r="B228" s="60" t="s">
        <v>1958</v>
      </c>
      <c r="C228" s="34" t="s">
        <v>85</v>
      </c>
      <c r="D228" s="34" t="s">
        <v>51</v>
      </c>
      <c r="E228" s="35">
        <v>0.0</v>
      </c>
      <c r="F228" s="35">
        <v>0.0</v>
      </c>
      <c r="G228" s="68">
        <v>476.07</v>
      </c>
      <c r="H228" s="37"/>
    </row>
    <row r="229">
      <c r="A229" s="60" t="s">
        <v>1959</v>
      </c>
      <c r="B229" s="60" t="s">
        <v>1960</v>
      </c>
      <c r="C229" s="34" t="s">
        <v>85</v>
      </c>
      <c r="D229" s="34" t="s">
        <v>51</v>
      </c>
      <c r="E229" s="35">
        <v>0.0</v>
      </c>
      <c r="F229" s="35">
        <v>0.0</v>
      </c>
      <c r="G229" s="68">
        <v>108.98</v>
      </c>
      <c r="H229" s="37"/>
    </row>
    <row r="230">
      <c r="A230" s="60" t="s">
        <v>740</v>
      </c>
      <c r="B230" s="60" t="s">
        <v>741</v>
      </c>
      <c r="C230" s="34" t="s">
        <v>85</v>
      </c>
      <c r="D230" s="34" t="s">
        <v>51</v>
      </c>
      <c r="E230" s="35">
        <v>0.0</v>
      </c>
      <c r="F230" s="35">
        <v>0.0</v>
      </c>
      <c r="G230" s="68">
        <v>496.92</v>
      </c>
      <c r="H230" s="37"/>
    </row>
    <row r="231">
      <c r="A231" s="60" t="s">
        <v>1961</v>
      </c>
      <c r="B231" s="60" t="s">
        <v>1962</v>
      </c>
      <c r="C231" s="34" t="s">
        <v>85</v>
      </c>
      <c r="D231" s="34" t="s">
        <v>51</v>
      </c>
      <c r="E231" s="35">
        <v>0.0</v>
      </c>
      <c r="F231" s="35">
        <v>0.0</v>
      </c>
      <c r="G231" s="68">
        <v>362.98</v>
      </c>
      <c r="H231" s="37"/>
    </row>
    <row r="232">
      <c r="A232" s="60" t="s">
        <v>766</v>
      </c>
      <c r="B232" s="60" t="s">
        <v>767</v>
      </c>
      <c r="C232" s="34" t="s">
        <v>79</v>
      </c>
      <c r="D232" s="34" t="s">
        <v>49</v>
      </c>
      <c r="E232" s="35">
        <v>0.0</v>
      </c>
      <c r="F232" s="35">
        <v>0.0</v>
      </c>
      <c r="G232" s="68">
        <v>634.0</v>
      </c>
      <c r="H232" s="37"/>
    </row>
    <row r="233">
      <c r="A233" s="60" t="s">
        <v>768</v>
      </c>
      <c r="B233" s="60" t="s">
        <v>769</v>
      </c>
      <c r="C233" s="34" t="s">
        <v>79</v>
      </c>
      <c r="D233" s="34" t="s">
        <v>49</v>
      </c>
      <c r="E233" s="35">
        <v>0.0</v>
      </c>
      <c r="F233" s="35">
        <v>0.0</v>
      </c>
      <c r="G233" s="68">
        <v>27340.0</v>
      </c>
      <c r="H233" s="37"/>
    </row>
    <row r="234">
      <c r="A234" s="60" t="s">
        <v>770</v>
      </c>
      <c r="B234" s="60" t="s">
        <v>771</v>
      </c>
      <c r="C234" s="34" t="s">
        <v>79</v>
      </c>
      <c r="D234" s="34" t="s">
        <v>49</v>
      </c>
      <c r="E234" s="35">
        <v>0.0</v>
      </c>
      <c r="F234" s="35">
        <v>0.0</v>
      </c>
      <c r="G234" s="68">
        <v>54510.0</v>
      </c>
      <c r="H234" s="37"/>
    </row>
    <row r="235">
      <c r="A235" s="60" t="s">
        <v>772</v>
      </c>
      <c r="B235" s="60" t="s">
        <v>773</v>
      </c>
      <c r="C235" s="34" t="s">
        <v>79</v>
      </c>
      <c r="D235" s="34" t="s">
        <v>49</v>
      </c>
      <c r="E235" s="35">
        <v>0.0</v>
      </c>
      <c r="F235" s="35">
        <v>0.0</v>
      </c>
      <c r="G235" s="68">
        <v>77055.67</v>
      </c>
      <c r="H235" s="37"/>
    </row>
    <row r="236">
      <c r="A236" s="60" t="s">
        <v>776</v>
      </c>
      <c r="B236" s="60" t="s">
        <v>777</v>
      </c>
      <c r="C236" s="34" t="s">
        <v>79</v>
      </c>
      <c r="D236" s="34" t="s">
        <v>49</v>
      </c>
      <c r="E236" s="35">
        <v>0.0</v>
      </c>
      <c r="F236" s="35">
        <v>0.0</v>
      </c>
      <c r="G236" s="68">
        <v>97750.0</v>
      </c>
      <c r="H236" s="37"/>
    </row>
    <row r="237">
      <c r="A237" s="60" t="s">
        <v>780</v>
      </c>
      <c r="B237" s="60" t="s">
        <v>781</v>
      </c>
      <c r="C237" s="34" t="s">
        <v>79</v>
      </c>
      <c r="D237" s="34" t="s">
        <v>49</v>
      </c>
      <c r="E237" s="35">
        <v>0.0</v>
      </c>
      <c r="F237" s="35">
        <v>0.0</v>
      </c>
      <c r="G237" s="68">
        <v>195.5</v>
      </c>
      <c r="H237" s="37"/>
    </row>
    <row r="238">
      <c r="A238" s="60" t="s">
        <v>782</v>
      </c>
      <c r="B238" s="60" t="s">
        <v>783</v>
      </c>
      <c r="C238" s="34" t="s">
        <v>79</v>
      </c>
      <c r="D238" s="34" t="s">
        <v>49</v>
      </c>
      <c r="E238" s="35">
        <v>0.0</v>
      </c>
      <c r="F238" s="35">
        <v>0.0</v>
      </c>
      <c r="G238" s="68">
        <v>97.75</v>
      </c>
      <c r="H238" s="37"/>
    </row>
    <row r="239">
      <c r="A239" s="60" t="s">
        <v>784</v>
      </c>
      <c r="B239" s="60" t="s">
        <v>785</v>
      </c>
      <c r="C239" s="34" t="s">
        <v>79</v>
      </c>
      <c r="D239" s="34" t="s">
        <v>49</v>
      </c>
      <c r="E239" s="35">
        <v>0.0</v>
      </c>
      <c r="F239" s="35">
        <v>0.0</v>
      </c>
      <c r="G239" s="68">
        <v>109009.24</v>
      </c>
      <c r="H239" s="37"/>
    </row>
    <row r="240">
      <c r="A240" s="60" t="s">
        <v>788</v>
      </c>
      <c r="B240" s="60" t="s">
        <v>789</v>
      </c>
      <c r="C240" s="34" t="s">
        <v>79</v>
      </c>
      <c r="D240" s="34" t="s">
        <v>49</v>
      </c>
      <c r="E240" s="35">
        <v>0.0</v>
      </c>
      <c r="F240" s="35">
        <v>0.0</v>
      </c>
      <c r="G240" s="68">
        <v>84496.25</v>
      </c>
      <c r="H240" s="37"/>
    </row>
    <row r="241">
      <c r="A241" s="60" t="s">
        <v>790</v>
      </c>
      <c r="B241" s="60" t="s">
        <v>791</v>
      </c>
      <c r="C241" s="34" t="s">
        <v>79</v>
      </c>
      <c r="D241" s="34" t="s">
        <v>49</v>
      </c>
      <c r="E241" s="35">
        <v>0.0</v>
      </c>
      <c r="F241" s="35">
        <v>0.0</v>
      </c>
      <c r="G241" s="68">
        <v>34146.0</v>
      </c>
      <c r="H241" s="37"/>
    </row>
    <row r="242">
      <c r="A242" s="60" t="s">
        <v>792</v>
      </c>
      <c r="B242" s="60" t="s">
        <v>793</v>
      </c>
      <c r="C242" s="34" t="s">
        <v>79</v>
      </c>
      <c r="D242" s="34" t="s">
        <v>49</v>
      </c>
      <c r="E242" s="35">
        <v>0.0</v>
      </c>
      <c r="F242" s="35">
        <v>0.0</v>
      </c>
      <c r="G242" s="68">
        <v>25337.5</v>
      </c>
      <c r="H242" s="37"/>
    </row>
    <row r="243">
      <c r="A243" s="60" t="s">
        <v>794</v>
      </c>
      <c r="B243" s="60" t="s">
        <v>795</v>
      </c>
      <c r="C243" s="34" t="s">
        <v>79</v>
      </c>
      <c r="D243" s="34" t="s">
        <v>49</v>
      </c>
      <c r="E243" s="35">
        <v>0.0</v>
      </c>
      <c r="F243" s="35">
        <v>0.0</v>
      </c>
      <c r="G243" s="68">
        <v>124884.33</v>
      </c>
      <c r="H243" s="37"/>
    </row>
    <row r="244">
      <c r="A244" s="60" t="s">
        <v>1781</v>
      </c>
      <c r="B244" s="60" t="s">
        <v>1782</v>
      </c>
      <c r="C244" s="34" t="s">
        <v>79</v>
      </c>
      <c r="D244" s="34" t="s">
        <v>49</v>
      </c>
      <c r="E244" s="35">
        <v>0.0</v>
      </c>
      <c r="F244" s="35">
        <v>0.0</v>
      </c>
      <c r="G244" s="68">
        <v>338100.0</v>
      </c>
      <c r="H244" s="37"/>
    </row>
    <row r="245">
      <c r="A245" s="60" t="s">
        <v>344</v>
      </c>
      <c r="B245" s="60" t="s">
        <v>345</v>
      </c>
      <c r="C245" s="34" t="s">
        <v>79</v>
      </c>
      <c r="D245" s="34" t="s">
        <v>49</v>
      </c>
      <c r="E245" s="35">
        <v>0.0</v>
      </c>
      <c r="F245" s="35">
        <v>0.0</v>
      </c>
      <c r="G245" s="68">
        <v>12397.5</v>
      </c>
      <c r="H245" s="37"/>
    </row>
    <row r="246">
      <c r="A246" s="60" t="s">
        <v>796</v>
      </c>
      <c r="B246" s="60" t="s">
        <v>797</v>
      </c>
      <c r="C246" s="34" t="s">
        <v>77</v>
      </c>
      <c r="D246" s="34" t="s">
        <v>47</v>
      </c>
      <c r="E246" s="35">
        <v>0.0</v>
      </c>
      <c r="F246" s="35">
        <v>0.0</v>
      </c>
      <c r="G246" s="68">
        <v>29217.33</v>
      </c>
      <c r="H246" s="37"/>
    </row>
    <row r="247">
      <c r="A247" s="60" t="s">
        <v>798</v>
      </c>
      <c r="B247" s="60" t="s">
        <v>799</v>
      </c>
      <c r="C247" s="34" t="s">
        <v>77</v>
      </c>
      <c r="D247" s="34" t="s">
        <v>47</v>
      </c>
      <c r="E247" s="35">
        <v>0.0</v>
      </c>
      <c r="F247" s="35">
        <v>0.0</v>
      </c>
      <c r="G247" s="68">
        <v>46353.85</v>
      </c>
      <c r="H247" s="37"/>
    </row>
    <row r="248">
      <c r="A248" s="60" t="s">
        <v>800</v>
      </c>
      <c r="B248" s="60" t="s">
        <v>1963</v>
      </c>
      <c r="C248" s="34" t="s">
        <v>77</v>
      </c>
      <c r="D248" s="34" t="s">
        <v>47</v>
      </c>
      <c r="E248" s="35">
        <v>0.0</v>
      </c>
      <c r="F248" s="35">
        <v>0.0</v>
      </c>
      <c r="G248" s="68">
        <v>5944.67</v>
      </c>
      <c r="H248" s="37"/>
    </row>
    <row r="249">
      <c r="A249" s="60" t="s">
        <v>802</v>
      </c>
      <c r="B249" s="60" t="s">
        <v>1964</v>
      </c>
      <c r="C249" s="34" t="s">
        <v>77</v>
      </c>
      <c r="D249" s="34" t="s">
        <v>47</v>
      </c>
      <c r="E249" s="35">
        <v>0.0</v>
      </c>
      <c r="F249" s="35">
        <v>0.0</v>
      </c>
      <c r="G249" s="68">
        <v>43256.02</v>
      </c>
      <c r="H249" s="37"/>
    </row>
    <row r="250">
      <c r="A250" s="60" t="s">
        <v>804</v>
      </c>
      <c r="B250" s="60" t="s">
        <v>805</v>
      </c>
      <c r="C250" s="34" t="s">
        <v>77</v>
      </c>
      <c r="D250" s="34" t="s">
        <v>47</v>
      </c>
      <c r="E250" s="35">
        <v>0.0</v>
      </c>
      <c r="F250" s="35">
        <v>0.0</v>
      </c>
      <c r="G250" s="68">
        <v>12934.84</v>
      </c>
      <c r="H250" s="37"/>
    </row>
    <row r="251">
      <c r="A251" s="60" t="s">
        <v>806</v>
      </c>
      <c r="B251" s="60" t="s">
        <v>807</v>
      </c>
      <c r="C251" s="34" t="s">
        <v>77</v>
      </c>
      <c r="D251" s="34" t="s">
        <v>47</v>
      </c>
      <c r="E251" s="35">
        <v>0.0</v>
      </c>
      <c r="F251" s="35">
        <v>0.0</v>
      </c>
      <c r="G251" s="68">
        <v>4516.0</v>
      </c>
      <c r="H251" s="37"/>
    </row>
    <row r="252">
      <c r="A252" s="60" t="s">
        <v>808</v>
      </c>
      <c r="B252" s="60" t="s">
        <v>1965</v>
      </c>
      <c r="C252" s="34" t="s">
        <v>77</v>
      </c>
      <c r="D252" s="34" t="s">
        <v>47</v>
      </c>
      <c r="E252" s="35">
        <v>0.0</v>
      </c>
      <c r="F252" s="35">
        <v>0.0</v>
      </c>
      <c r="G252" s="68">
        <v>15293.0</v>
      </c>
      <c r="H252" s="37"/>
    </row>
    <row r="253">
      <c r="A253" s="60" t="s">
        <v>1625</v>
      </c>
      <c r="B253" s="60" t="s">
        <v>1626</v>
      </c>
      <c r="C253" s="34" t="s">
        <v>77</v>
      </c>
      <c r="D253" s="34" t="s">
        <v>47</v>
      </c>
      <c r="E253" s="35">
        <v>0.0</v>
      </c>
      <c r="F253" s="35">
        <v>0.0</v>
      </c>
      <c r="G253" s="68">
        <v>2.03</v>
      </c>
      <c r="H253" s="37"/>
    </row>
    <row r="254">
      <c r="A254" s="60" t="s">
        <v>810</v>
      </c>
      <c r="B254" s="60" t="s">
        <v>811</v>
      </c>
      <c r="C254" s="34" t="s">
        <v>77</v>
      </c>
      <c r="D254" s="34" t="s">
        <v>47</v>
      </c>
      <c r="E254" s="35">
        <v>0.0</v>
      </c>
      <c r="F254" s="35">
        <v>0.0</v>
      </c>
      <c r="G254" s="68">
        <v>3083.9</v>
      </c>
      <c r="H254" s="37"/>
    </row>
    <row r="255">
      <c r="A255" s="60" t="s">
        <v>812</v>
      </c>
      <c r="B255" s="60" t="s">
        <v>813</v>
      </c>
      <c r="C255" s="34" t="s">
        <v>77</v>
      </c>
      <c r="D255" s="34" t="s">
        <v>47</v>
      </c>
      <c r="E255" s="35">
        <v>0.0</v>
      </c>
      <c r="F255" s="35">
        <v>0.0</v>
      </c>
      <c r="G255" s="68">
        <v>8190.0</v>
      </c>
      <c r="H255" s="37"/>
    </row>
    <row r="256">
      <c r="A256" s="60" t="s">
        <v>818</v>
      </c>
      <c r="B256" s="60" t="s">
        <v>819</v>
      </c>
      <c r="C256" s="34" t="s">
        <v>77</v>
      </c>
      <c r="D256" s="34" t="s">
        <v>47</v>
      </c>
      <c r="E256" s="35">
        <v>0.0</v>
      </c>
      <c r="F256" s="35">
        <v>0.0</v>
      </c>
      <c r="G256" s="68">
        <v>111497.94</v>
      </c>
      <c r="H256" s="37"/>
    </row>
    <row r="257">
      <c r="A257" s="60" t="s">
        <v>822</v>
      </c>
      <c r="B257" s="60" t="s">
        <v>823</v>
      </c>
      <c r="C257" s="34" t="s">
        <v>77</v>
      </c>
      <c r="D257" s="34" t="s">
        <v>47</v>
      </c>
      <c r="E257" s="35">
        <v>0.0</v>
      </c>
      <c r="F257" s="35">
        <v>0.0</v>
      </c>
      <c r="G257" s="68">
        <v>540.0</v>
      </c>
      <c r="H257" s="37"/>
    </row>
    <row r="258">
      <c r="A258" s="60" t="s">
        <v>824</v>
      </c>
      <c r="B258" s="60" t="s">
        <v>825</v>
      </c>
      <c r="C258" s="34" t="s">
        <v>77</v>
      </c>
      <c r="D258" s="34" t="s">
        <v>47</v>
      </c>
      <c r="E258" s="35">
        <v>0.0</v>
      </c>
      <c r="F258" s="35">
        <v>0.0</v>
      </c>
      <c r="G258" s="68">
        <v>117.04</v>
      </c>
      <c r="H258" s="37"/>
    </row>
    <row r="259">
      <c r="A259" s="60" t="s">
        <v>826</v>
      </c>
      <c r="B259" s="60" t="s">
        <v>827</v>
      </c>
      <c r="C259" s="34" t="s">
        <v>77</v>
      </c>
      <c r="D259" s="34" t="s">
        <v>47</v>
      </c>
      <c r="E259" s="35">
        <v>0.0</v>
      </c>
      <c r="F259" s="35">
        <v>0.0</v>
      </c>
      <c r="G259" s="68">
        <v>23000.0</v>
      </c>
      <c r="H259" s="37"/>
    </row>
    <row r="260">
      <c r="A260" s="60" t="s">
        <v>828</v>
      </c>
      <c r="B260" s="60" t="s">
        <v>829</v>
      </c>
      <c r="C260" s="34" t="s">
        <v>77</v>
      </c>
      <c r="D260" s="34" t="s">
        <v>47</v>
      </c>
      <c r="E260" s="35">
        <v>0.0</v>
      </c>
      <c r="F260" s="35">
        <v>0.0</v>
      </c>
      <c r="G260" s="68">
        <v>12864.79</v>
      </c>
      <c r="H260" s="37"/>
    </row>
    <row r="261">
      <c r="A261" s="60" t="s">
        <v>830</v>
      </c>
      <c r="B261" s="60" t="s">
        <v>831</v>
      </c>
      <c r="C261" s="34" t="s">
        <v>77</v>
      </c>
      <c r="D261" s="34" t="s">
        <v>47</v>
      </c>
      <c r="E261" s="35">
        <v>0.0</v>
      </c>
      <c r="F261" s="35">
        <v>0.0</v>
      </c>
      <c r="G261" s="68">
        <v>8101.0</v>
      </c>
      <c r="H261" s="37"/>
    </row>
    <row r="262">
      <c r="A262" s="60" t="s">
        <v>832</v>
      </c>
      <c r="B262" s="60" t="s">
        <v>833</v>
      </c>
      <c r="C262" s="34" t="s">
        <v>77</v>
      </c>
      <c r="D262" s="34" t="s">
        <v>47</v>
      </c>
      <c r="E262" s="35">
        <v>0.0</v>
      </c>
      <c r="F262" s="35">
        <v>0.0</v>
      </c>
      <c r="G262" s="68">
        <v>4121.9</v>
      </c>
      <c r="H262" s="37"/>
    </row>
    <row r="263">
      <c r="A263" s="60" t="s">
        <v>836</v>
      </c>
      <c r="B263" s="60" t="s">
        <v>837</v>
      </c>
      <c r="C263" s="34" t="s">
        <v>77</v>
      </c>
      <c r="D263" s="34" t="s">
        <v>47</v>
      </c>
      <c r="E263" s="35">
        <v>0.0</v>
      </c>
      <c r="F263" s="35">
        <v>0.0</v>
      </c>
      <c r="G263" s="68">
        <v>6574.0</v>
      </c>
      <c r="H263" s="37"/>
    </row>
    <row r="264">
      <c r="A264" s="60" t="s">
        <v>1966</v>
      </c>
      <c r="B264" s="60" t="s">
        <v>1967</v>
      </c>
      <c r="C264" s="34" t="s">
        <v>77</v>
      </c>
      <c r="D264" s="34" t="s">
        <v>47</v>
      </c>
      <c r="E264" s="35">
        <v>0.0</v>
      </c>
      <c r="F264" s="35">
        <v>0.0</v>
      </c>
      <c r="G264" s="68">
        <v>2000.0</v>
      </c>
      <c r="H264" s="37"/>
    </row>
    <row r="265">
      <c r="A265" s="60" t="s">
        <v>840</v>
      </c>
      <c r="B265" s="60" t="s">
        <v>1785</v>
      </c>
      <c r="C265" s="34" t="s">
        <v>77</v>
      </c>
      <c r="D265" s="34" t="s">
        <v>47</v>
      </c>
      <c r="E265" s="35">
        <v>0.0</v>
      </c>
      <c r="F265" s="35">
        <v>0.0</v>
      </c>
      <c r="G265" s="68">
        <v>2730.0</v>
      </c>
      <c r="H265" s="37"/>
    </row>
    <row r="266">
      <c r="A266" s="60" t="s">
        <v>842</v>
      </c>
      <c r="B266" s="60" t="s">
        <v>843</v>
      </c>
      <c r="C266" s="34" t="s">
        <v>77</v>
      </c>
      <c r="D266" s="34" t="s">
        <v>47</v>
      </c>
      <c r="E266" s="35">
        <v>0.0</v>
      </c>
      <c r="F266" s="35">
        <v>0.0</v>
      </c>
      <c r="G266" s="68">
        <v>1092.0</v>
      </c>
      <c r="H266" s="37"/>
    </row>
    <row r="267">
      <c r="A267" s="60" t="s">
        <v>844</v>
      </c>
      <c r="B267" s="60" t="s">
        <v>845</v>
      </c>
      <c r="C267" s="34" t="s">
        <v>77</v>
      </c>
      <c r="D267" s="34" t="s">
        <v>47</v>
      </c>
      <c r="E267" s="35">
        <v>0.0</v>
      </c>
      <c r="F267" s="35">
        <v>0.0</v>
      </c>
      <c r="G267" s="68">
        <v>52036.0</v>
      </c>
      <c r="H267" s="37"/>
    </row>
    <row r="268">
      <c r="A268" s="60" t="s">
        <v>1968</v>
      </c>
      <c r="B268" s="60" t="s">
        <v>1969</v>
      </c>
      <c r="C268" s="34" t="s">
        <v>77</v>
      </c>
      <c r="D268" s="34" t="s">
        <v>47</v>
      </c>
      <c r="E268" s="35">
        <v>0.0</v>
      </c>
      <c r="F268" s="35">
        <v>0.0</v>
      </c>
      <c r="G268" s="68">
        <v>8280.0</v>
      </c>
      <c r="H268" s="37"/>
    </row>
    <row r="269">
      <c r="A269" s="37"/>
      <c r="B269" s="92" t="s">
        <v>953</v>
      </c>
      <c r="C269" s="34" t="s">
        <v>80</v>
      </c>
      <c r="D269" s="34" t="s">
        <v>46</v>
      </c>
      <c r="E269" s="35">
        <v>0.0</v>
      </c>
      <c r="F269" s="35">
        <v>0.0</v>
      </c>
      <c r="G269" s="35">
        <v>575.93</v>
      </c>
      <c r="H269" s="37"/>
    </row>
    <row r="270">
      <c r="A270" s="37"/>
      <c r="B270" s="37"/>
      <c r="C270" s="37"/>
      <c r="D270" s="37"/>
      <c r="E270" s="36"/>
      <c r="F270" s="36"/>
      <c r="G270" s="36" t="str">
        <f t="shared" ref="G270:G449" si="8">IF(E297="","",E297-F297)</f>
        <v/>
      </c>
      <c r="H270" s="37"/>
    </row>
    <row r="271">
      <c r="A271" s="37"/>
      <c r="B271" s="37"/>
      <c r="C271" s="37"/>
      <c r="D271" s="37"/>
      <c r="E271" s="36"/>
      <c r="F271" s="36"/>
      <c r="G271" s="36" t="str">
        <f t="shared" si="8"/>
        <v/>
      </c>
      <c r="H271" s="37"/>
    </row>
    <row r="272">
      <c r="A272" s="37"/>
      <c r="B272" s="37"/>
      <c r="C272" s="37"/>
      <c r="D272" s="37"/>
      <c r="E272" s="36"/>
      <c r="F272" s="36"/>
      <c r="G272" s="36" t="str">
        <f t="shared" si="8"/>
        <v/>
      </c>
      <c r="H272" s="37"/>
    </row>
    <row r="273">
      <c r="A273" s="37"/>
      <c r="B273" s="37"/>
      <c r="C273" s="37"/>
      <c r="D273" s="37"/>
      <c r="E273" s="36"/>
      <c r="F273" s="36"/>
      <c r="G273" s="36" t="str">
        <f t="shared" si="8"/>
        <v/>
      </c>
      <c r="H273" s="37"/>
    </row>
    <row r="274">
      <c r="A274" s="37"/>
      <c r="B274" s="37"/>
      <c r="C274" s="37"/>
      <c r="D274" s="37"/>
      <c r="E274" s="36"/>
      <c r="F274" s="36"/>
      <c r="G274" s="36" t="str">
        <f t="shared" si="8"/>
        <v/>
      </c>
      <c r="H274" s="37"/>
    </row>
    <row r="275">
      <c r="A275" s="37"/>
      <c r="B275" s="37"/>
      <c r="C275" s="37"/>
      <c r="D275" s="37"/>
      <c r="E275" s="36"/>
      <c r="F275" s="36"/>
      <c r="G275" s="36" t="str">
        <f t="shared" si="8"/>
        <v/>
      </c>
      <c r="H275" s="37"/>
    </row>
    <row r="276">
      <c r="A276" s="37"/>
      <c r="B276" s="37"/>
      <c r="C276" s="37"/>
      <c r="D276" s="37"/>
      <c r="E276" s="36"/>
      <c r="F276" s="36"/>
      <c r="G276" s="36" t="str">
        <f t="shared" si="8"/>
        <v/>
      </c>
      <c r="H276" s="37"/>
    </row>
    <row r="277">
      <c r="A277" s="37"/>
      <c r="B277" s="37"/>
      <c r="C277" s="37"/>
      <c r="D277" s="37"/>
      <c r="E277" s="36"/>
      <c r="F277" s="36"/>
      <c r="G277" s="36" t="str">
        <f t="shared" si="8"/>
        <v/>
      </c>
      <c r="H277" s="37"/>
    </row>
    <row r="278">
      <c r="A278" s="37"/>
      <c r="B278" s="37"/>
      <c r="C278" s="37"/>
      <c r="D278" s="37"/>
      <c r="E278" s="36"/>
      <c r="F278" s="36"/>
      <c r="G278" s="36" t="str">
        <f t="shared" si="8"/>
        <v/>
      </c>
      <c r="H278" s="37"/>
    </row>
    <row r="279">
      <c r="A279" s="37"/>
      <c r="B279" s="37"/>
      <c r="C279" s="37"/>
      <c r="D279" s="37"/>
      <c r="E279" s="36"/>
      <c r="F279" s="36"/>
      <c r="G279" s="36" t="str">
        <f t="shared" si="8"/>
        <v/>
      </c>
      <c r="H279" s="37"/>
    </row>
    <row r="280">
      <c r="A280" s="37"/>
      <c r="B280" s="37"/>
      <c r="C280" s="37"/>
      <c r="D280" s="37"/>
      <c r="E280" s="36"/>
      <c r="F280" s="36"/>
      <c r="G280" s="36" t="str">
        <f t="shared" si="8"/>
        <v/>
      </c>
      <c r="H280" s="37"/>
    </row>
    <row r="281">
      <c r="A281" s="37"/>
      <c r="B281" s="37"/>
      <c r="C281" s="37"/>
      <c r="D281" s="37"/>
      <c r="E281" s="36"/>
      <c r="F281" s="36"/>
      <c r="G281" s="36" t="str">
        <f t="shared" si="8"/>
        <v/>
      </c>
      <c r="H281" s="37"/>
    </row>
    <row r="282">
      <c r="A282" s="37"/>
      <c r="B282" s="37"/>
      <c r="C282" s="37"/>
      <c r="D282" s="37"/>
      <c r="E282" s="36"/>
      <c r="F282" s="36"/>
      <c r="G282" s="36" t="str">
        <f t="shared" si="8"/>
        <v/>
      </c>
      <c r="H282" s="37"/>
    </row>
    <row r="283">
      <c r="A283" s="37"/>
      <c r="B283" s="37"/>
      <c r="C283" s="37"/>
      <c r="D283" s="37"/>
      <c r="E283" s="36"/>
      <c r="F283" s="36"/>
      <c r="G283" s="36" t="str">
        <f t="shared" si="8"/>
        <v/>
      </c>
      <c r="H283" s="37"/>
    </row>
    <row r="284">
      <c r="A284" s="37"/>
      <c r="B284" s="37"/>
      <c r="C284" s="37"/>
      <c r="D284" s="37"/>
      <c r="E284" s="36"/>
      <c r="F284" s="36"/>
      <c r="G284" s="36" t="str">
        <f t="shared" si="8"/>
        <v/>
      </c>
      <c r="H284" s="37"/>
    </row>
    <row r="285">
      <c r="A285" s="37"/>
      <c r="B285" s="37"/>
      <c r="C285" s="37"/>
      <c r="D285" s="37"/>
      <c r="E285" s="36"/>
      <c r="F285" s="36"/>
      <c r="G285" s="36" t="str">
        <f t="shared" si="8"/>
        <v/>
      </c>
      <c r="H285" s="37"/>
    </row>
    <row r="286">
      <c r="A286" s="37"/>
      <c r="B286" s="37"/>
      <c r="C286" s="37"/>
      <c r="D286" s="37"/>
      <c r="E286" s="36"/>
      <c r="F286" s="36"/>
      <c r="G286" s="36" t="str">
        <f t="shared" si="8"/>
        <v/>
      </c>
      <c r="H286" s="37"/>
    </row>
    <row r="287">
      <c r="A287" s="37"/>
      <c r="B287" s="37"/>
      <c r="C287" s="37"/>
      <c r="D287" s="37"/>
      <c r="E287" s="36"/>
      <c r="F287" s="36"/>
      <c r="G287" s="36" t="str">
        <f t="shared" si="8"/>
        <v/>
      </c>
      <c r="H287" s="37"/>
    </row>
    <row r="288">
      <c r="A288" s="37"/>
      <c r="B288" s="37"/>
      <c r="C288" s="37"/>
      <c r="D288" s="37"/>
      <c r="E288" s="36"/>
      <c r="F288" s="36"/>
      <c r="G288" s="36" t="str">
        <f t="shared" si="8"/>
        <v/>
      </c>
      <c r="H288" s="37"/>
    </row>
    <row r="289">
      <c r="A289" s="37"/>
      <c r="B289" s="37"/>
      <c r="C289" s="37"/>
      <c r="D289" s="37"/>
      <c r="E289" s="36"/>
      <c r="F289" s="36"/>
      <c r="G289" s="36" t="str">
        <f t="shared" si="8"/>
        <v/>
      </c>
      <c r="H289" s="37"/>
    </row>
    <row r="290">
      <c r="A290" s="37"/>
      <c r="B290" s="37"/>
      <c r="C290" s="37"/>
      <c r="D290" s="37"/>
      <c r="E290" s="36"/>
      <c r="F290" s="36"/>
      <c r="G290" s="36" t="str">
        <f t="shared" si="8"/>
        <v/>
      </c>
      <c r="H290" s="37"/>
    </row>
    <row r="291">
      <c r="A291" s="37"/>
      <c r="B291" s="37"/>
      <c r="C291" s="37"/>
      <c r="D291" s="37"/>
      <c r="E291" s="36"/>
      <c r="F291" s="36"/>
      <c r="G291" s="36" t="str">
        <f t="shared" si="8"/>
        <v/>
      </c>
      <c r="H291" s="37"/>
    </row>
    <row r="292">
      <c r="A292" s="37"/>
      <c r="B292" s="37"/>
      <c r="C292" s="37"/>
      <c r="D292" s="37"/>
      <c r="E292" s="36"/>
      <c r="F292" s="36"/>
      <c r="G292" s="36" t="str">
        <f t="shared" si="8"/>
        <v/>
      </c>
      <c r="H292" s="37"/>
    </row>
    <row r="293">
      <c r="A293" s="37"/>
      <c r="B293" s="37"/>
      <c r="C293" s="37"/>
      <c r="D293" s="37"/>
      <c r="E293" s="36"/>
      <c r="F293" s="36"/>
      <c r="G293" s="36" t="str">
        <f t="shared" si="8"/>
        <v/>
      </c>
      <c r="H293" s="37"/>
    </row>
    <row r="294">
      <c r="A294" s="37"/>
      <c r="B294" s="37"/>
      <c r="C294" s="37"/>
      <c r="D294" s="37"/>
      <c r="E294" s="36"/>
      <c r="F294" s="36"/>
      <c r="G294" s="36" t="str">
        <f t="shared" si="8"/>
        <v/>
      </c>
      <c r="H294" s="37"/>
    </row>
    <row r="295">
      <c r="A295" s="37"/>
      <c r="B295" s="37"/>
      <c r="C295" s="37"/>
      <c r="D295" s="37"/>
      <c r="E295" s="36"/>
      <c r="F295" s="36"/>
      <c r="G295" s="36" t="str">
        <f t="shared" si="8"/>
        <v/>
      </c>
      <c r="H295" s="37"/>
    </row>
    <row r="296">
      <c r="A296" s="37"/>
      <c r="B296" s="37"/>
      <c r="C296" s="37"/>
      <c r="D296" s="37"/>
      <c r="E296" s="36"/>
      <c r="F296" s="36"/>
      <c r="G296" s="36" t="str">
        <f t="shared" si="8"/>
        <v/>
      </c>
      <c r="H296" s="37"/>
    </row>
    <row r="297">
      <c r="A297" s="37"/>
      <c r="B297" s="37"/>
      <c r="C297" s="37"/>
      <c r="D297" s="37"/>
      <c r="E297" s="36"/>
      <c r="F297" s="36"/>
      <c r="G297" s="36" t="str">
        <f t="shared" si="8"/>
        <v/>
      </c>
      <c r="H297" s="37"/>
    </row>
    <row r="298">
      <c r="A298" s="37"/>
      <c r="B298" s="37"/>
      <c r="C298" s="37"/>
      <c r="D298" s="37"/>
      <c r="E298" s="36"/>
      <c r="F298" s="36"/>
      <c r="G298" s="36" t="str">
        <f t="shared" si="8"/>
        <v/>
      </c>
      <c r="H298" s="37"/>
    </row>
    <row r="299">
      <c r="A299" s="37"/>
      <c r="B299" s="37"/>
      <c r="C299" s="37"/>
      <c r="D299" s="37"/>
      <c r="E299" s="36"/>
      <c r="F299" s="36"/>
      <c r="G299" s="36" t="str">
        <f t="shared" si="8"/>
        <v/>
      </c>
      <c r="H299" s="37"/>
    </row>
    <row r="300">
      <c r="A300" s="37"/>
      <c r="B300" s="37"/>
      <c r="C300" s="37"/>
      <c r="D300" s="37"/>
      <c r="E300" s="36"/>
      <c r="F300" s="36"/>
      <c r="G300" s="36" t="str">
        <f t="shared" si="8"/>
        <v/>
      </c>
      <c r="H300" s="37"/>
    </row>
    <row r="301">
      <c r="A301" s="37"/>
      <c r="B301" s="37"/>
      <c r="C301" s="37"/>
      <c r="D301" s="37"/>
      <c r="E301" s="36"/>
      <c r="F301" s="36"/>
      <c r="G301" s="36" t="str">
        <f t="shared" si="8"/>
        <v/>
      </c>
      <c r="H301" s="37"/>
    </row>
    <row r="302">
      <c r="A302" s="37"/>
      <c r="B302" s="37"/>
      <c r="C302" s="37"/>
      <c r="D302" s="37"/>
      <c r="E302" s="36"/>
      <c r="F302" s="36"/>
      <c r="G302" s="36" t="str">
        <f t="shared" si="8"/>
        <v/>
      </c>
      <c r="H302" s="37"/>
    </row>
    <row r="303">
      <c r="A303" s="37"/>
      <c r="B303" s="37"/>
      <c r="C303" s="37"/>
      <c r="D303" s="37"/>
      <c r="E303" s="36"/>
      <c r="F303" s="36"/>
      <c r="G303" s="36" t="str">
        <f t="shared" si="8"/>
        <v/>
      </c>
      <c r="H303" s="37"/>
    </row>
    <row r="304">
      <c r="A304" s="37"/>
      <c r="B304" s="37"/>
      <c r="C304" s="37"/>
      <c r="D304" s="37"/>
      <c r="E304" s="36"/>
      <c r="F304" s="36"/>
      <c r="G304" s="36" t="str">
        <f t="shared" si="8"/>
        <v/>
      </c>
      <c r="H304" s="37"/>
    </row>
    <row r="305">
      <c r="A305" s="37"/>
      <c r="B305" s="37"/>
      <c r="C305" s="37"/>
      <c r="D305" s="37"/>
      <c r="E305" s="36"/>
      <c r="F305" s="36"/>
      <c r="G305" s="36" t="str">
        <f t="shared" si="8"/>
        <v/>
      </c>
      <c r="H305" s="37"/>
    </row>
    <row r="306">
      <c r="A306" s="37"/>
      <c r="B306" s="37"/>
      <c r="C306" s="37"/>
      <c r="D306" s="37"/>
      <c r="E306" s="36"/>
      <c r="F306" s="36"/>
      <c r="G306" s="36" t="str">
        <f t="shared" si="8"/>
        <v/>
      </c>
      <c r="H306" s="37"/>
    </row>
    <row r="307">
      <c r="A307" s="37"/>
      <c r="B307" s="37"/>
      <c r="C307" s="37"/>
      <c r="D307" s="37"/>
      <c r="E307" s="36"/>
      <c r="F307" s="36"/>
      <c r="G307" s="36" t="str">
        <f t="shared" si="8"/>
        <v/>
      </c>
      <c r="H307" s="37"/>
    </row>
    <row r="308">
      <c r="A308" s="37"/>
      <c r="B308" s="37"/>
      <c r="C308" s="37"/>
      <c r="D308" s="37"/>
      <c r="E308" s="36"/>
      <c r="F308" s="36"/>
      <c r="G308" s="36" t="str">
        <f t="shared" si="8"/>
        <v/>
      </c>
      <c r="H308" s="37"/>
    </row>
    <row r="309">
      <c r="A309" s="37"/>
      <c r="B309" s="37"/>
      <c r="C309" s="37"/>
      <c r="D309" s="37"/>
      <c r="E309" s="36"/>
      <c r="F309" s="36"/>
      <c r="G309" s="36" t="str">
        <f t="shared" si="8"/>
        <v/>
      </c>
      <c r="H309" s="37"/>
    </row>
    <row r="310">
      <c r="A310" s="37"/>
      <c r="B310" s="37"/>
      <c r="C310" s="37"/>
      <c r="D310" s="37"/>
      <c r="E310" s="36"/>
      <c r="F310" s="36"/>
      <c r="G310" s="36" t="str">
        <f t="shared" si="8"/>
        <v/>
      </c>
      <c r="H310" s="37"/>
    </row>
    <row r="311">
      <c r="A311" s="37"/>
      <c r="B311" s="37"/>
      <c r="C311" s="37"/>
      <c r="D311" s="37"/>
      <c r="E311" s="36"/>
      <c r="F311" s="36"/>
      <c r="G311" s="36" t="str">
        <f t="shared" si="8"/>
        <v/>
      </c>
      <c r="H311" s="37"/>
    </row>
    <row r="312">
      <c r="A312" s="37"/>
      <c r="B312" s="37"/>
      <c r="C312" s="37"/>
      <c r="D312" s="37"/>
      <c r="E312" s="36"/>
      <c r="F312" s="36"/>
      <c r="G312" s="36" t="str">
        <f t="shared" si="8"/>
        <v/>
      </c>
      <c r="H312" s="37"/>
    </row>
    <row r="313">
      <c r="A313" s="37"/>
      <c r="B313" s="37"/>
      <c r="C313" s="37"/>
      <c r="D313" s="37"/>
      <c r="E313" s="36"/>
      <c r="F313" s="36"/>
      <c r="G313" s="36" t="str">
        <f t="shared" si="8"/>
        <v/>
      </c>
      <c r="H313" s="37"/>
    </row>
    <row r="314">
      <c r="A314" s="37"/>
      <c r="B314" s="37"/>
      <c r="C314" s="37"/>
      <c r="D314" s="37"/>
      <c r="E314" s="36"/>
      <c r="F314" s="36"/>
      <c r="G314" s="36" t="str">
        <f t="shared" si="8"/>
        <v/>
      </c>
      <c r="H314" s="37"/>
    </row>
    <row r="315">
      <c r="A315" s="37"/>
      <c r="B315" s="37"/>
      <c r="C315" s="37"/>
      <c r="D315" s="37"/>
      <c r="E315" s="36"/>
      <c r="F315" s="36"/>
      <c r="G315" s="36" t="str">
        <f t="shared" si="8"/>
        <v/>
      </c>
      <c r="H315" s="37"/>
    </row>
    <row r="316">
      <c r="A316" s="37"/>
      <c r="B316" s="37"/>
      <c r="C316" s="37"/>
      <c r="D316" s="37"/>
      <c r="E316" s="36"/>
      <c r="F316" s="36"/>
      <c r="G316" s="36" t="str">
        <f t="shared" si="8"/>
        <v/>
      </c>
      <c r="H316" s="37"/>
    </row>
    <row r="317">
      <c r="A317" s="37"/>
      <c r="B317" s="37"/>
      <c r="C317" s="37"/>
      <c r="D317" s="37"/>
      <c r="E317" s="36"/>
      <c r="F317" s="36"/>
      <c r="G317" s="36" t="str">
        <f t="shared" si="8"/>
        <v/>
      </c>
      <c r="H317" s="37"/>
    </row>
    <row r="318">
      <c r="A318" s="37"/>
      <c r="B318" s="37"/>
      <c r="C318" s="37"/>
      <c r="D318" s="37"/>
      <c r="E318" s="36"/>
      <c r="F318" s="36"/>
      <c r="G318" s="36" t="str">
        <f t="shared" si="8"/>
        <v/>
      </c>
      <c r="H318" s="37"/>
    </row>
    <row r="319">
      <c r="A319" s="37"/>
      <c r="B319" s="37"/>
      <c r="C319" s="37"/>
      <c r="D319" s="37"/>
      <c r="E319" s="36"/>
      <c r="F319" s="36"/>
      <c r="G319" s="36" t="str">
        <f t="shared" si="8"/>
        <v/>
      </c>
      <c r="H319" s="37"/>
    </row>
    <row r="320">
      <c r="A320" s="37"/>
      <c r="B320" s="37"/>
      <c r="C320" s="37"/>
      <c r="D320" s="37"/>
      <c r="E320" s="36"/>
      <c r="F320" s="36"/>
      <c r="G320" s="36" t="str">
        <f t="shared" si="8"/>
        <v/>
      </c>
      <c r="H320" s="37"/>
    </row>
    <row r="321">
      <c r="A321" s="37"/>
      <c r="B321" s="37"/>
      <c r="C321" s="37"/>
      <c r="D321" s="37"/>
      <c r="E321" s="36"/>
      <c r="F321" s="36"/>
      <c r="G321" s="36" t="str">
        <f t="shared" si="8"/>
        <v/>
      </c>
      <c r="H321" s="37"/>
    </row>
    <row r="322">
      <c r="A322" s="37"/>
      <c r="B322" s="37"/>
      <c r="C322" s="37"/>
      <c r="D322" s="37"/>
      <c r="E322" s="36"/>
      <c r="F322" s="36"/>
      <c r="G322" s="36" t="str">
        <f t="shared" si="8"/>
        <v/>
      </c>
      <c r="H322" s="37"/>
    </row>
    <row r="323">
      <c r="A323" s="37"/>
      <c r="B323" s="37"/>
      <c r="C323" s="37"/>
      <c r="D323" s="37"/>
      <c r="E323" s="36"/>
      <c r="F323" s="36"/>
      <c r="G323" s="36" t="str">
        <f t="shared" si="8"/>
        <v/>
      </c>
      <c r="H323" s="37"/>
    </row>
    <row r="324">
      <c r="A324" s="37"/>
      <c r="B324" s="37"/>
      <c r="C324" s="37"/>
      <c r="D324" s="37"/>
      <c r="E324" s="36"/>
      <c r="F324" s="36"/>
      <c r="G324" s="36" t="str">
        <f t="shared" si="8"/>
        <v/>
      </c>
      <c r="H324" s="37"/>
    </row>
    <row r="325">
      <c r="A325" s="37"/>
      <c r="B325" s="37"/>
      <c r="C325" s="37"/>
      <c r="D325" s="37"/>
      <c r="E325" s="36"/>
      <c r="F325" s="36"/>
      <c r="G325" s="36" t="str">
        <f t="shared" si="8"/>
        <v/>
      </c>
      <c r="H325" s="37"/>
    </row>
    <row r="326">
      <c r="A326" s="37"/>
      <c r="B326" s="37"/>
      <c r="C326" s="37"/>
      <c r="D326" s="37"/>
      <c r="E326" s="36"/>
      <c r="F326" s="36"/>
      <c r="G326" s="36" t="str">
        <f t="shared" si="8"/>
        <v/>
      </c>
      <c r="H326" s="37"/>
    </row>
    <row r="327">
      <c r="A327" s="37"/>
      <c r="B327" s="37"/>
      <c r="C327" s="37"/>
      <c r="D327" s="37"/>
      <c r="E327" s="36"/>
      <c r="F327" s="36"/>
      <c r="G327" s="36" t="str">
        <f t="shared" si="8"/>
        <v/>
      </c>
      <c r="H327" s="37"/>
    </row>
    <row r="328">
      <c r="A328" s="37"/>
      <c r="B328" s="37"/>
      <c r="C328" s="37"/>
      <c r="D328" s="37"/>
      <c r="E328" s="36"/>
      <c r="F328" s="36"/>
      <c r="G328" s="36" t="str">
        <f t="shared" si="8"/>
        <v/>
      </c>
      <c r="H328" s="37"/>
    </row>
    <row r="329">
      <c r="A329" s="37"/>
      <c r="B329" s="37"/>
      <c r="C329" s="37"/>
      <c r="D329" s="37"/>
      <c r="E329" s="36"/>
      <c r="F329" s="36"/>
      <c r="G329" s="36" t="str">
        <f t="shared" si="8"/>
        <v/>
      </c>
      <c r="H329" s="37"/>
    </row>
    <row r="330">
      <c r="A330" s="37"/>
      <c r="B330" s="37"/>
      <c r="C330" s="37"/>
      <c r="D330" s="37"/>
      <c r="E330" s="36"/>
      <c r="F330" s="36"/>
      <c r="G330" s="36" t="str">
        <f t="shared" si="8"/>
        <v/>
      </c>
      <c r="H330" s="37"/>
    </row>
    <row r="331">
      <c r="A331" s="37"/>
      <c r="B331" s="37"/>
      <c r="C331" s="37"/>
      <c r="D331" s="37"/>
      <c r="E331" s="36"/>
      <c r="F331" s="36"/>
      <c r="G331" s="36" t="str">
        <f t="shared" si="8"/>
        <v/>
      </c>
      <c r="H331" s="37"/>
    </row>
    <row r="332">
      <c r="A332" s="37"/>
      <c r="B332" s="37"/>
      <c r="C332" s="37"/>
      <c r="D332" s="37"/>
      <c r="E332" s="36"/>
      <c r="F332" s="36"/>
      <c r="G332" s="36" t="str">
        <f t="shared" si="8"/>
        <v/>
      </c>
      <c r="H332" s="37"/>
    </row>
    <row r="333">
      <c r="A333" s="37"/>
      <c r="B333" s="37"/>
      <c r="C333" s="37"/>
      <c r="D333" s="37"/>
      <c r="E333" s="36"/>
      <c r="F333" s="36"/>
      <c r="G333" s="36" t="str">
        <f t="shared" si="8"/>
        <v/>
      </c>
      <c r="H333" s="37"/>
    </row>
    <row r="334">
      <c r="A334" s="37"/>
      <c r="B334" s="37"/>
      <c r="C334" s="37"/>
      <c r="D334" s="37"/>
      <c r="E334" s="36"/>
      <c r="F334" s="36"/>
      <c r="G334" s="36" t="str">
        <f t="shared" si="8"/>
        <v/>
      </c>
      <c r="H334" s="37"/>
    </row>
    <row r="335">
      <c r="A335" s="37"/>
      <c r="B335" s="37"/>
      <c r="C335" s="37"/>
      <c r="D335" s="37"/>
      <c r="E335" s="36"/>
      <c r="F335" s="36"/>
      <c r="G335" s="36" t="str">
        <f t="shared" si="8"/>
        <v/>
      </c>
      <c r="H335" s="37"/>
    </row>
    <row r="336">
      <c r="A336" s="37"/>
      <c r="B336" s="37"/>
      <c r="C336" s="37"/>
      <c r="D336" s="37"/>
      <c r="E336" s="36"/>
      <c r="F336" s="36"/>
      <c r="G336" s="36" t="str">
        <f t="shared" si="8"/>
        <v/>
      </c>
      <c r="H336" s="37"/>
    </row>
    <row r="337">
      <c r="A337" s="37"/>
      <c r="B337" s="37"/>
      <c r="C337" s="37"/>
      <c r="D337" s="37"/>
      <c r="E337" s="36"/>
      <c r="F337" s="36"/>
      <c r="G337" s="36" t="str">
        <f t="shared" si="8"/>
        <v/>
      </c>
      <c r="H337" s="37"/>
    </row>
    <row r="338">
      <c r="A338" s="37"/>
      <c r="B338" s="37"/>
      <c r="C338" s="37"/>
      <c r="D338" s="37"/>
      <c r="E338" s="36"/>
      <c r="F338" s="36"/>
      <c r="G338" s="36" t="str">
        <f t="shared" si="8"/>
        <v/>
      </c>
      <c r="H338" s="37"/>
    </row>
    <row r="339">
      <c r="A339" s="37"/>
      <c r="B339" s="37"/>
      <c r="C339" s="37"/>
      <c r="D339" s="37"/>
      <c r="E339" s="36"/>
      <c r="F339" s="36"/>
      <c r="G339" s="36" t="str">
        <f t="shared" si="8"/>
        <v/>
      </c>
      <c r="H339" s="37"/>
    </row>
    <row r="340">
      <c r="A340" s="37"/>
      <c r="B340" s="37"/>
      <c r="C340" s="37"/>
      <c r="D340" s="37"/>
      <c r="E340" s="36"/>
      <c r="F340" s="36"/>
      <c r="G340" s="36" t="str">
        <f t="shared" si="8"/>
        <v/>
      </c>
      <c r="H340" s="37"/>
    </row>
    <row r="341">
      <c r="A341" s="37"/>
      <c r="B341" s="37"/>
      <c r="C341" s="37"/>
      <c r="D341" s="37"/>
      <c r="E341" s="36"/>
      <c r="F341" s="36"/>
      <c r="G341" s="36" t="str">
        <f t="shared" si="8"/>
        <v/>
      </c>
      <c r="H341" s="37"/>
    </row>
    <row r="342">
      <c r="A342" s="37"/>
      <c r="B342" s="37"/>
      <c r="C342" s="37"/>
      <c r="D342" s="37"/>
      <c r="E342" s="36"/>
      <c r="F342" s="36"/>
      <c r="G342" s="36" t="str">
        <f t="shared" si="8"/>
        <v/>
      </c>
      <c r="H342" s="37"/>
    </row>
    <row r="343">
      <c r="A343" s="37"/>
      <c r="B343" s="37"/>
      <c r="C343" s="37"/>
      <c r="D343" s="37"/>
      <c r="E343" s="36"/>
      <c r="F343" s="36"/>
      <c r="G343" s="36" t="str">
        <f t="shared" si="8"/>
        <v/>
      </c>
      <c r="H343" s="37"/>
    </row>
    <row r="344">
      <c r="A344" s="37"/>
      <c r="B344" s="37"/>
      <c r="C344" s="37"/>
      <c r="D344" s="37"/>
      <c r="E344" s="36"/>
      <c r="F344" s="36"/>
      <c r="G344" s="36" t="str">
        <f t="shared" si="8"/>
        <v/>
      </c>
      <c r="H344" s="37"/>
    </row>
    <row r="345">
      <c r="A345" s="37"/>
      <c r="B345" s="37"/>
      <c r="C345" s="37"/>
      <c r="D345" s="37"/>
      <c r="E345" s="36"/>
      <c r="F345" s="36"/>
      <c r="G345" s="36" t="str">
        <f t="shared" si="8"/>
        <v/>
      </c>
      <c r="H345" s="37"/>
    </row>
    <row r="346">
      <c r="A346" s="37"/>
      <c r="B346" s="37"/>
      <c r="C346" s="37"/>
      <c r="D346" s="37"/>
      <c r="E346" s="36"/>
      <c r="F346" s="36"/>
      <c r="G346" s="36" t="str">
        <f t="shared" si="8"/>
        <v/>
      </c>
      <c r="H346" s="37"/>
    </row>
    <row r="347">
      <c r="A347" s="37"/>
      <c r="B347" s="37"/>
      <c r="C347" s="37"/>
      <c r="D347" s="37"/>
      <c r="E347" s="36"/>
      <c r="F347" s="36"/>
      <c r="G347" s="36" t="str">
        <f t="shared" si="8"/>
        <v/>
      </c>
      <c r="H347" s="37"/>
    </row>
    <row r="348">
      <c r="A348" s="37"/>
      <c r="B348" s="37"/>
      <c r="C348" s="37"/>
      <c r="D348" s="37"/>
      <c r="E348" s="36"/>
      <c r="F348" s="36"/>
      <c r="G348" s="36" t="str">
        <f t="shared" si="8"/>
        <v/>
      </c>
      <c r="H348" s="37"/>
    </row>
    <row r="349">
      <c r="A349" s="37"/>
      <c r="B349" s="37"/>
      <c r="C349" s="37"/>
      <c r="D349" s="37"/>
      <c r="E349" s="36"/>
      <c r="F349" s="36"/>
      <c r="G349" s="36" t="str">
        <f t="shared" si="8"/>
        <v/>
      </c>
      <c r="H349" s="37"/>
    </row>
    <row r="350">
      <c r="A350" s="37"/>
      <c r="B350" s="37"/>
      <c r="C350" s="37"/>
      <c r="D350" s="37"/>
      <c r="E350" s="36"/>
      <c r="F350" s="36"/>
      <c r="G350" s="36" t="str">
        <f t="shared" si="8"/>
        <v/>
      </c>
      <c r="H350" s="37"/>
    </row>
    <row r="351">
      <c r="A351" s="37"/>
      <c r="B351" s="37"/>
      <c r="C351" s="37"/>
      <c r="D351" s="37"/>
      <c r="E351" s="36"/>
      <c r="F351" s="36"/>
      <c r="G351" s="36" t="str">
        <f t="shared" si="8"/>
        <v/>
      </c>
      <c r="H351" s="37"/>
    </row>
    <row r="352">
      <c r="A352" s="37"/>
      <c r="B352" s="37"/>
      <c r="C352" s="37"/>
      <c r="D352" s="37"/>
      <c r="E352" s="36"/>
      <c r="F352" s="36"/>
      <c r="G352" s="36" t="str">
        <f t="shared" si="8"/>
        <v/>
      </c>
      <c r="H352" s="37"/>
    </row>
    <row r="353">
      <c r="A353" s="37"/>
      <c r="B353" s="37"/>
      <c r="C353" s="37"/>
      <c r="D353" s="37"/>
      <c r="E353" s="36"/>
      <c r="F353" s="36"/>
      <c r="G353" s="36" t="str">
        <f t="shared" si="8"/>
        <v/>
      </c>
      <c r="H353" s="37"/>
    </row>
    <row r="354">
      <c r="A354" s="37"/>
      <c r="B354" s="37"/>
      <c r="C354" s="37"/>
      <c r="D354" s="37"/>
      <c r="E354" s="36"/>
      <c r="F354" s="36"/>
      <c r="G354" s="36" t="str">
        <f t="shared" si="8"/>
        <v/>
      </c>
      <c r="H354" s="37"/>
    </row>
    <row r="355">
      <c r="A355" s="37"/>
      <c r="B355" s="37"/>
      <c r="C355" s="37"/>
      <c r="D355" s="37"/>
      <c r="E355" s="36"/>
      <c r="F355" s="36"/>
      <c r="G355" s="36" t="str">
        <f t="shared" si="8"/>
        <v/>
      </c>
      <c r="H355" s="37"/>
    </row>
    <row r="356">
      <c r="A356" s="37"/>
      <c r="B356" s="37"/>
      <c r="C356" s="37"/>
      <c r="D356" s="37"/>
      <c r="E356" s="36"/>
      <c r="F356" s="36"/>
      <c r="G356" s="36" t="str">
        <f t="shared" si="8"/>
        <v/>
      </c>
      <c r="H356" s="37"/>
    </row>
    <row r="357">
      <c r="A357" s="37"/>
      <c r="B357" s="37"/>
      <c r="C357" s="37"/>
      <c r="D357" s="37"/>
      <c r="E357" s="36"/>
      <c r="F357" s="36"/>
      <c r="G357" s="36" t="str">
        <f t="shared" si="8"/>
        <v/>
      </c>
      <c r="H357" s="37"/>
    </row>
    <row r="358">
      <c r="A358" s="37"/>
      <c r="B358" s="37"/>
      <c r="C358" s="37"/>
      <c r="D358" s="37"/>
      <c r="E358" s="36"/>
      <c r="F358" s="36"/>
      <c r="G358" s="36" t="str">
        <f t="shared" si="8"/>
        <v/>
      </c>
      <c r="H358" s="37"/>
    </row>
    <row r="359">
      <c r="A359" s="37"/>
      <c r="B359" s="37"/>
      <c r="C359" s="37"/>
      <c r="D359" s="37"/>
      <c r="E359" s="36"/>
      <c r="F359" s="36"/>
      <c r="G359" s="36" t="str">
        <f t="shared" si="8"/>
        <v/>
      </c>
      <c r="H359" s="37"/>
    </row>
    <row r="360">
      <c r="A360" s="37"/>
      <c r="B360" s="37"/>
      <c r="C360" s="37"/>
      <c r="D360" s="37"/>
      <c r="E360" s="36"/>
      <c r="F360" s="36"/>
      <c r="G360" s="36" t="str">
        <f t="shared" si="8"/>
        <v/>
      </c>
      <c r="H360" s="37"/>
    </row>
    <row r="361">
      <c r="A361" s="37"/>
      <c r="B361" s="37"/>
      <c r="C361" s="37"/>
      <c r="D361" s="37"/>
      <c r="E361" s="36"/>
      <c r="F361" s="36"/>
      <c r="G361" s="36" t="str">
        <f t="shared" si="8"/>
        <v/>
      </c>
      <c r="H361" s="37"/>
    </row>
    <row r="362">
      <c r="A362" s="37"/>
      <c r="B362" s="37"/>
      <c r="C362" s="37"/>
      <c r="D362" s="37"/>
      <c r="E362" s="36"/>
      <c r="F362" s="36"/>
      <c r="G362" s="36" t="str">
        <f t="shared" si="8"/>
        <v/>
      </c>
      <c r="H362" s="37"/>
    </row>
    <row r="363">
      <c r="A363" s="37"/>
      <c r="B363" s="37"/>
      <c r="C363" s="37"/>
      <c r="D363" s="37"/>
      <c r="E363" s="36"/>
      <c r="F363" s="36"/>
      <c r="G363" s="36" t="str">
        <f t="shared" si="8"/>
        <v/>
      </c>
      <c r="H363" s="37"/>
    </row>
    <row r="364">
      <c r="A364" s="37"/>
      <c r="B364" s="37"/>
      <c r="C364" s="37"/>
      <c r="D364" s="37"/>
      <c r="E364" s="36"/>
      <c r="F364" s="36"/>
      <c r="G364" s="36" t="str">
        <f t="shared" si="8"/>
        <v/>
      </c>
      <c r="H364" s="37"/>
    </row>
    <row r="365">
      <c r="A365" s="37"/>
      <c r="B365" s="37"/>
      <c r="C365" s="37"/>
      <c r="D365" s="37"/>
      <c r="E365" s="36"/>
      <c r="F365" s="36"/>
      <c r="G365" s="36" t="str">
        <f t="shared" si="8"/>
        <v/>
      </c>
      <c r="H365" s="37"/>
    </row>
    <row r="366">
      <c r="A366" s="37"/>
      <c r="B366" s="37"/>
      <c r="C366" s="37"/>
      <c r="D366" s="37"/>
      <c r="E366" s="36"/>
      <c r="F366" s="36"/>
      <c r="G366" s="36" t="str">
        <f t="shared" si="8"/>
        <v/>
      </c>
      <c r="H366" s="37"/>
    </row>
    <row r="367">
      <c r="A367" s="37"/>
      <c r="B367" s="37"/>
      <c r="C367" s="37"/>
      <c r="D367" s="37"/>
      <c r="E367" s="36"/>
      <c r="F367" s="36"/>
      <c r="G367" s="36" t="str">
        <f t="shared" si="8"/>
        <v/>
      </c>
      <c r="H367" s="37"/>
    </row>
    <row r="368">
      <c r="A368" s="37"/>
      <c r="B368" s="37"/>
      <c r="C368" s="37"/>
      <c r="D368" s="37"/>
      <c r="E368" s="36"/>
      <c r="F368" s="36"/>
      <c r="G368" s="36" t="str">
        <f t="shared" si="8"/>
        <v/>
      </c>
      <c r="H368" s="37"/>
    </row>
    <row r="369">
      <c r="A369" s="37"/>
      <c r="B369" s="37"/>
      <c r="C369" s="37"/>
      <c r="D369" s="37"/>
      <c r="E369" s="36"/>
      <c r="F369" s="36"/>
      <c r="G369" s="36" t="str">
        <f t="shared" si="8"/>
        <v/>
      </c>
      <c r="H369" s="37"/>
    </row>
    <row r="370">
      <c r="A370" s="37"/>
      <c r="B370" s="37"/>
      <c r="C370" s="37"/>
      <c r="D370" s="37"/>
      <c r="E370" s="36"/>
      <c r="F370" s="36"/>
      <c r="G370" s="36" t="str">
        <f t="shared" si="8"/>
        <v/>
      </c>
      <c r="H370" s="37"/>
    </row>
    <row r="371">
      <c r="A371" s="37"/>
      <c r="B371" s="37"/>
      <c r="C371" s="37"/>
      <c r="D371" s="37"/>
      <c r="E371" s="36"/>
      <c r="F371" s="36"/>
      <c r="G371" s="36" t="str">
        <f t="shared" si="8"/>
        <v/>
      </c>
      <c r="H371" s="37"/>
    </row>
    <row r="372">
      <c r="A372" s="37"/>
      <c r="B372" s="37"/>
      <c r="C372" s="37"/>
      <c r="D372" s="37"/>
      <c r="E372" s="36"/>
      <c r="F372" s="36"/>
      <c r="G372" s="36" t="str">
        <f t="shared" si="8"/>
        <v/>
      </c>
      <c r="H372" s="37"/>
    </row>
    <row r="373">
      <c r="A373" s="37"/>
      <c r="B373" s="37"/>
      <c r="C373" s="37"/>
      <c r="D373" s="37"/>
      <c r="E373" s="36"/>
      <c r="F373" s="36"/>
      <c r="G373" s="36" t="str">
        <f t="shared" si="8"/>
        <v/>
      </c>
      <c r="H373" s="37"/>
    </row>
    <row r="374">
      <c r="A374" s="37"/>
      <c r="B374" s="37"/>
      <c r="C374" s="37"/>
      <c r="D374" s="37"/>
      <c r="E374" s="36"/>
      <c r="F374" s="36"/>
      <c r="G374" s="36" t="str">
        <f t="shared" si="8"/>
        <v/>
      </c>
      <c r="H374" s="37"/>
    </row>
    <row r="375">
      <c r="A375" s="37"/>
      <c r="B375" s="37"/>
      <c r="C375" s="37"/>
      <c r="D375" s="37"/>
      <c r="E375" s="36"/>
      <c r="F375" s="36"/>
      <c r="G375" s="36" t="str">
        <f t="shared" si="8"/>
        <v/>
      </c>
      <c r="H375" s="37"/>
    </row>
    <row r="376">
      <c r="A376" s="37"/>
      <c r="B376" s="37"/>
      <c r="C376" s="37"/>
      <c r="D376" s="37"/>
      <c r="E376" s="36"/>
      <c r="F376" s="36"/>
      <c r="G376" s="36" t="str">
        <f t="shared" si="8"/>
        <v/>
      </c>
      <c r="H376" s="37"/>
    </row>
    <row r="377">
      <c r="A377" s="37"/>
      <c r="B377" s="37"/>
      <c r="C377" s="37"/>
      <c r="D377" s="37"/>
      <c r="E377" s="36"/>
      <c r="F377" s="36"/>
      <c r="G377" s="36" t="str">
        <f t="shared" si="8"/>
        <v/>
      </c>
      <c r="H377" s="37"/>
    </row>
    <row r="378">
      <c r="A378" s="37"/>
      <c r="B378" s="37"/>
      <c r="C378" s="37"/>
      <c r="D378" s="37"/>
      <c r="E378" s="36"/>
      <c r="F378" s="36"/>
      <c r="G378" s="36" t="str">
        <f t="shared" si="8"/>
        <v/>
      </c>
      <c r="H378" s="37"/>
    </row>
    <row r="379">
      <c r="A379" s="37"/>
      <c r="B379" s="37"/>
      <c r="C379" s="37"/>
      <c r="D379" s="37"/>
      <c r="E379" s="36"/>
      <c r="F379" s="36"/>
      <c r="G379" s="36" t="str">
        <f t="shared" si="8"/>
        <v/>
      </c>
      <c r="H379" s="37"/>
    </row>
    <row r="380">
      <c r="A380" s="37"/>
      <c r="B380" s="37"/>
      <c r="C380" s="37"/>
      <c r="D380" s="37"/>
      <c r="E380" s="36"/>
      <c r="F380" s="36"/>
      <c r="G380" s="36" t="str">
        <f t="shared" si="8"/>
        <v/>
      </c>
      <c r="H380" s="37"/>
    </row>
    <row r="381">
      <c r="A381" s="37"/>
      <c r="B381" s="37"/>
      <c r="C381" s="37"/>
      <c r="D381" s="37"/>
      <c r="E381" s="36"/>
      <c r="F381" s="36"/>
      <c r="G381" s="36" t="str">
        <f t="shared" si="8"/>
        <v/>
      </c>
      <c r="H381" s="37"/>
    </row>
    <row r="382">
      <c r="A382" s="37"/>
      <c r="B382" s="37"/>
      <c r="C382" s="37"/>
      <c r="D382" s="37"/>
      <c r="E382" s="36"/>
      <c r="F382" s="36"/>
      <c r="G382" s="36" t="str">
        <f t="shared" si="8"/>
        <v/>
      </c>
      <c r="H382" s="37"/>
    </row>
    <row r="383">
      <c r="A383" s="37"/>
      <c r="B383" s="37"/>
      <c r="C383" s="37"/>
      <c r="D383" s="37"/>
      <c r="E383" s="36"/>
      <c r="F383" s="36"/>
      <c r="G383" s="36" t="str">
        <f t="shared" si="8"/>
        <v/>
      </c>
      <c r="H383" s="37"/>
    </row>
    <row r="384">
      <c r="A384" s="37"/>
      <c r="B384" s="37"/>
      <c r="C384" s="37"/>
      <c r="D384" s="37"/>
      <c r="E384" s="36"/>
      <c r="F384" s="36"/>
      <c r="G384" s="36" t="str">
        <f t="shared" si="8"/>
        <v/>
      </c>
      <c r="H384" s="37"/>
    </row>
    <row r="385">
      <c r="A385" s="37"/>
      <c r="B385" s="37"/>
      <c r="C385" s="37"/>
      <c r="D385" s="37"/>
      <c r="E385" s="36"/>
      <c r="F385" s="36"/>
      <c r="G385" s="36" t="str">
        <f t="shared" si="8"/>
        <v/>
      </c>
      <c r="H385" s="37"/>
    </row>
    <row r="386">
      <c r="A386" s="37"/>
      <c r="B386" s="37"/>
      <c r="C386" s="37"/>
      <c r="D386" s="37"/>
      <c r="E386" s="36"/>
      <c r="F386" s="36"/>
      <c r="G386" s="36" t="str">
        <f t="shared" si="8"/>
        <v/>
      </c>
      <c r="H386" s="37"/>
    </row>
    <row r="387">
      <c r="A387" s="37"/>
      <c r="B387" s="37"/>
      <c r="C387" s="37"/>
      <c r="D387" s="37"/>
      <c r="E387" s="36"/>
      <c r="F387" s="36"/>
      <c r="G387" s="36" t="str">
        <f t="shared" si="8"/>
        <v/>
      </c>
      <c r="H387" s="37"/>
    </row>
    <row r="388">
      <c r="A388" s="37"/>
      <c r="B388" s="37"/>
      <c r="C388" s="37"/>
      <c r="D388" s="37"/>
      <c r="E388" s="36"/>
      <c r="F388" s="36"/>
      <c r="G388" s="36" t="str">
        <f t="shared" si="8"/>
        <v/>
      </c>
      <c r="H388" s="37"/>
    </row>
    <row r="389">
      <c r="A389" s="37"/>
      <c r="B389" s="37"/>
      <c r="C389" s="37"/>
      <c r="D389" s="37"/>
      <c r="E389" s="36"/>
      <c r="F389" s="36"/>
      <c r="G389" s="36" t="str">
        <f t="shared" si="8"/>
        <v/>
      </c>
      <c r="H389" s="37"/>
    </row>
    <row r="390">
      <c r="A390" s="37"/>
      <c r="B390" s="37"/>
      <c r="C390" s="37"/>
      <c r="D390" s="37"/>
      <c r="E390" s="36"/>
      <c r="F390" s="36"/>
      <c r="G390" s="36" t="str">
        <f t="shared" si="8"/>
        <v/>
      </c>
      <c r="H390" s="37"/>
    </row>
    <row r="391">
      <c r="A391" s="37"/>
      <c r="B391" s="37"/>
      <c r="C391" s="37"/>
      <c r="D391" s="37"/>
      <c r="E391" s="36"/>
      <c r="F391" s="36"/>
      <c r="G391" s="36" t="str">
        <f t="shared" si="8"/>
        <v/>
      </c>
      <c r="H391" s="37"/>
    </row>
    <row r="392">
      <c r="A392" s="37"/>
      <c r="B392" s="37"/>
      <c r="C392" s="37"/>
      <c r="D392" s="37"/>
      <c r="E392" s="36"/>
      <c r="F392" s="36"/>
      <c r="G392" s="36" t="str">
        <f t="shared" si="8"/>
        <v/>
      </c>
      <c r="H392" s="37"/>
    </row>
    <row r="393">
      <c r="A393" s="37"/>
      <c r="B393" s="37"/>
      <c r="C393" s="37"/>
      <c r="D393" s="37"/>
      <c r="E393" s="36"/>
      <c r="F393" s="36"/>
      <c r="G393" s="36" t="str">
        <f t="shared" si="8"/>
        <v/>
      </c>
      <c r="H393" s="37"/>
    </row>
    <row r="394">
      <c r="A394" s="37"/>
      <c r="B394" s="37"/>
      <c r="C394" s="37"/>
      <c r="D394" s="37"/>
      <c r="E394" s="36"/>
      <c r="F394" s="36"/>
      <c r="G394" s="36" t="str">
        <f t="shared" si="8"/>
        <v/>
      </c>
      <c r="H394" s="37"/>
    </row>
    <row r="395">
      <c r="A395" s="37"/>
      <c r="B395" s="37"/>
      <c r="C395" s="37"/>
      <c r="D395" s="37"/>
      <c r="E395" s="36"/>
      <c r="F395" s="36"/>
      <c r="G395" s="36" t="str">
        <f t="shared" si="8"/>
        <v/>
      </c>
      <c r="H395" s="37"/>
    </row>
    <row r="396">
      <c r="A396" s="37"/>
      <c r="B396" s="37"/>
      <c r="C396" s="37"/>
      <c r="D396" s="37"/>
      <c r="E396" s="36"/>
      <c r="F396" s="36"/>
      <c r="G396" s="36" t="str">
        <f t="shared" si="8"/>
        <v/>
      </c>
      <c r="H396" s="37"/>
    </row>
    <row r="397">
      <c r="A397" s="37"/>
      <c r="B397" s="37"/>
      <c r="C397" s="37"/>
      <c r="D397" s="37"/>
      <c r="E397" s="36"/>
      <c r="F397" s="36"/>
      <c r="G397" s="36" t="str">
        <f t="shared" si="8"/>
        <v/>
      </c>
      <c r="H397" s="37"/>
    </row>
    <row r="398">
      <c r="A398" s="37"/>
      <c r="B398" s="37"/>
      <c r="C398" s="37"/>
      <c r="D398" s="37"/>
      <c r="E398" s="36"/>
      <c r="F398" s="36"/>
      <c r="G398" s="36" t="str">
        <f t="shared" si="8"/>
        <v/>
      </c>
      <c r="H398" s="37"/>
    </row>
    <row r="399">
      <c r="A399" s="37"/>
      <c r="B399" s="37"/>
      <c r="C399" s="37"/>
      <c r="D399" s="37"/>
      <c r="E399" s="36"/>
      <c r="F399" s="36"/>
      <c r="G399" s="36" t="str">
        <f t="shared" si="8"/>
        <v/>
      </c>
      <c r="H399" s="37"/>
    </row>
    <row r="400">
      <c r="A400" s="37"/>
      <c r="B400" s="37"/>
      <c r="C400" s="37"/>
      <c r="D400" s="37"/>
      <c r="E400" s="36"/>
      <c r="F400" s="36"/>
      <c r="G400" s="36" t="str">
        <f t="shared" si="8"/>
        <v/>
      </c>
      <c r="H400" s="37"/>
    </row>
    <row r="401">
      <c r="A401" s="37"/>
      <c r="B401" s="37"/>
      <c r="C401" s="37"/>
      <c r="D401" s="37"/>
      <c r="E401" s="36"/>
      <c r="F401" s="36"/>
      <c r="G401" s="36" t="str">
        <f t="shared" si="8"/>
        <v/>
      </c>
      <c r="H401" s="37"/>
    </row>
    <row r="402">
      <c r="A402" s="37"/>
      <c r="B402" s="37"/>
      <c r="C402" s="37"/>
      <c r="D402" s="37"/>
      <c r="E402" s="36"/>
      <c r="F402" s="36"/>
      <c r="G402" s="36" t="str">
        <f t="shared" si="8"/>
        <v/>
      </c>
      <c r="H402" s="37"/>
    </row>
    <row r="403">
      <c r="A403" s="37"/>
      <c r="B403" s="37"/>
      <c r="C403" s="37"/>
      <c r="D403" s="37"/>
      <c r="E403" s="36"/>
      <c r="F403" s="36"/>
      <c r="G403" s="36" t="str">
        <f t="shared" si="8"/>
        <v/>
      </c>
      <c r="H403" s="37"/>
    </row>
    <row r="404">
      <c r="A404" s="37"/>
      <c r="B404" s="37"/>
      <c r="C404" s="37"/>
      <c r="D404" s="37"/>
      <c r="E404" s="36"/>
      <c r="F404" s="36"/>
      <c r="G404" s="36" t="str">
        <f t="shared" si="8"/>
        <v/>
      </c>
      <c r="H404" s="37"/>
    </row>
    <row r="405">
      <c r="A405" s="37"/>
      <c r="B405" s="37"/>
      <c r="C405" s="37"/>
      <c r="D405" s="37"/>
      <c r="E405" s="36"/>
      <c r="F405" s="36"/>
      <c r="G405" s="36" t="str">
        <f t="shared" si="8"/>
        <v/>
      </c>
      <c r="H405" s="37"/>
    </row>
    <row r="406">
      <c r="A406" s="37"/>
      <c r="B406" s="37"/>
      <c r="C406" s="37"/>
      <c r="D406" s="37"/>
      <c r="E406" s="36"/>
      <c r="F406" s="36"/>
      <c r="G406" s="36" t="str">
        <f t="shared" si="8"/>
        <v/>
      </c>
      <c r="H406" s="37"/>
    </row>
    <row r="407">
      <c r="A407" s="37"/>
      <c r="B407" s="37"/>
      <c r="C407" s="37"/>
      <c r="D407" s="37"/>
      <c r="E407" s="36"/>
      <c r="F407" s="36"/>
      <c r="G407" s="36" t="str">
        <f t="shared" si="8"/>
        <v/>
      </c>
      <c r="H407" s="37"/>
    </row>
    <row r="408">
      <c r="A408" s="37"/>
      <c r="B408" s="37"/>
      <c r="C408" s="37"/>
      <c r="D408" s="37"/>
      <c r="E408" s="36"/>
      <c r="F408" s="36"/>
      <c r="G408" s="36" t="str">
        <f t="shared" si="8"/>
        <v/>
      </c>
      <c r="H408" s="37"/>
    </row>
    <row r="409">
      <c r="A409" s="37"/>
      <c r="B409" s="37"/>
      <c r="C409" s="37"/>
      <c r="D409" s="37"/>
      <c r="E409" s="36"/>
      <c r="F409" s="36"/>
      <c r="G409" s="36" t="str">
        <f t="shared" si="8"/>
        <v/>
      </c>
      <c r="H409" s="37"/>
    </row>
    <row r="410">
      <c r="A410" s="37"/>
      <c r="B410" s="37"/>
      <c r="C410" s="37"/>
      <c r="D410" s="37"/>
      <c r="E410" s="36"/>
      <c r="F410" s="36"/>
      <c r="G410" s="36" t="str">
        <f t="shared" si="8"/>
        <v/>
      </c>
      <c r="H410" s="37"/>
    </row>
    <row r="411">
      <c r="A411" s="37"/>
      <c r="B411" s="37"/>
      <c r="C411" s="37"/>
      <c r="D411" s="37"/>
      <c r="E411" s="36"/>
      <c r="F411" s="36"/>
      <c r="G411" s="36" t="str">
        <f t="shared" si="8"/>
        <v/>
      </c>
      <c r="H411" s="37"/>
    </row>
    <row r="412">
      <c r="A412" s="37"/>
      <c r="B412" s="37"/>
      <c r="C412" s="37"/>
      <c r="D412" s="37"/>
      <c r="E412" s="36"/>
      <c r="F412" s="36"/>
      <c r="G412" s="36" t="str">
        <f t="shared" si="8"/>
        <v/>
      </c>
      <c r="H412" s="37"/>
    </row>
    <row r="413">
      <c r="A413" s="37"/>
      <c r="B413" s="37"/>
      <c r="C413" s="37"/>
      <c r="D413" s="37"/>
      <c r="E413" s="36"/>
      <c r="F413" s="36"/>
      <c r="G413" s="36" t="str">
        <f t="shared" si="8"/>
        <v/>
      </c>
      <c r="H413" s="37"/>
    </row>
    <row r="414">
      <c r="A414" s="37"/>
      <c r="B414" s="37"/>
      <c r="C414" s="37"/>
      <c r="D414" s="37"/>
      <c r="E414" s="36"/>
      <c r="F414" s="36"/>
      <c r="G414" s="36" t="str">
        <f t="shared" si="8"/>
        <v/>
      </c>
      <c r="H414" s="37"/>
    </row>
    <row r="415">
      <c r="A415" s="37"/>
      <c r="B415" s="37"/>
      <c r="C415" s="37"/>
      <c r="D415" s="37"/>
      <c r="E415" s="36"/>
      <c r="F415" s="36"/>
      <c r="G415" s="36" t="str">
        <f t="shared" si="8"/>
        <v/>
      </c>
      <c r="H415" s="37"/>
    </row>
    <row r="416">
      <c r="A416" s="37"/>
      <c r="B416" s="37"/>
      <c r="C416" s="37"/>
      <c r="D416" s="37"/>
      <c r="E416" s="36"/>
      <c r="F416" s="36"/>
      <c r="G416" s="36" t="str">
        <f t="shared" si="8"/>
        <v/>
      </c>
      <c r="H416" s="37"/>
    </row>
    <row r="417">
      <c r="A417" s="37"/>
      <c r="B417" s="37"/>
      <c r="C417" s="37"/>
      <c r="D417" s="37"/>
      <c r="E417" s="36"/>
      <c r="F417" s="36"/>
      <c r="G417" s="36" t="str">
        <f t="shared" si="8"/>
        <v/>
      </c>
      <c r="H417" s="37"/>
    </row>
    <row r="418">
      <c r="A418" s="37"/>
      <c r="B418" s="37"/>
      <c r="C418" s="37"/>
      <c r="D418" s="37"/>
      <c r="E418" s="36"/>
      <c r="F418" s="36"/>
      <c r="G418" s="36" t="str">
        <f t="shared" si="8"/>
        <v/>
      </c>
      <c r="H418" s="37"/>
    </row>
    <row r="419">
      <c r="A419" s="37"/>
      <c r="B419" s="37"/>
      <c r="C419" s="37"/>
      <c r="D419" s="37"/>
      <c r="E419" s="36"/>
      <c r="F419" s="36"/>
      <c r="G419" s="36" t="str">
        <f t="shared" si="8"/>
        <v/>
      </c>
      <c r="H419" s="37"/>
    </row>
    <row r="420">
      <c r="A420" s="37"/>
      <c r="B420" s="37"/>
      <c r="C420" s="37"/>
      <c r="D420" s="37"/>
      <c r="E420" s="36"/>
      <c r="F420" s="36"/>
      <c r="G420" s="36" t="str">
        <f t="shared" si="8"/>
        <v/>
      </c>
      <c r="H420" s="37"/>
    </row>
    <row r="421">
      <c r="A421" s="37"/>
      <c r="B421" s="37"/>
      <c r="C421" s="37"/>
      <c r="D421" s="37"/>
      <c r="E421" s="36"/>
      <c r="F421" s="36"/>
      <c r="G421" s="36" t="str">
        <f t="shared" si="8"/>
        <v/>
      </c>
      <c r="H421" s="37"/>
    </row>
    <row r="422">
      <c r="A422" s="37"/>
      <c r="B422" s="37"/>
      <c r="C422" s="37"/>
      <c r="D422" s="37"/>
      <c r="E422" s="36"/>
      <c r="F422" s="36"/>
      <c r="G422" s="36" t="str">
        <f t="shared" si="8"/>
        <v/>
      </c>
      <c r="H422" s="37"/>
    </row>
    <row r="423">
      <c r="A423" s="37"/>
      <c r="B423" s="37"/>
      <c r="C423" s="37"/>
      <c r="D423" s="37"/>
      <c r="E423" s="36"/>
      <c r="F423" s="36"/>
      <c r="G423" s="36" t="str">
        <f t="shared" si="8"/>
        <v/>
      </c>
      <c r="H423" s="37"/>
    </row>
    <row r="424">
      <c r="A424" s="37"/>
      <c r="B424" s="37"/>
      <c r="C424" s="37"/>
      <c r="D424" s="37"/>
      <c r="E424" s="36"/>
      <c r="F424" s="36"/>
      <c r="G424" s="36" t="str">
        <f t="shared" si="8"/>
        <v/>
      </c>
      <c r="H424" s="37"/>
    </row>
    <row r="425">
      <c r="A425" s="37"/>
      <c r="B425" s="37"/>
      <c r="C425" s="37"/>
      <c r="D425" s="37"/>
      <c r="E425" s="36"/>
      <c r="F425" s="36"/>
      <c r="G425" s="36" t="str">
        <f t="shared" si="8"/>
        <v/>
      </c>
      <c r="H425" s="37"/>
    </row>
    <row r="426">
      <c r="A426" s="37"/>
      <c r="B426" s="37"/>
      <c r="C426" s="37"/>
      <c r="D426" s="37"/>
      <c r="E426" s="36"/>
      <c r="F426" s="36"/>
      <c r="G426" s="36" t="str">
        <f t="shared" si="8"/>
        <v/>
      </c>
      <c r="H426" s="37"/>
    </row>
    <row r="427">
      <c r="A427" s="37"/>
      <c r="B427" s="37"/>
      <c r="C427" s="37"/>
      <c r="D427" s="37"/>
      <c r="E427" s="36"/>
      <c r="F427" s="36"/>
      <c r="G427" s="36" t="str">
        <f t="shared" si="8"/>
        <v/>
      </c>
      <c r="H427" s="37"/>
    </row>
    <row r="428">
      <c r="A428" s="37"/>
      <c r="B428" s="37"/>
      <c r="C428" s="37"/>
      <c r="D428" s="37"/>
      <c r="E428" s="36"/>
      <c r="F428" s="36"/>
      <c r="G428" s="36" t="str">
        <f t="shared" si="8"/>
        <v/>
      </c>
      <c r="H428" s="37"/>
    </row>
    <row r="429">
      <c r="A429" s="37"/>
      <c r="B429" s="37"/>
      <c r="C429" s="37"/>
      <c r="D429" s="37"/>
      <c r="E429" s="36"/>
      <c r="F429" s="36"/>
      <c r="G429" s="36" t="str">
        <f t="shared" si="8"/>
        <v/>
      </c>
      <c r="H429" s="37"/>
    </row>
    <row r="430">
      <c r="A430" s="37"/>
      <c r="B430" s="37"/>
      <c r="C430" s="37"/>
      <c r="D430" s="37"/>
      <c r="E430" s="36"/>
      <c r="F430" s="36"/>
      <c r="G430" s="36" t="str">
        <f t="shared" si="8"/>
        <v/>
      </c>
      <c r="H430" s="37"/>
    </row>
    <row r="431">
      <c r="A431" s="37"/>
      <c r="B431" s="37"/>
      <c r="C431" s="37"/>
      <c r="D431" s="37"/>
      <c r="E431" s="36"/>
      <c r="F431" s="36"/>
      <c r="G431" s="36" t="str">
        <f t="shared" si="8"/>
        <v/>
      </c>
      <c r="H431" s="37"/>
    </row>
    <row r="432">
      <c r="A432" s="37"/>
      <c r="B432" s="37"/>
      <c r="C432" s="37"/>
      <c r="D432" s="37"/>
      <c r="E432" s="36"/>
      <c r="F432" s="36"/>
      <c r="G432" s="36" t="str">
        <f t="shared" si="8"/>
        <v/>
      </c>
      <c r="H432" s="37"/>
    </row>
    <row r="433">
      <c r="A433" s="37"/>
      <c r="B433" s="37"/>
      <c r="C433" s="37"/>
      <c r="D433" s="37"/>
      <c r="E433" s="36"/>
      <c r="F433" s="36"/>
      <c r="G433" s="36" t="str">
        <f t="shared" si="8"/>
        <v/>
      </c>
      <c r="H433" s="37"/>
    </row>
    <row r="434">
      <c r="A434" s="37"/>
      <c r="B434" s="37"/>
      <c r="C434" s="37"/>
      <c r="D434" s="37"/>
      <c r="E434" s="36"/>
      <c r="F434" s="36"/>
      <c r="G434" s="36" t="str">
        <f t="shared" si="8"/>
        <v/>
      </c>
      <c r="H434" s="37"/>
    </row>
    <row r="435">
      <c r="A435" s="37"/>
      <c r="B435" s="37"/>
      <c r="C435" s="37"/>
      <c r="D435" s="37"/>
      <c r="E435" s="36"/>
      <c r="F435" s="36"/>
      <c r="G435" s="36" t="str">
        <f t="shared" si="8"/>
        <v/>
      </c>
      <c r="H435" s="37"/>
    </row>
    <row r="436">
      <c r="A436" s="37"/>
      <c r="B436" s="37"/>
      <c r="C436" s="37"/>
      <c r="D436" s="37"/>
      <c r="E436" s="36"/>
      <c r="F436" s="36"/>
      <c r="G436" s="36" t="str">
        <f t="shared" si="8"/>
        <v/>
      </c>
      <c r="H436" s="37"/>
    </row>
    <row r="437">
      <c r="A437" s="37"/>
      <c r="B437" s="37"/>
      <c r="C437" s="37"/>
      <c r="D437" s="37"/>
      <c r="E437" s="36"/>
      <c r="F437" s="36"/>
      <c r="G437" s="36" t="str">
        <f t="shared" si="8"/>
        <v/>
      </c>
      <c r="H437" s="37"/>
    </row>
    <row r="438">
      <c r="A438" s="37"/>
      <c r="B438" s="37"/>
      <c r="C438" s="37"/>
      <c r="D438" s="37"/>
      <c r="E438" s="36"/>
      <c r="F438" s="36"/>
      <c r="G438" s="36" t="str">
        <f t="shared" si="8"/>
        <v/>
      </c>
      <c r="H438" s="37"/>
    </row>
    <row r="439">
      <c r="A439" s="37"/>
      <c r="B439" s="37"/>
      <c r="C439" s="37"/>
      <c r="D439" s="37"/>
      <c r="E439" s="36"/>
      <c r="F439" s="36"/>
      <c r="G439" s="36" t="str">
        <f t="shared" si="8"/>
        <v/>
      </c>
      <c r="H439" s="37"/>
    </row>
    <row r="440">
      <c r="A440" s="37"/>
      <c r="B440" s="37"/>
      <c r="C440" s="37"/>
      <c r="D440" s="37"/>
      <c r="E440" s="36"/>
      <c r="F440" s="36"/>
      <c r="G440" s="36" t="str">
        <f t="shared" si="8"/>
        <v/>
      </c>
      <c r="H440" s="37"/>
    </row>
    <row r="441">
      <c r="A441" s="37"/>
      <c r="B441" s="37"/>
      <c r="C441" s="37"/>
      <c r="D441" s="37"/>
      <c r="E441" s="36"/>
      <c r="F441" s="36"/>
      <c r="G441" s="36" t="str">
        <f t="shared" si="8"/>
        <v/>
      </c>
      <c r="H441" s="37"/>
    </row>
    <row r="442">
      <c r="A442" s="37"/>
      <c r="B442" s="37"/>
      <c r="C442" s="37"/>
      <c r="D442" s="37"/>
      <c r="E442" s="36"/>
      <c r="F442" s="36"/>
      <c r="G442" s="36" t="str">
        <f t="shared" si="8"/>
        <v/>
      </c>
      <c r="H442" s="37"/>
    </row>
    <row r="443">
      <c r="A443" s="37"/>
      <c r="B443" s="37"/>
      <c r="C443" s="37"/>
      <c r="D443" s="37"/>
      <c r="E443" s="36"/>
      <c r="F443" s="36"/>
      <c r="G443" s="36" t="str">
        <f t="shared" si="8"/>
        <v/>
      </c>
      <c r="H443" s="37"/>
    </row>
    <row r="444">
      <c r="A444" s="37"/>
      <c r="B444" s="37"/>
      <c r="C444" s="37"/>
      <c r="D444" s="37"/>
      <c r="E444" s="36"/>
      <c r="F444" s="36"/>
      <c r="G444" s="36" t="str">
        <f t="shared" si="8"/>
        <v/>
      </c>
      <c r="H444" s="37"/>
    </row>
    <row r="445">
      <c r="A445" s="37"/>
      <c r="B445" s="37"/>
      <c r="C445" s="37"/>
      <c r="D445" s="37"/>
      <c r="E445" s="36"/>
      <c r="F445" s="36"/>
      <c r="G445" s="36" t="str">
        <f t="shared" si="8"/>
        <v/>
      </c>
      <c r="H445" s="37"/>
    </row>
    <row r="446">
      <c r="A446" s="37"/>
      <c r="B446" s="37"/>
      <c r="C446" s="37"/>
      <c r="D446" s="37"/>
      <c r="E446" s="36"/>
      <c r="F446" s="36"/>
      <c r="G446" s="36" t="str">
        <f t="shared" si="8"/>
        <v/>
      </c>
      <c r="H446" s="37"/>
    </row>
    <row r="447">
      <c r="A447" s="37"/>
      <c r="B447" s="37"/>
      <c r="C447" s="37"/>
      <c r="D447" s="37"/>
      <c r="E447" s="36"/>
      <c r="F447" s="36"/>
      <c r="G447" s="36" t="str">
        <f t="shared" si="8"/>
        <v/>
      </c>
      <c r="H447" s="37"/>
    </row>
    <row r="448">
      <c r="A448" s="37"/>
      <c r="B448" s="37"/>
      <c r="C448" s="37"/>
      <c r="D448" s="37"/>
      <c r="E448" s="36"/>
      <c r="F448" s="36"/>
      <c r="G448" s="36" t="str">
        <f t="shared" si="8"/>
        <v/>
      </c>
      <c r="H448" s="37"/>
    </row>
    <row r="449">
      <c r="A449" s="37"/>
      <c r="B449" s="37"/>
      <c r="C449" s="37"/>
      <c r="D449" s="37"/>
      <c r="E449" s="36"/>
      <c r="F449" s="36"/>
      <c r="G449" s="36" t="str">
        <f t="shared" si="8"/>
        <v/>
      </c>
      <c r="H449" s="37"/>
    </row>
    <row r="450">
      <c r="A450" s="37"/>
      <c r="B450" s="37"/>
      <c r="C450" s="37"/>
      <c r="D450" s="37"/>
      <c r="E450" s="36"/>
      <c r="F450" s="36"/>
      <c r="G450" s="36"/>
      <c r="H450" s="37"/>
    </row>
    <row r="451">
      <c r="A451" s="37"/>
      <c r="B451" s="37"/>
      <c r="C451" s="37"/>
      <c r="D451" s="37"/>
      <c r="E451" s="36"/>
      <c r="F451" s="36"/>
      <c r="G451" s="59">
        <f>SUM(G21:G450)</f>
        <v>1795869.49</v>
      </c>
      <c r="H451" s="37"/>
    </row>
    <row r="452">
      <c r="A452" s="37"/>
      <c r="B452" s="37"/>
      <c r="C452" s="37"/>
      <c r="D452" s="37"/>
      <c r="E452" s="36"/>
      <c r="F452" s="36"/>
      <c r="H452" s="37"/>
    </row>
    <row r="453">
      <c r="A453" s="37"/>
      <c r="B453" s="37"/>
      <c r="C453" s="37"/>
      <c r="D453" s="37"/>
      <c r="E453" s="36"/>
      <c r="F453" s="36"/>
      <c r="H453" s="37"/>
    </row>
    <row r="454">
      <c r="A454" s="37"/>
      <c r="B454" s="37"/>
      <c r="C454" s="37"/>
      <c r="D454" s="37"/>
      <c r="E454" s="36"/>
      <c r="F454" s="36"/>
      <c r="H454" s="37"/>
    </row>
    <row r="455">
      <c r="A455" s="37"/>
      <c r="B455" s="37"/>
      <c r="C455" s="37"/>
      <c r="D455" s="37"/>
      <c r="E455" s="36"/>
      <c r="F455" s="36"/>
      <c r="H455" s="37"/>
    </row>
    <row r="456">
      <c r="A456" s="37"/>
      <c r="B456" s="37"/>
      <c r="C456" s="37"/>
      <c r="D456" s="37"/>
      <c r="E456" s="36"/>
      <c r="F456" s="36"/>
      <c r="H456" s="37"/>
    </row>
    <row r="457">
      <c r="A457" s="37"/>
      <c r="B457" s="37"/>
      <c r="C457" s="37"/>
      <c r="D457" s="37"/>
      <c r="E457" s="36"/>
      <c r="F457" s="36"/>
      <c r="H457" s="37"/>
    </row>
    <row r="458">
      <c r="A458" s="37"/>
      <c r="B458" s="37"/>
      <c r="C458" s="37"/>
      <c r="D458" s="37"/>
      <c r="E458" s="36"/>
      <c r="F458" s="36"/>
      <c r="H458" s="37"/>
    </row>
    <row r="459">
      <c r="A459" s="37"/>
      <c r="B459" s="37"/>
      <c r="C459" s="37"/>
      <c r="D459" s="37"/>
      <c r="E459" s="36"/>
      <c r="F459" s="36"/>
      <c r="H459" s="37"/>
    </row>
    <row r="460">
      <c r="A460" s="37"/>
      <c r="B460" s="37"/>
      <c r="C460" s="37"/>
      <c r="D460" s="37"/>
      <c r="E460" s="36"/>
      <c r="F460" s="36"/>
      <c r="H460" s="37"/>
    </row>
    <row r="461">
      <c r="A461" s="37"/>
      <c r="B461" s="37"/>
      <c r="C461" s="37"/>
      <c r="D461" s="37"/>
      <c r="E461" s="36"/>
      <c r="F461" s="36"/>
      <c r="H461" s="37"/>
    </row>
    <row r="462">
      <c r="A462" s="37"/>
      <c r="B462" s="37"/>
      <c r="C462" s="37"/>
      <c r="D462" s="37"/>
      <c r="E462" s="36"/>
      <c r="F462" s="36"/>
      <c r="H462" s="37"/>
    </row>
    <row r="463">
      <c r="A463" s="37"/>
      <c r="B463" s="37"/>
      <c r="C463" s="37"/>
      <c r="D463" s="37"/>
      <c r="E463" s="36"/>
      <c r="F463" s="36"/>
      <c r="H463" s="37"/>
    </row>
    <row r="464">
      <c r="A464" s="37"/>
      <c r="B464" s="37"/>
      <c r="C464" s="37"/>
      <c r="D464" s="37"/>
      <c r="E464" s="36"/>
      <c r="F464" s="36"/>
      <c r="H464" s="37"/>
    </row>
    <row r="465">
      <c r="A465" s="37"/>
      <c r="B465" s="37"/>
      <c r="C465" s="37"/>
      <c r="D465" s="37"/>
      <c r="E465" s="36"/>
      <c r="F465" s="36"/>
      <c r="H465" s="37"/>
    </row>
    <row r="466">
      <c r="A466" s="37"/>
      <c r="B466" s="37"/>
      <c r="C466" s="37"/>
      <c r="D466" s="37"/>
      <c r="E466" s="36"/>
      <c r="F466" s="36"/>
      <c r="H466" s="37"/>
    </row>
    <row r="467">
      <c r="A467" s="37"/>
      <c r="B467" s="37"/>
      <c r="C467" s="37"/>
      <c r="D467" s="37"/>
      <c r="E467" s="36"/>
      <c r="F467" s="36"/>
      <c r="H467" s="37"/>
    </row>
    <row r="468">
      <c r="A468" s="37"/>
      <c r="B468" s="37"/>
      <c r="C468" s="37"/>
      <c r="D468" s="37"/>
      <c r="E468" s="36"/>
      <c r="F468" s="36"/>
      <c r="H468" s="37"/>
    </row>
    <row r="469">
      <c r="A469" s="37"/>
      <c r="B469" s="37"/>
      <c r="C469" s="37"/>
      <c r="D469" s="37"/>
      <c r="E469" s="36"/>
      <c r="F469" s="36"/>
      <c r="H469" s="37"/>
    </row>
    <row r="470">
      <c r="A470" s="37"/>
      <c r="B470" s="37"/>
      <c r="C470" s="37"/>
      <c r="D470" s="37"/>
      <c r="E470" s="36"/>
      <c r="F470" s="36"/>
      <c r="H470" s="37"/>
    </row>
    <row r="471">
      <c r="A471" s="37"/>
      <c r="B471" s="37"/>
      <c r="C471" s="37"/>
      <c r="D471" s="37"/>
      <c r="E471" s="36"/>
      <c r="F471" s="36"/>
      <c r="H471" s="37"/>
    </row>
    <row r="472">
      <c r="A472" s="37"/>
      <c r="B472" s="37"/>
      <c r="C472" s="37"/>
      <c r="D472" s="37"/>
      <c r="E472" s="36"/>
      <c r="F472" s="36"/>
      <c r="H472" s="37"/>
    </row>
    <row r="473">
      <c r="A473" s="37"/>
      <c r="B473" s="37"/>
      <c r="C473" s="37"/>
      <c r="D473" s="37"/>
      <c r="E473" s="36"/>
      <c r="F473" s="36"/>
      <c r="H473" s="37"/>
    </row>
    <row r="474">
      <c r="A474" s="37"/>
      <c r="B474" s="37"/>
      <c r="C474" s="37"/>
      <c r="D474" s="37"/>
      <c r="E474" s="36"/>
      <c r="F474" s="36"/>
      <c r="H474" s="37"/>
    </row>
    <row r="475">
      <c r="A475" s="37"/>
      <c r="B475" s="37"/>
      <c r="C475" s="37"/>
      <c r="D475" s="37"/>
      <c r="E475" s="36"/>
      <c r="F475" s="36"/>
      <c r="H475" s="37"/>
    </row>
    <row r="476">
      <c r="A476" s="37"/>
      <c r="B476" s="37"/>
      <c r="C476" s="37"/>
      <c r="D476" s="37"/>
      <c r="E476" s="36"/>
      <c r="F476" s="36"/>
      <c r="H476" s="37"/>
    </row>
    <row r="477">
      <c r="A477" s="37"/>
      <c r="B477" s="37"/>
      <c r="C477" s="37"/>
      <c r="D477" s="37"/>
      <c r="E477" s="36"/>
      <c r="F477" s="36"/>
      <c r="H477" s="37"/>
    </row>
    <row r="478">
      <c r="A478" s="25" t="s">
        <v>1018</v>
      </c>
      <c r="B478" s="64"/>
      <c r="C478" s="64"/>
      <c r="D478" s="64"/>
      <c r="E478" s="59">
        <f t="shared" ref="E478:F478" si="9">SUM(E21:E477)</f>
        <v>0</v>
      </c>
      <c r="F478" s="59">
        <f t="shared" si="9"/>
        <v>0</v>
      </c>
      <c r="H478" s="64"/>
    </row>
    <row r="479">
      <c r="C479" s="5"/>
      <c r="D479" s="5"/>
    </row>
    <row r="480">
      <c r="C480" s="5"/>
      <c r="D480" s="5"/>
    </row>
    <row r="481">
      <c r="C481" s="5"/>
      <c r="D481" s="5"/>
    </row>
    <row r="482">
      <c r="C482" s="5"/>
      <c r="D482" s="5"/>
    </row>
    <row r="483">
      <c r="C483" s="5"/>
      <c r="D483" s="5"/>
    </row>
    <row r="484">
      <c r="C484" s="5"/>
      <c r="D484" s="5"/>
    </row>
    <row r="485">
      <c r="C485" s="5"/>
      <c r="D485" s="5"/>
    </row>
    <row r="486">
      <c r="C486" s="5"/>
      <c r="D486" s="5"/>
    </row>
    <row r="487">
      <c r="C487" s="5"/>
      <c r="D487" s="5"/>
    </row>
    <row r="488">
      <c r="C488" s="5"/>
      <c r="D488" s="5"/>
    </row>
    <row r="489">
      <c r="C489" s="5"/>
      <c r="D489" s="5"/>
    </row>
    <row r="490">
      <c r="C490" s="5"/>
      <c r="D490" s="5"/>
    </row>
    <row r="491">
      <c r="C491" s="5"/>
      <c r="D491" s="5"/>
    </row>
    <row r="492">
      <c r="C492" s="5"/>
      <c r="D492" s="5"/>
    </row>
    <row r="493">
      <c r="C493" s="5"/>
      <c r="D493" s="5"/>
    </row>
    <row r="494">
      <c r="C494" s="5"/>
      <c r="D494" s="5"/>
    </row>
    <row r="495">
      <c r="C495" s="5"/>
      <c r="D495" s="5"/>
    </row>
    <row r="496">
      <c r="C496" s="5"/>
      <c r="D496" s="5"/>
    </row>
    <row r="497">
      <c r="C497" s="5"/>
      <c r="D497" s="5"/>
    </row>
    <row r="498">
      <c r="C498" s="5"/>
      <c r="D498" s="5"/>
    </row>
    <row r="499">
      <c r="C499" s="5"/>
      <c r="D499" s="5"/>
    </row>
    <row r="500">
      <c r="C500" s="5"/>
      <c r="D500" s="5"/>
    </row>
    <row r="501">
      <c r="C501" s="5"/>
      <c r="D501" s="5"/>
    </row>
    <row r="502">
      <c r="C502" s="5"/>
      <c r="D502" s="5"/>
    </row>
    <row r="503">
      <c r="C503" s="5"/>
      <c r="D503" s="5"/>
    </row>
    <row r="504">
      <c r="C504" s="5"/>
      <c r="D504" s="5"/>
    </row>
  </sheetData>
  <mergeCells count="3">
    <mergeCell ref="A1:H1"/>
    <mergeCell ref="A3:D3"/>
    <mergeCell ref="A19:H19"/>
  </mergeCells>
  <dataValidations>
    <dataValidation type="list" allowBlank="1" sqref="C504">
      <formula1>Settings!$E$15:$E$35</formula1>
    </dataValidation>
    <dataValidation type="list" allowBlank="1" sqref="C20:C502">
      <formula1>Settings!$E$15:$E$38</formula1>
    </dataValidation>
    <dataValidation type="list" allowBlank="1" sqref="D20:D502">
      <formula1>Settings!$C$15:$C$30</formula1>
    </dataValidation>
    <dataValidation type="list" allowBlank="1" sqref="D503">
      <formula1>Settings!$C$15:$C$31</formula1>
    </dataValidation>
    <dataValidation type="list" allowBlank="1" sqref="D504">
      <formula1>Settings!$C$15:$C$17</formula1>
    </dataValidation>
    <dataValidation type="list" allowBlank="1" sqref="C503">
      <formula1>Settings!$E$15:$E$36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1970</v>
      </c>
    </row>
    <row r="3">
      <c r="A3" s="33" t="s">
        <v>95</v>
      </c>
      <c r="B3" s="33" t="s">
        <v>23</v>
      </c>
      <c r="C3" s="33" t="s">
        <v>24</v>
      </c>
      <c r="D3" s="33" t="s">
        <v>25</v>
      </c>
      <c r="E3" s="33" t="s">
        <v>26</v>
      </c>
      <c r="F3" s="33" t="s">
        <v>27</v>
      </c>
      <c r="G3" s="33" t="s">
        <v>96</v>
      </c>
    </row>
    <row r="4">
      <c r="A4" s="34" t="s">
        <v>72</v>
      </c>
      <c r="B4" s="6">
        <f>'Banks_JAN-2025'!F4</f>
        <v>372288.1</v>
      </c>
      <c r="C4" s="66">
        <v>1027650.8</v>
      </c>
      <c r="D4" s="66">
        <v>2831.7</v>
      </c>
      <c r="E4" s="66">
        <v>739763.15</v>
      </c>
      <c r="F4" s="36">
        <f t="shared" ref="F4:F7" si="1">B4+C4-D4-E4</f>
        <v>657344.05</v>
      </c>
      <c r="G4" s="37"/>
    </row>
    <row r="5">
      <c r="A5" s="34" t="s">
        <v>74</v>
      </c>
      <c r="B5" s="6">
        <f>'Banks_JAN-2025'!F5</f>
        <v>300054.6</v>
      </c>
      <c r="C5" s="66">
        <v>123136.51</v>
      </c>
      <c r="D5" s="36"/>
      <c r="E5" s="66">
        <v>0.0</v>
      </c>
      <c r="F5" s="36">
        <f t="shared" si="1"/>
        <v>423191.11</v>
      </c>
      <c r="G5" s="37"/>
    </row>
    <row r="6">
      <c r="A6" s="34" t="s">
        <v>76</v>
      </c>
      <c r="B6" s="6">
        <f>'Banks_JAN-2025'!F6</f>
        <v>267474.7</v>
      </c>
      <c r="C6" s="66">
        <v>386449.88</v>
      </c>
      <c r="D6" s="66">
        <v>345.0</v>
      </c>
      <c r="E6" s="67">
        <v>0.0</v>
      </c>
      <c r="F6" s="36">
        <f t="shared" si="1"/>
        <v>653579.58</v>
      </c>
      <c r="G6" s="37"/>
    </row>
    <row r="7">
      <c r="A7" s="34" t="s">
        <v>97</v>
      </c>
      <c r="B7" s="6">
        <f>'Banks_JAN-2025'!F7</f>
        <v>201205.17</v>
      </c>
      <c r="C7" s="66">
        <v>1177193.73</v>
      </c>
      <c r="D7" s="36"/>
      <c r="E7" s="66">
        <v>854088.87</v>
      </c>
      <c r="F7" s="36">
        <f t="shared" si="1"/>
        <v>524310.03</v>
      </c>
      <c r="G7" s="37"/>
    </row>
    <row r="8">
      <c r="A8" s="37"/>
      <c r="B8" s="36"/>
      <c r="C8" s="36"/>
      <c r="D8" s="36"/>
      <c r="E8" s="36"/>
      <c r="F8" s="36"/>
      <c r="G8" s="37"/>
    </row>
    <row r="9">
      <c r="A9" s="38" t="s">
        <v>98</v>
      </c>
      <c r="B9" s="39">
        <f t="shared" ref="B9:F9" si="2">SUM(B4:B7)</f>
        <v>1141022.57</v>
      </c>
      <c r="C9" s="39">
        <f t="shared" si="2"/>
        <v>2714430.92</v>
      </c>
      <c r="D9" s="39">
        <f t="shared" si="2"/>
        <v>3176.7</v>
      </c>
      <c r="E9" s="39">
        <f t="shared" si="2"/>
        <v>1593852.02</v>
      </c>
      <c r="F9" s="39">
        <f t="shared" si="2"/>
        <v>2258424.77</v>
      </c>
      <c r="G9" s="40"/>
    </row>
    <row r="10">
      <c r="B10" s="6"/>
      <c r="C10" s="6"/>
      <c r="D10" s="6"/>
      <c r="E10" s="6"/>
      <c r="F10" s="6"/>
    </row>
    <row r="11">
      <c r="A11" s="28" t="s">
        <v>99</v>
      </c>
    </row>
    <row r="12">
      <c r="A12" s="41" t="s">
        <v>95</v>
      </c>
      <c r="B12" s="42" t="s">
        <v>100</v>
      </c>
      <c r="C12" s="42" t="s">
        <v>101</v>
      </c>
      <c r="D12" s="42" t="s">
        <v>102</v>
      </c>
      <c r="E12" s="42" t="s">
        <v>103</v>
      </c>
      <c r="F12" s="42" t="s">
        <v>104</v>
      </c>
      <c r="G12" s="41" t="s">
        <v>96</v>
      </c>
    </row>
    <row r="13">
      <c r="A13" s="34" t="s">
        <v>78</v>
      </c>
      <c r="B13" s="6">
        <f>'Banks_JAN-2025'!F13</f>
        <v>605.36</v>
      </c>
      <c r="C13" s="36"/>
      <c r="D13" s="36"/>
      <c r="E13" s="36"/>
      <c r="F13" s="36">
        <f>B13+C13-D13-E13</f>
        <v>605.36</v>
      </c>
      <c r="G13" s="37"/>
    </row>
    <row r="14">
      <c r="A14" s="37"/>
      <c r="B14" s="36"/>
      <c r="C14" s="36"/>
      <c r="D14" s="36"/>
      <c r="E14" s="36"/>
      <c r="F14" s="36"/>
      <c r="G14" s="37"/>
    </row>
    <row r="15">
      <c r="A15" s="38" t="s">
        <v>105</v>
      </c>
      <c r="B15" s="39">
        <f t="shared" ref="B15:F15" si="3">SUM(B13)</f>
        <v>605.36</v>
      </c>
      <c r="C15" s="39">
        <f t="shared" si="3"/>
        <v>0</v>
      </c>
      <c r="D15" s="39">
        <f t="shared" si="3"/>
        <v>0</v>
      </c>
      <c r="E15" s="39">
        <f t="shared" si="3"/>
        <v>0</v>
      </c>
      <c r="F15" s="39">
        <f t="shared" si="3"/>
        <v>605.36</v>
      </c>
      <c r="G15" s="40"/>
    </row>
    <row r="16">
      <c r="B16" s="6"/>
      <c r="C16" s="6"/>
      <c r="D16" s="6"/>
      <c r="E16" s="6"/>
      <c r="F16" s="6"/>
    </row>
    <row r="17">
      <c r="A17" s="43" t="s">
        <v>106</v>
      </c>
      <c r="B17" s="44">
        <f t="shared" ref="B17:F17" si="4">B9+B15*3.75</f>
        <v>1143292.67</v>
      </c>
      <c r="C17" s="44">
        <f t="shared" si="4"/>
        <v>2714430.92</v>
      </c>
      <c r="D17" s="44">
        <f t="shared" si="4"/>
        <v>3176.7</v>
      </c>
      <c r="E17" s="44">
        <f t="shared" si="4"/>
        <v>1593852.02</v>
      </c>
      <c r="F17" s="44">
        <f t="shared" si="4"/>
        <v>2260694.87</v>
      </c>
      <c r="G17" s="45"/>
    </row>
    <row r="19">
      <c r="A19" s="46" t="s">
        <v>107</v>
      </c>
      <c r="B19" s="47"/>
      <c r="C19" s="48"/>
    </row>
    <row r="20">
      <c r="A20" s="34" t="s">
        <v>108</v>
      </c>
      <c r="B20" s="37"/>
      <c r="C20" s="49">
        <f>F17</f>
        <v>2260694.87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8.63"/>
    <col customWidth="1" min="2" max="2" width="12.63"/>
    <col customWidth="1" min="3" max="3" width="64.88"/>
    <col customWidth="1" min="4" max="4" width="18.88"/>
    <col customWidth="1" min="5" max="7" width="15.13"/>
  </cols>
  <sheetData>
    <row r="1">
      <c r="A1" s="22" t="s">
        <v>1971</v>
      </c>
    </row>
    <row r="3">
      <c r="A3" s="50" t="s">
        <v>110</v>
      </c>
      <c r="B3" s="93">
        <f>'Advances_JAN-2025'!E3</f>
        <v>479608.52</v>
      </c>
      <c r="D3" s="50" t="s">
        <v>111</v>
      </c>
      <c r="E3" s="94">
        <f>164800.84+SUM(E7:E101)</f>
        <v>489038.28</v>
      </c>
      <c r="K3" s="86"/>
    </row>
    <row r="4">
      <c r="J4" s="95"/>
    </row>
    <row r="5">
      <c r="A5" s="7" t="s">
        <v>112</v>
      </c>
    </row>
    <row r="6">
      <c r="A6" s="41" t="s">
        <v>113</v>
      </c>
      <c r="B6" s="41" t="s">
        <v>114</v>
      </c>
      <c r="C6" s="41" t="s">
        <v>115</v>
      </c>
      <c r="D6" s="41" t="s">
        <v>116</v>
      </c>
      <c r="E6" s="41" t="s">
        <v>117</v>
      </c>
      <c r="F6" s="41" t="s">
        <v>118</v>
      </c>
      <c r="G6" s="41" t="s">
        <v>119</v>
      </c>
    </row>
    <row r="7">
      <c r="A7" s="69">
        <v>45447.0</v>
      </c>
      <c r="B7" s="60" t="s">
        <v>1679</v>
      </c>
      <c r="C7" s="60" t="s">
        <v>1680</v>
      </c>
      <c r="D7" s="61"/>
      <c r="E7" s="61">
        <v>3000.0</v>
      </c>
      <c r="F7" s="35"/>
      <c r="G7" s="36">
        <f>IF(E7="","",B$3+IF(H7="C/F",0,E7)-F7)</f>
        <v>479608.52</v>
      </c>
      <c r="H7" s="5" t="str">
        <f>IF(B7="","",IF(IFERROR(MATCH(B7,'Advances_JAN-2025'!B:B,0),0)&gt;0,"C/F","NEW"))</f>
        <v>C/F</v>
      </c>
    </row>
    <row r="8">
      <c r="A8" s="60" t="s">
        <v>1022</v>
      </c>
      <c r="B8" s="60" t="s">
        <v>1681</v>
      </c>
      <c r="C8" s="60" t="s">
        <v>1682</v>
      </c>
      <c r="D8" s="61"/>
      <c r="E8" s="61">
        <v>8625.0</v>
      </c>
      <c r="F8" s="35"/>
      <c r="G8" s="36">
        <f t="shared" ref="G8:G100" si="1">IF(E8="","",G7+IF(H8="C/F",0,E8)-F8)</f>
        <v>479608.52</v>
      </c>
      <c r="H8" s="5" t="str">
        <f>IF(B8="","",IF(IFERROR(MATCH(B8,'Advances_JAN-2025'!B:B,0),0)&gt;0,"C/F","NEW"))</f>
        <v>C/F</v>
      </c>
    </row>
    <row r="9">
      <c r="A9" s="60" t="s">
        <v>1022</v>
      </c>
      <c r="B9" s="60" t="s">
        <v>1023</v>
      </c>
      <c r="C9" s="60" t="s">
        <v>1024</v>
      </c>
      <c r="D9" s="61"/>
      <c r="E9" s="61">
        <v>1500.0</v>
      </c>
      <c r="F9" s="35"/>
      <c r="G9" s="36">
        <f t="shared" si="1"/>
        <v>479608.52</v>
      </c>
      <c r="H9" s="5" t="str">
        <f>IF(B9="","",IF(IFERROR(MATCH(B9,'Advances_JAN-2025'!B:B,0),0)&gt;0,"C/F","NEW"))</f>
        <v>C/F</v>
      </c>
    </row>
    <row r="10">
      <c r="A10" s="60" t="s">
        <v>1683</v>
      </c>
      <c r="B10" s="60" t="s">
        <v>1684</v>
      </c>
      <c r="C10" s="60" t="s">
        <v>1685</v>
      </c>
      <c r="D10" s="63"/>
      <c r="E10" s="63">
        <v>20.0</v>
      </c>
      <c r="F10" s="35"/>
      <c r="G10" s="36">
        <f t="shared" si="1"/>
        <v>479608.52</v>
      </c>
      <c r="H10" s="5" t="str">
        <f>IF(B10="","",IF(IFERROR(MATCH(B10,'Advances_JAN-2025'!B:B,0),0)&gt;0,"C/F","NEW"))</f>
        <v>C/F</v>
      </c>
    </row>
    <row r="11">
      <c r="A11" s="60" t="s">
        <v>1025</v>
      </c>
      <c r="B11" s="60" t="s">
        <v>1026</v>
      </c>
      <c r="C11" s="60" t="s">
        <v>1027</v>
      </c>
      <c r="D11" s="63"/>
      <c r="E11" s="63">
        <v>350.0</v>
      </c>
      <c r="F11" s="35"/>
      <c r="G11" s="36">
        <f t="shared" si="1"/>
        <v>479608.52</v>
      </c>
      <c r="H11" s="5" t="str">
        <f>IF(B11="","",IF(IFERROR(MATCH(B11,'Advances_JAN-2025'!B:B,0),0)&gt;0,"C/F","NEW"))</f>
        <v>C/F</v>
      </c>
    </row>
    <row r="12">
      <c r="A12" s="60" t="s">
        <v>1025</v>
      </c>
      <c r="B12" s="60" t="s">
        <v>1026</v>
      </c>
      <c r="C12" s="60" t="s">
        <v>1028</v>
      </c>
      <c r="D12" s="63"/>
      <c r="E12" s="63">
        <v>143.48</v>
      </c>
      <c r="F12" s="36"/>
      <c r="G12" s="36">
        <f t="shared" si="1"/>
        <v>479608.52</v>
      </c>
      <c r="H12" s="5" t="str">
        <f>IF(B12="","",IF(IFERROR(MATCH(B12,'Advances_JAN-2025'!B:B,0),0)&gt;0,"C/F","NEW"))</f>
        <v>C/F</v>
      </c>
    </row>
    <row r="13">
      <c r="A13" s="60" t="s">
        <v>1025</v>
      </c>
      <c r="B13" s="60" t="s">
        <v>1026</v>
      </c>
      <c r="C13" s="60" t="s">
        <v>1028</v>
      </c>
      <c r="D13" s="63"/>
      <c r="E13" s="63">
        <v>600.0</v>
      </c>
      <c r="F13" s="36"/>
      <c r="G13" s="36">
        <f t="shared" si="1"/>
        <v>479608.52</v>
      </c>
      <c r="H13" s="5" t="str">
        <f>IF(B13="","",IF(IFERROR(MATCH(B13,'Advances_JAN-2025'!B:B,0),0)&gt;0,"C/F","NEW"))</f>
        <v>C/F</v>
      </c>
    </row>
    <row r="14">
      <c r="A14" s="69">
        <v>45602.0</v>
      </c>
      <c r="B14" s="60" t="s">
        <v>1686</v>
      </c>
      <c r="C14" s="60" t="s">
        <v>1687</v>
      </c>
      <c r="D14" s="63"/>
      <c r="E14" s="63">
        <v>15.0</v>
      </c>
      <c r="F14" s="36"/>
      <c r="G14" s="36">
        <f t="shared" si="1"/>
        <v>479608.52</v>
      </c>
      <c r="H14" s="5" t="str">
        <f>IF(B14="","",IF(IFERROR(MATCH(B14,'Advances_JAN-2025'!B:B,0),0)&gt;0,"C/F","NEW"))</f>
        <v>C/F</v>
      </c>
    </row>
    <row r="15">
      <c r="A15" s="60" t="s">
        <v>1029</v>
      </c>
      <c r="B15" s="60" t="s">
        <v>1688</v>
      </c>
      <c r="C15" s="60" t="s">
        <v>1689</v>
      </c>
      <c r="D15" s="61"/>
      <c r="E15" s="61">
        <v>2730.0</v>
      </c>
      <c r="F15" s="36"/>
      <c r="G15" s="36">
        <f t="shared" si="1"/>
        <v>479608.52</v>
      </c>
      <c r="H15" s="5" t="str">
        <f>IF(B15="","",IF(IFERROR(MATCH(B15,'Advances_JAN-2025'!B:B,0),0)&gt;0,"C/F","NEW"))</f>
        <v>C/F</v>
      </c>
    </row>
    <row r="16">
      <c r="A16" s="60" t="s">
        <v>1029</v>
      </c>
      <c r="B16" s="60" t="s">
        <v>1030</v>
      </c>
      <c r="C16" s="60" t="s">
        <v>1031</v>
      </c>
      <c r="D16" s="61"/>
      <c r="E16" s="61">
        <v>34000.0</v>
      </c>
      <c r="F16" s="36"/>
      <c r="G16" s="36">
        <f t="shared" si="1"/>
        <v>479608.52</v>
      </c>
      <c r="H16" s="5" t="str">
        <f>IF(B16="","",IF(IFERROR(MATCH(B16,'Advances_JAN-2025'!B:B,0),0)&gt;0,"C/F","NEW"))</f>
        <v>C/F</v>
      </c>
    </row>
    <row r="17">
      <c r="A17" s="60" t="s">
        <v>1032</v>
      </c>
      <c r="B17" s="60" t="s">
        <v>1033</v>
      </c>
      <c r="C17" s="60" t="s">
        <v>1034</v>
      </c>
      <c r="D17" s="63"/>
      <c r="E17" s="63">
        <v>500.0</v>
      </c>
      <c r="F17" s="36"/>
      <c r="G17" s="36">
        <f t="shared" si="1"/>
        <v>479608.52</v>
      </c>
      <c r="H17" s="5" t="str">
        <f>IF(B17="","",IF(IFERROR(MATCH(B17,'Advances_JAN-2025'!B:B,0),0)&gt;0,"C/F","NEW"))</f>
        <v>C/F</v>
      </c>
    </row>
    <row r="18">
      <c r="A18" s="69">
        <v>45298.0</v>
      </c>
      <c r="B18" s="60" t="s">
        <v>1035</v>
      </c>
      <c r="C18" s="60" t="s">
        <v>1036</v>
      </c>
      <c r="D18" s="61"/>
      <c r="E18" s="61">
        <v>4000.0</v>
      </c>
      <c r="F18" s="36"/>
      <c r="G18" s="36">
        <f t="shared" si="1"/>
        <v>479608.52</v>
      </c>
      <c r="H18" s="5" t="str">
        <f>IF(B18="","",IF(IFERROR(MATCH(B18,'Advances_JAN-2025'!B:B,0),0)&gt;0,"C/F","NEW"))</f>
        <v>C/F</v>
      </c>
    </row>
    <row r="19">
      <c r="A19" s="69">
        <v>45358.0</v>
      </c>
      <c r="B19" s="60" t="s">
        <v>1690</v>
      </c>
      <c r="C19" s="60" t="s">
        <v>1691</v>
      </c>
      <c r="D19" s="61"/>
      <c r="E19" s="61">
        <v>2000.0</v>
      </c>
      <c r="F19" s="36"/>
      <c r="G19" s="36">
        <f t="shared" si="1"/>
        <v>479608.52</v>
      </c>
      <c r="H19" s="5" t="str">
        <f>IF(B19="","",IF(IFERROR(MATCH(B19,'Advances_JAN-2025'!B:B,0),0)&gt;0,"C/F","NEW"))</f>
        <v>C/F</v>
      </c>
    </row>
    <row r="20">
      <c r="A20" s="69">
        <v>45450.0</v>
      </c>
      <c r="B20" s="60" t="s">
        <v>1037</v>
      </c>
      <c r="C20" s="60" t="s">
        <v>1038</v>
      </c>
      <c r="D20" s="61"/>
      <c r="E20" s="61">
        <v>2790.0</v>
      </c>
      <c r="F20" s="36"/>
      <c r="G20" s="36">
        <f t="shared" si="1"/>
        <v>479608.52</v>
      </c>
      <c r="H20" s="5" t="str">
        <f>IF(B20="","",IF(IFERROR(MATCH(B20,'Advances_JAN-2025'!B:B,0),0)&gt;0,"C/F","NEW"))</f>
        <v>C/F</v>
      </c>
    </row>
    <row r="21">
      <c r="A21" s="69">
        <v>45603.0</v>
      </c>
      <c r="B21" s="60" t="s">
        <v>1692</v>
      </c>
      <c r="C21" s="60" t="s">
        <v>1693</v>
      </c>
      <c r="D21" s="63"/>
      <c r="E21" s="63">
        <v>50.0</v>
      </c>
      <c r="F21" s="36"/>
      <c r="G21" s="36">
        <f t="shared" si="1"/>
        <v>479608.52</v>
      </c>
      <c r="H21" s="5" t="str">
        <f>IF(B21="","",IF(IFERROR(MATCH(B21,'Advances_JAN-2025'!B:B,0),0)&gt;0,"C/F","NEW"))</f>
        <v>C/F</v>
      </c>
    </row>
    <row r="22">
      <c r="A22" s="60" t="s">
        <v>1694</v>
      </c>
      <c r="B22" s="60" t="s">
        <v>1695</v>
      </c>
      <c r="C22" s="60" t="s">
        <v>1696</v>
      </c>
      <c r="D22" s="63"/>
      <c r="E22" s="63">
        <v>113.0</v>
      </c>
      <c r="F22" s="36"/>
      <c r="G22" s="36">
        <f t="shared" si="1"/>
        <v>479608.52</v>
      </c>
      <c r="H22" s="5" t="str">
        <f>IF(B22="","",IF(IFERROR(MATCH(B22,'Advances_JAN-2025'!B:B,0),0)&gt;0,"C/F","NEW"))</f>
        <v>C/F</v>
      </c>
    </row>
    <row r="23">
      <c r="A23" s="60" t="s">
        <v>1697</v>
      </c>
      <c r="B23" s="60" t="s">
        <v>1698</v>
      </c>
      <c r="C23" s="60" t="s">
        <v>1699</v>
      </c>
      <c r="D23" s="63"/>
      <c r="E23" s="63">
        <v>100.0</v>
      </c>
      <c r="F23" s="36"/>
      <c r="G23" s="36">
        <f t="shared" si="1"/>
        <v>479608.52</v>
      </c>
      <c r="H23" s="5" t="str">
        <f>IF(B23="","",IF(IFERROR(MATCH(B23,'Advances_JAN-2025'!B:B,0),0)&gt;0,"C/F","NEW"))</f>
        <v>C/F</v>
      </c>
    </row>
    <row r="24">
      <c r="A24" s="69">
        <v>45573.0</v>
      </c>
      <c r="B24" s="60" t="s">
        <v>1700</v>
      </c>
      <c r="C24" s="60" t="s">
        <v>1701</v>
      </c>
      <c r="D24" s="63"/>
      <c r="E24" s="63">
        <v>60.0</v>
      </c>
      <c r="F24" s="36"/>
      <c r="G24" s="36">
        <f t="shared" si="1"/>
        <v>479608.52</v>
      </c>
      <c r="H24" s="5" t="str">
        <f>IF(B24="","",IF(IFERROR(MATCH(B24,'Advances_JAN-2025'!B:B,0),0)&gt;0,"C/F","NEW"))</f>
        <v>C/F</v>
      </c>
    </row>
    <row r="25">
      <c r="A25" s="60" t="s">
        <v>1039</v>
      </c>
      <c r="B25" s="60" t="s">
        <v>1040</v>
      </c>
      <c r="C25" s="60" t="s">
        <v>1041</v>
      </c>
      <c r="D25" s="61"/>
      <c r="E25" s="61">
        <v>74656.7</v>
      </c>
      <c r="F25" s="36"/>
      <c r="G25" s="36">
        <f t="shared" si="1"/>
        <v>479608.52</v>
      </c>
      <c r="H25" s="5" t="str">
        <f>IF(B25="","",IF(IFERROR(MATCH(B25,'Advances_JAN-2025'!B:B,0),0)&gt;0,"C/F","NEW"))</f>
        <v>C/F</v>
      </c>
    </row>
    <row r="26">
      <c r="A26" s="60" t="s">
        <v>1039</v>
      </c>
      <c r="B26" s="60" t="s">
        <v>1042</v>
      </c>
      <c r="C26" s="60" t="s">
        <v>1043</v>
      </c>
      <c r="D26" s="61"/>
      <c r="E26" s="61">
        <v>25655.23</v>
      </c>
      <c r="F26" s="36"/>
      <c r="G26" s="36">
        <f t="shared" si="1"/>
        <v>479608.52</v>
      </c>
      <c r="H26" s="5" t="str">
        <f>IF(B26="","",IF(IFERROR(MATCH(B26,'Advances_JAN-2025'!B:B,0),0)&gt;0,"C/F","NEW"))</f>
        <v>C/F</v>
      </c>
    </row>
    <row r="27">
      <c r="A27" s="60" t="s">
        <v>1044</v>
      </c>
      <c r="B27" s="60" t="s">
        <v>1045</v>
      </c>
      <c r="C27" s="60" t="s">
        <v>1046</v>
      </c>
      <c r="D27" s="61"/>
      <c r="E27" s="61">
        <v>5000.0</v>
      </c>
      <c r="F27" s="36"/>
      <c r="G27" s="36">
        <f t="shared" si="1"/>
        <v>479608.52</v>
      </c>
      <c r="H27" s="5" t="str">
        <f>IF(B27="","",IF(IFERROR(MATCH(B27,'Advances_JAN-2025'!B:B,0),0)&gt;0,"C/F","NEW"))</f>
        <v>C/F</v>
      </c>
    </row>
    <row r="28">
      <c r="A28" s="60" t="s">
        <v>1702</v>
      </c>
      <c r="B28" s="60" t="s">
        <v>1703</v>
      </c>
      <c r="C28" s="60" t="s">
        <v>1704</v>
      </c>
      <c r="D28" s="63"/>
      <c r="E28" s="63">
        <v>45.0</v>
      </c>
      <c r="F28" s="36"/>
      <c r="G28" s="36">
        <f t="shared" si="1"/>
        <v>479608.52</v>
      </c>
      <c r="H28" s="5" t="str">
        <f>IF(B28="","",IF(IFERROR(MATCH(B28,'Advances_JAN-2025'!B:B,0),0)&gt;0,"C/F","NEW"))</f>
        <v>C/F</v>
      </c>
    </row>
    <row r="29">
      <c r="A29" s="87">
        <v>45326.0</v>
      </c>
      <c r="B29" s="82" t="s">
        <v>1705</v>
      </c>
      <c r="C29" s="82" t="s">
        <v>1706</v>
      </c>
      <c r="D29" s="96"/>
      <c r="E29" s="96">
        <v>30.0</v>
      </c>
      <c r="F29" s="36"/>
      <c r="G29" s="36">
        <f t="shared" si="1"/>
        <v>479608.52</v>
      </c>
      <c r="H29" s="5" t="str">
        <f>IF(B29="","",IF(IFERROR(MATCH(B29,'Advances_JAN-2025'!B:B,0),0)&gt;0,"C/F","NEW"))</f>
        <v>C/F</v>
      </c>
    </row>
    <row r="30">
      <c r="A30" s="69">
        <v>45605.0</v>
      </c>
      <c r="B30" s="60" t="s">
        <v>1707</v>
      </c>
      <c r="C30" s="60" t="s">
        <v>1708</v>
      </c>
      <c r="D30" s="63"/>
      <c r="E30" s="63">
        <v>613.5</v>
      </c>
      <c r="F30" s="36"/>
      <c r="G30" s="36">
        <f t="shared" si="1"/>
        <v>479608.52</v>
      </c>
      <c r="H30" s="5" t="str">
        <f>IF(B30="","",IF(IFERROR(MATCH(B30,'Advances_JAN-2025'!B:B,0),0)&gt;0,"C/F","NEW"))</f>
        <v>C/F</v>
      </c>
    </row>
    <row r="31">
      <c r="A31" s="60" t="s">
        <v>1709</v>
      </c>
      <c r="B31" s="60" t="s">
        <v>1710</v>
      </c>
      <c r="C31" s="60" t="s">
        <v>1711</v>
      </c>
      <c r="D31" s="63"/>
      <c r="E31" s="63">
        <v>113.0</v>
      </c>
      <c r="F31" s="36"/>
      <c r="G31" s="36">
        <f t="shared" si="1"/>
        <v>479608.52</v>
      </c>
      <c r="H31" s="5" t="str">
        <f>IF(B31="","",IF(IFERROR(MATCH(B31,'Advances_JAN-2025'!B:B,0),0)&gt;0,"C/F","NEW"))</f>
        <v>C/F</v>
      </c>
    </row>
    <row r="32">
      <c r="A32" s="60" t="s">
        <v>1709</v>
      </c>
      <c r="B32" s="60" t="s">
        <v>1710</v>
      </c>
      <c r="C32" s="60" t="s">
        <v>1711</v>
      </c>
      <c r="D32" s="63"/>
      <c r="E32" s="63">
        <v>75.0</v>
      </c>
      <c r="F32" s="36"/>
      <c r="G32" s="36">
        <f t="shared" si="1"/>
        <v>479608.52</v>
      </c>
      <c r="H32" s="5" t="str">
        <f>IF(B32="","",IF(IFERROR(MATCH(B32,'Advances_JAN-2025'!B:B,0),0)&gt;0,"C/F","NEW"))</f>
        <v>C/F</v>
      </c>
    </row>
    <row r="33">
      <c r="A33" s="60" t="s">
        <v>1047</v>
      </c>
      <c r="B33" s="60" t="s">
        <v>1048</v>
      </c>
      <c r="C33" s="60" t="s">
        <v>1049</v>
      </c>
      <c r="D33" s="61"/>
      <c r="E33" s="61">
        <v>4650.0</v>
      </c>
      <c r="F33" s="36"/>
      <c r="G33" s="36">
        <f t="shared" si="1"/>
        <v>479608.52</v>
      </c>
      <c r="H33" s="5" t="str">
        <f>IF(B33="","",IF(IFERROR(MATCH(B33,'Advances_JAN-2025'!B:B,0),0)&gt;0,"C/F","NEW"))</f>
        <v>C/F</v>
      </c>
    </row>
    <row r="34">
      <c r="A34" s="60" t="s">
        <v>1050</v>
      </c>
      <c r="B34" s="60" t="s">
        <v>1051</v>
      </c>
      <c r="C34" s="60" t="s">
        <v>1052</v>
      </c>
      <c r="D34" s="63"/>
      <c r="E34" s="63">
        <v>500.0</v>
      </c>
      <c r="F34" s="36"/>
      <c r="G34" s="36">
        <f t="shared" si="1"/>
        <v>479608.52</v>
      </c>
      <c r="H34" s="5" t="str">
        <f>IF(B34="","",IF(IFERROR(MATCH(B34,'Advances_JAN-2025'!B:B,0),0)&gt;0,"C/F","NEW"))</f>
        <v>C/F</v>
      </c>
    </row>
    <row r="35">
      <c r="A35" s="60" t="s">
        <v>1712</v>
      </c>
      <c r="B35" s="60" t="s">
        <v>1713</v>
      </c>
      <c r="C35" s="60" t="s">
        <v>1714</v>
      </c>
      <c r="D35" s="61"/>
      <c r="E35" s="61">
        <v>2000.0</v>
      </c>
      <c r="F35" s="36"/>
      <c r="G35" s="36">
        <f t="shared" si="1"/>
        <v>479608.52</v>
      </c>
      <c r="H35" s="5" t="str">
        <f>IF(B35="","",IF(IFERROR(MATCH(B35,'Advances_JAN-2025'!B:B,0),0)&gt;0,"C/F","NEW"))</f>
        <v>C/F</v>
      </c>
    </row>
    <row r="36">
      <c r="A36" s="60" t="s">
        <v>1053</v>
      </c>
      <c r="B36" s="70"/>
      <c r="C36" s="60" t="s">
        <v>1054</v>
      </c>
      <c r="D36" s="63"/>
      <c r="E36" s="63">
        <v>16857.45</v>
      </c>
      <c r="F36" s="36"/>
      <c r="G36" s="36">
        <f t="shared" si="1"/>
        <v>496465.97</v>
      </c>
      <c r="H36" s="5" t="str">
        <f>IF(B36="","",IF(IFERROR(MATCH(B36,'Advances_JAN-2025'!B:B,0),0)&gt;0,"C/F","NEW"))</f>
        <v/>
      </c>
    </row>
    <row r="37">
      <c r="A37" s="60" t="s">
        <v>1053</v>
      </c>
      <c r="B37" s="60" t="s">
        <v>1715</v>
      </c>
      <c r="C37" s="60" t="s">
        <v>1716</v>
      </c>
      <c r="D37" s="61"/>
      <c r="E37" s="61">
        <v>2000.0</v>
      </c>
      <c r="F37" s="36"/>
      <c r="G37" s="36">
        <f t="shared" si="1"/>
        <v>496465.97</v>
      </c>
      <c r="H37" s="5" t="str">
        <f>IF(B37="","",IF(IFERROR(MATCH(B37,'Advances_JAN-2025'!B:B,0),0)&gt;0,"C/F","NEW"))</f>
        <v>C/F</v>
      </c>
    </row>
    <row r="38">
      <c r="A38" s="69">
        <v>45546.0</v>
      </c>
      <c r="B38" s="60" t="s">
        <v>1055</v>
      </c>
      <c r="C38" s="60" t="s">
        <v>1056</v>
      </c>
      <c r="D38" s="61"/>
      <c r="E38" s="61">
        <v>4450.0</v>
      </c>
      <c r="F38" s="36"/>
      <c r="G38" s="36">
        <f t="shared" si="1"/>
        <v>496465.97</v>
      </c>
      <c r="H38" s="5" t="str">
        <f>IF(B38="","",IF(IFERROR(MATCH(B38,'Advances_JAN-2025'!B:B,0),0)&gt;0,"C/F","NEW"))</f>
        <v>C/F</v>
      </c>
    </row>
    <row r="39">
      <c r="A39" s="71">
        <v>45637.0</v>
      </c>
      <c r="B39" s="60" t="s">
        <v>1057</v>
      </c>
      <c r="C39" s="60" t="s">
        <v>1058</v>
      </c>
      <c r="D39" s="63"/>
      <c r="E39" s="63">
        <v>80.0</v>
      </c>
      <c r="F39" s="36"/>
      <c r="G39" s="36">
        <f t="shared" si="1"/>
        <v>496465.97</v>
      </c>
      <c r="H39" s="5" t="str">
        <f>IF(B39="","",IF(IFERROR(MATCH(B39,'Advances_JAN-2025'!B:B,0),0)&gt;0,"C/F","NEW"))</f>
        <v>C/F</v>
      </c>
    </row>
    <row r="40">
      <c r="A40" s="60" t="s">
        <v>1717</v>
      </c>
      <c r="B40" s="60" t="s">
        <v>1718</v>
      </c>
      <c r="C40" s="60" t="s">
        <v>1704</v>
      </c>
      <c r="D40" s="63"/>
      <c r="E40" s="63">
        <v>20.0</v>
      </c>
      <c r="F40" s="36"/>
      <c r="G40" s="36">
        <f t="shared" si="1"/>
        <v>496465.97</v>
      </c>
      <c r="H40" s="5" t="str">
        <f>IF(B40="","",IF(IFERROR(MATCH(B40,'Advances_JAN-2025'!B:B,0),0)&gt;0,"C/F","NEW"))</f>
        <v>C/F</v>
      </c>
    </row>
    <row r="41">
      <c r="A41" s="69">
        <v>45303.0</v>
      </c>
      <c r="B41" s="60" t="s">
        <v>1719</v>
      </c>
      <c r="C41" s="60" t="s">
        <v>1720</v>
      </c>
      <c r="D41" s="63"/>
      <c r="E41" s="63">
        <v>20.87</v>
      </c>
      <c r="F41" s="36"/>
      <c r="G41" s="36">
        <f t="shared" si="1"/>
        <v>496465.97</v>
      </c>
      <c r="H41" s="5" t="str">
        <f>IF(B41="","",IF(IFERROR(MATCH(B41,'Advances_JAN-2025'!B:B,0),0)&gt;0,"C/F","NEW"))</f>
        <v>C/F</v>
      </c>
    </row>
    <row r="42">
      <c r="A42" s="69">
        <v>45303.0</v>
      </c>
      <c r="B42" s="60" t="s">
        <v>1719</v>
      </c>
      <c r="C42" s="60" t="s">
        <v>1721</v>
      </c>
      <c r="D42" s="63"/>
      <c r="E42" s="63">
        <v>34.78</v>
      </c>
      <c r="F42" s="36"/>
      <c r="G42" s="36">
        <f t="shared" si="1"/>
        <v>496465.97</v>
      </c>
      <c r="H42" s="5" t="str">
        <f>IF(B42="","",IF(IFERROR(MATCH(B42,'Advances_JAN-2025'!B:B,0),0)&gt;0,"C/F","NEW"))</f>
        <v>C/F</v>
      </c>
    </row>
    <row r="43">
      <c r="A43" s="69">
        <v>45303.0</v>
      </c>
      <c r="B43" s="60" t="s">
        <v>1719</v>
      </c>
      <c r="C43" s="60" t="s">
        <v>1722</v>
      </c>
      <c r="D43" s="63"/>
      <c r="E43" s="63">
        <v>60.87</v>
      </c>
      <c r="F43" s="36"/>
      <c r="G43" s="36">
        <f t="shared" si="1"/>
        <v>496465.97</v>
      </c>
      <c r="H43" s="5" t="str">
        <f>IF(B43="","",IF(IFERROR(MATCH(B43,'Advances_JAN-2025'!B:B,0),0)&gt;0,"C/F","NEW"))</f>
        <v>C/F</v>
      </c>
    </row>
    <row r="44">
      <c r="A44" s="69">
        <v>45394.0</v>
      </c>
      <c r="B44" s="60" t="s">
        <v>1723</v>
      </c>
      <c r="C44" s="60" t="s">
        <v>1724</v>
      </c>
      <c r="D44" s="63"/>
      <c r="E44" s="63">
        <v>80.5</v>
      </c>
      <c r="F44" s="36"/>
      <c r="G44" s="36">
        <f t="shared" si="1"/>
        <v>496465.97</v>
      </c>
      <c r="H44" s="5" t="str">
        <f>IF(B44="","",IF(IFERROR(MATCH(B44,'Advances_JAN-2025'!B:B,0),0)&gt;0,"C/F","NEW"))</f>
        <v>C/F</v>
      </c>
    </row>
    <row r="45">
      <c r="A45" s="69">
        <v>45394.0</v>
      </c>
      <c r="B45" s="60" t="s">
        <v>1723</v>
      </c>
      <c r="C45" s="60" t="s">
        <v>1725</v>
      </c>
      <c r="D45" s="63"/>
      <c r="E45" s="63">
        <v>11.5</v>
      </c>
      <c r="F45" s="36"/>
      <c r="G45" s="36">
        <f t="shared" si="1"/>
        <v>496465.97</v>
      </c>
      <c r="H45" s="5" t="str">
        <f>IF(B45="","",IF(IFERROR(MATCH(B45,'Advances_JAN-2025'!B:B,0),0)&gt;0,"C/F","NEW"))</f>
        <v>C/F</v>
      </c>
    </row>
    <row r="46">
      <c r="A46" s="71">
        <v>45577.0</v>
      </c>
      <c r="B46" s="60" t="s">
        <v>1059</v>
      </c>
      <c r="C46" s="60" t="s">
        <v>1043</v>
      </c>
      <c r="D46" s="61"/>
      <c r="E46" s="61">
        <v>49001.48</v>
      </c>
      <c r="F46" s="36"/>
      <c r="G46" s="36">
        <f t="shared" si="1"/>
        <v>496465.97</v>
      </c>
      <c r="H46" s="5" t="str">
        <f>IF(B46="","",IF(IFERROR(MATCH(B46,'Advances_JAN-2025'!B:B,0),0)&gt;0,"C/F","NEW"))</f>
        <v>C/F</v>
      </c>
    </row>
    <row r="47">
      <c r="A47" s="60" t="s">
        <v>1726</v>
      </c>
      <c r="B47" s="60" t="s">
        <v>1727</v>
      </c>
      <c r="C47" s="60" t="s">
        <v>1728</v>
      </c>
      <c r="D47" s="63"/>
      <c r="E47" s="63">
        <v>180.0</v>
      </c>
      <c r="F47" s="36"/>
      <c r="G47" s="36">
        <f t="shared" si="1"/>
        <v>496465.97</v>
      </c>
      <c r="H47" s="5" t="str">
        <f>IF(B47="","",IF(IFERROR(MATCH(B47,'Advances_JAN-2025'!B:B,0),0)&gt;0,"C/F","NEW"))</f>
        <v>C/F</v>
      </c>
    </row>
    <row r="48">
      <c r="A48" s="60" t="s">
        <v>1729</v>
      </c>
      <c r="B48" s="60" t="s">
        <v>1730</v>
      </c>
      <c r="C48" s="60" t="s">
        <v>1731</v>
      </c>
      <c r="D48" s="61"/>
      <c r="E48" s="61">
        <v>1337.87</v>
      </c>
      <c r="F48" s="36"/>
      <c r="G48" s="36">
        <f t="shared" si="1"/>
        <v>496465.97</v>
      </c>
      <c r="H48" s="5" t="str">
        <f>IF(B48="","",IF(IFERROR(MATCH(B48,'Advances_JAN-2025'!B:B,0),0)&gt;0,"C/F","NEW"))</f>
        <v>C/F</v>
      </c>
    </row>
    <row r="49">
      <c r="A49" s="60" t="s">
        <v>1729</v>
      </c>
      <c r="B49" s="60" t="s">
        <v>1732</v>
      </c>
      <c r="C49" s="60" t="s">
        <v>1733</v>
      </c>
      <c r="D49" s="61"/>
      <c r="E49" s="61">
        <v>7500.0</v>
      </c>
      <c r="F49" s="36"/>
      <c r="G49" s="36">
        <f t="shared" si="1"/>
        <v>496465.97</v>
      </c>
      <c r="H49" s="5" t="str">
        <f>IF(B49="","",IF(IFERROR(MATCH(B49,'Advances_JAN-2025'!B:B,0),0)&gt;0,"C/F","NEW"))</f>
        <v>C/F</v>
      </c>
    </row>
    <row r="50">
      <c r="A50" s="60" t="s">
        <v>1734</v>
      </c>
      <c r="B50" s="60" t="s">
        <v>1735</v>
      </c>
      <c r="C50" s="60" t="s">
        <v>1736</v>
      </c>
      <c r="D50" s="63"/>
      <c r="E50" s="63">
        <v>85.0</v>
      </c>
      <c r="F50" s="36"/>
      <c r="G50" s="36">
        <f t="shared" si="1"/>
        <v>496465.97</v>
      </c>
      <c r="H50" s="5" t="str">
        <f>IF(B50="","",IF(IFERROR(MATCH(B50,'Advances_JAN-2025'!B:B,0),0)&gt;0,"C/F","NEW"))</f>
        <v>C/F</v>
      </c>
    </row>
    <row r="51">
      <c r="A51" s="60" t="s">
        <v>1060</v>
      </c>
      <c r="B51" s="60" t="s">
        <v>1061</v>
      </c>
      <c r="C51" s="60" t="s">
        <v>1062</v>
      </c>
      <c r="D51" s="63"/>
      <c r="E51" s="63">
        <v>300.0</v>
      </c>
      <c r="F51" s="36"/>
      <c r="G51" s="36">
        <f t="shared" si="1"/>
        <v>496465.97</v>
      </c>
      <c r="H51" s="5" t="str">
        <f>IF(B51="","",IF(IFERROR(MATCH(B51,'Advances_JAN-2025'!B:B,0),0)&gt;0,"C/F","NEW"))</f>
        <v>C/F</v>
      </c>
    </row>
    <row r="52">
      <c r="A52" s="60" t="s">
        <v>1063</v>
      </c>
      <c r="B52" s="60" t="s">
        <v>1064</v>
      </c>
      <c r="C52" s="60" t="s">
        <v>1065</v>
      </c>
      <c r="D52" s="63"/>
      <c r="E52" s="63">
        <v>150.0</v>
      </c>
      <c r="F52" s="36"/>
      <c r="G52" s="36">
        <f t="shared" si="1"/>
        <v>496465.97</v>
      </c>
      <c r="H52" s="5" t="str">
        <f>IF(B52="","",IF(IFERROR(MATCH(B52,'Advances_JAN-2025'!B:B,0),0)&gt;0,"C/F","NEW"))</f>
        <v>C/F</v>
      </c>
    </row>
    <row r="53">
      <c r="A53" s="69">
        <v>45901.0</v>
      </c>
      <c r="B53" s="60" t="s">
        <v>1739</v>
      </c>
      <c r="C53" s="60" t="s">
        <v>1740</v>
      </c>
      <c r="D53" s="63"/>
      <c r="E53" s="63">
        <v>450.0</v>
      </c>
      <c r="F53" s="36"/>
      <c r="G53" s="36">
        <f t="shared" si="1"/>
        <v>496465.97</v>
      </c>
      <c r="H53" s="5" t="str">
        <f>IF(B53="","",IF(IFERROR(MATCH(B53,'Advances_JAN-2025'!B:B,0),0)&gt;0,"C/F","NEW"))</f>
        <v>C/F</v>
      </c>
    </row>
    <row r="54">
      <c r="A54" s="60" t="s">
        <v>1066</v>
      </c>
      <c r="B54" s="60" t="s">
        <v>1067</v>
      </c>
      <c r="C54" s="60" t="s">
        <v>1068</v>
      </c>
      <c r="D54" s="61"/>
      <c r="E54" s="61">
        <v>51310.45</v>
      </c>
      <c r="F54" s="36"/>
      <c r="G54" s="36">
        <f t="shared" si="1"/>
        <v>496465.97</v>
      </c>
      <c r="H54" s="5" t="str">
        <f>IF(B54="","",IF(IFERROR(MATCH(B54,'Advances_JAN-2025'!B:B,0),0)&gt;0,"C/F","NEW"))</f>
        <v>C/F</v>
      </c>
    </row>
    <row r="55">
      <c r="A55" s="60" t="s">
        <v>1741</v>
      </c>
      <c r="B55" s="60" t="s">
        <v>1742</v>
      </c>
      <c r="C55" s="60" t="s">
        <v>1471</v>
      </c>
      <c r="D55" s="63"/>
      <c r="E55" s="63">
        <v>400.0</v>
      </c>
      <c r="F55" s="36"/>
      <c r="G55" s="36">
        <f t="shared" si="1"/>
        <v>496465.97</v>
      </c>
      <c r="H55" s="5" t="str">
        <f>IF(B55="","",IF(IFERROR(MATCH(B55,'Advances_JAN-2025'!B:B,0),0)&gt;0,"C/F","NEW"))</f>
        <v>C/F</v>
      </c>
    </row>
    <row r="56">
      <c r="A56" s="69">
        <v>45749.0</v>
      </c>
      <c r="B56" s="60" t="s">
        <v>1069</v>
      </c>
      <c r="C56" s="60" t="s">
        <v>1070</v>
      </c>
      <c r="D56" s="63"/>
      <c r="E56" s="63">
        <v>200.0</v>
      </c>
      <c r="F56" s="36"/>
      <c r="G56" s="36">
        <f t="shared" si="1"/>
        <v>496665.97</v>
      </c>
      <c r="H56" s="5" t="str">
        <f>IF(B56="","",IF(IFERROR(MATCH(B56,'Advances_JAN-2025'!B:B,0),0)&gt;0,"C/F","NEW"))</f>
        <v>NEW</v>
      </c>
    </row>
    <row r="57">
      <c r="A57" s="69">
        <v>45810.0</v>
      </c>
      <c r="B57" s="60" t="s">
        <v>1972</v>
      </c>
      <c r="C57" s="60" t="s">
        <v>1973</v>
      </c>
      <c r="D57" s="61"/>
      <c r="E57" s="61">
        <v>1617.41</v>
      </c>
      <c r="F57" s="36"/>
      <c r="G57" s="36">
        <f t="shared" si="1"/>
        <v>498283.38</v>
      </c>
      <c r="H57" s="5" t="str">
        <f>IF(B57="","",IF(IFERROR(MATCH(B57,'Advances_JAN-2025'!B:B,0),0)&gt;0,"C/F","NEW"))</f>
        <v>NEW</v>
      </c>
    </row>
    <row r="58">
      <c r="A58" s="69">
        <v>45963.0</v>
      </c>
      <c r="B58" s="60" t="s">
        <v>1974</v>
      </c>
      <c r="C58" s="60" t="s">
        <v>1975</v>
      </c>
      <c r="D58" s="61"/>
      <c r="E58" s="61">
        <v>1949.55</v>
      </c>
      <c r="F58" s="36"/>
      <c r="G58" s="36">
        <f t="shared" si="1"/>
        <v>500232.93</v>
      </c>
      <c r="H58" s="5" t="str">
        <f>IF(B58="","",IF(IFERROR(MATCH(B58,'Advances_JAN-2025'!B:B,0),0)&gt;0,"C/F","NEW"))</f>
        <v>NEW</v>
      </c>
    </row>
    <row r="59">
      <c r="A59" s="60" t="s">
        <v>1976</v>
      </c>
      <c r="B59" s="60" t="s">
        <v>1977</v>
      </c>
      <c r="C59" s="60" t="s">
        <v>1978</v>
      </c>
      <c r="D59" s="63"/>
      <c r="E59" s="63">
        <v>180.0</v>
      </c>
      <c r="F59" s="36"/>
      <c r="G59" s="36">
        <f t="shared" si="1"/>
        <v>500412.93</v>
      </c>
      <c r="H59" s="5" t="str">
        <f>IF(B59="","",IF(IFERROR(MATCH(B59,'Advances_JAN-2025'!B:B,0),0)&gt;0,"C/F","NEW"))</f>
        <v>NEW</v>
      </c>
    </row>
    <row r="60">
      <c r="A60" s="60" t="s">
        <v>1071</v>
      </c>
      <c r="B60" s="60" t="s">
        <v>1072</v>
      </c>
      <c r="C60" s="60" t="s">
        <v>1073</v>
      </c>
      <c r="D60" s="63"/>
      <c r="E60" s="63">
        <v>334.8</v>
      </c>
      <c r="F60" s="36"/>
      <c r="G60" s="36">
        <f t="shared" si="1"/>
        <v>500747.73</v>
      </c>
      <c r="H60" s="5" t="str">
        <f>IF(B60="","",IF(IFERROR(MATCH(B60,'Advances_JAN-2025'!B:B,0),0)&gt;0,"C/F","NEW"))</f>
        <v>NEW</v>
      </c>
    </row>
    <row r="61">
      <c r="A61" s="60" t="s">
        <v>1071</v>
      </c>
      <c r="B61" s="60" t="s">
        <v>1072</v>
      </c>
      <c r="C61" s="60" t="s">
        <v>1074</v>
      </c>
      <c r="D61" s="63"/>
      <c r="E61" s="63">
        <v>300.0</v>
      </c>
      <c r="F61" s="36"/>
      <c r="G61" s="36">
        <f t="shared" si="1"/>
        <v>501047.73</v>
      </c>
      <c r="H61" s="5" t="str">
        <f>IF(B61="","",IF(IFERROR(MATCH(B61,'Advances_JAN-2025'!B:B,0),0)&gt;0,"C/F","NEW"))</f>
        <v>NEW</v>
      </c>
    </row>
    <row r="62">
      <c r="A62" s="60" t="s">
        <v>1071</v>
      </c>
      <c r="B62" s="60" t="s">
        <v>1072</v>
      </c>
      <c r="C62" s="60" t="s">
        <v>1073</v>
      </c>
      <c r="D62" s="63"/>
      <c r="E62" s="63">
        <v>350.0</v>
      </c>
      <c r="F62" s="36"/>
      <c r="G62" s="36">
        <f t="shared" si="1"/>
        <v>501397.73</v>
      </c>
      <c r="H62" s="5" t="str">
        <f>IF(B62="","",IF(IFERROR(MATCH(B62,'Advances_JAN-2025'!B:B,0),0)&gt;0,"C/F","NEW"))</f>
        <v>NEW</v>
      </c>
    </row>
    <row r="63">
      <c r="A63" s="60" t="s">
        <v>1979</v>
      </c>
      <c r="B63" s="60" t="s">
        <v>1980</v>
      </c>
      <c r="C63" s="60" t="s">
        <v>1076</v>
      </c>
      <c r="D63" s="63"/>
      <c r="E63" s="63">
        <v>50.0</v>
      </c>
      <c r="F63" s="36"/>
      <c r="G63" s="36">
        <f t="shared" si="1"/>
        <v>501447.73</v>
      </c>
      <c r="H63" s="5" t="str">
        <f>IF(B63="","",IF(IFERROR(MATCH(B63,'Advances_JAN-2025'!B:B,0),0)&gt;0,"C/F","NEW"))</f>
        <v>NEW</v>
      </c>
    </row>
    <row r="64">
      <c r="A64" s="60" t="s">
        <v>1981</v>
      </c>
      <c r="B64" s="60" t="s">
        <v>1982</v>
      </c>
      <c r="C64" s="60" t="s">
        <v>1983</v>
      </c>
      <c r="D64" s="63"/>
      <c r="E64" s="63">
        <v>100.0</v>
      </c>
      <c r="F64" s="36"/>
      <c r="G64" s="36">
        <f t="shared" si="1"/>
        <v>501547.73</v>
      </c>
      <c r="H64" s="5" t="str">
        <f>IF(B64="","",IF(IFERROR(MATCH(B64,'Advances_JAN-2025'!B:B,0),0)&gt;0,"C/F","NEW"))</f>
        <v>NEW</v>
      </c>
    </row>
    <row r="65">
      <c r="A65" s="63" t="s">
        <v>1984</v>
      </c>
      <c r="B65" s="60" t="s">
        <v>1985</v>
      </c>
      <c r="C65" s="60" t="s">
        <v>1986</v>
      </c>
      <c r="D65" s="61"/>
      <c r="E65" s="61">
        <v>2000.0</v>
      </c>
      <c r="F65" s="36"/>
      <c r="G65" s="36">
        <f t="shared" si="1"/>
        <v>503547.73</v>
      </c>
      <c r="H65" s="5" t="str">
        <f>IF(B65="","",IF(IFERROR(MATCH(B65,'Advances_JAN-2025'!B:B,0),0)&gt;0,"C/F","NEW"))</f>
        <v>NEW</v>
      </c>
    </row>
    <row r="66">
      <c r="A66" s="60" t="s">
        <v>1984</v>
      </c>
      <c r="B66" s="60" t="s">
        <v>1987</v>
      </c>
      <c r="C66" s="60" t="s">
        <v>1988</v>
      </c>
      <c r="D66" s="61"/>
      <c r="E66" s="61">
        <v>8890.0</v>
      </c>
      <c r="F66" s="36"/>
      <c r="G66" s="36">
        <f t="shared" si="1"/>
        <v>512437.73</v>
      </c>
      <c r="H66" s="5" t="str">
        <f>IF(B66="","",IF(IFERROR(MATCH(B66,'Advances_JAN-2025'!B:B,0),0)&gt;0,"C/F","NEW"))</f>
        <v>NEW</v>
      </c>
    </row>
    <row r="67">
      <c r="A67" s="37"/>
      <c r="B67" s="37"/>
      <c r="C67" s="37"/>
      <c r="D67" s="37"/>
      <c r="E67" s="86"/>
      <c r="F67" s="36"/>
      <c r="G67" s="36" t="str">
        <f t="shared" si="1"/>
        <v/>
      </c>
      <c r="H67" s="5" t="str">
        <f>IF(B67="","",IF(IFERROR(MATCH(B67,'Advances_JAN-2025'!B:B,0),0)&gt;0,"C/F","NEW"))</f>
        <v/>
      </c>
    </row>
    <row r="68">
      <c r="A68" s="37"/>
      <c r="B68" s="37"/>
      <c r="C68" s="37"/>
      <c r="D68" s="37"/>
      <c r="E68" s="36"/>
      <c r="F68" s="36"/>
      <c r="G68" s="36" t="str">
        <f t="shared" si="1"/>
        <v/>
      </c>
      <c r="H68" s="5" t="str">
        <f>IF(B68="","",IF(IFERROR(MATCH(B68,'Advances_JAN-2025'!B:B,0),0)&gt;0,"C/F","NEW"))</f>
        <v/>
      </c>
    </row>
    <row r="69">
      <c r="A69" s="37"/>
      <c r="B69" s="37"/>
      <c r="C69" s="37"/>
      <c r="D69" s="37"/>
      <c r="E69" s="36"/>
      <c r="F69" s="36"/>
      <c r="G69" s="36" t="str">
        <f t="shared" si="1"/>
        <v/>
      </c>
      <c r="H69" s="5" t="str">
        <f>IF(B69="","",IF(IFERROR(MATCH(B69,'Advances_JAN-2025'!B:B,0),0)&gt;0,"C/F","NEW"))</f>
        <v/>
      </c>
    </row>
    <row r="70">
      <c r="A70" s="37"/>
      <c r="B70" s="37"/>
      <c r="C70" s="37"/>
      <c r="D70" s="37"/>
      <c r="E70" s="36"/>
      <c r="F70" s="36"/>
      <c r="G70" s="36" t="str">
        <f t="shared" si="1"/>
        <v/>
      </c>
      <c r="H70" s="5" t="str">
        <f>IF(B70="","",IF(IFERROR(MATCH(B70,'Advances_JAN-2025'!B:B,0),0)&gt;0,"C/F","NEW"))</f>
        <v/>
      </c>
    </row>
    <row r="71">
      <c r="A71" s="37"/>
      <c r="B71" s="37"/>
      <c r="C71" s="37"/>
      <c r="D71" s="37"/>
      <c r="E71" s="36"/>
      <c r="F71" s="36"/>
      <c r="G71" s="36" t="str">
        <f t="shared" si="1"/>
        <v/>
      </c>
      <c r="H71" s="5" t="str">
        <f>IF(B71="","",IF(IFERROR(MATCH(B71,'Advances_JAN-2025'!B:B,0),0)&gt;0,"C/F","NEW"))</f>
        <v/>
      </c>
    </row>
    <row r="72">
      <c r="A72" s="37"/>
      <c r="B72" s="37"/>
      <c r="C72" s="37"/>
      <c r="D72" s="37"/>
      <c r="E72" s="36"/>
      <c r="F72" s="36"/>
      <c r="G72" s="36" t="str">
        <f t="shared" si="1"/>
        <v/>
      </c>
      <c r="H72" s="5" t="str">
        <f>IF(B72="","",IF(IFERROR(MATCH(B72,'Advances_JAN-2025'!B:B,0),0)&gt;0,"C/F","NEW"))</f>
        <v/>
      </c>
    </row>
    <row r="73">
      <c r="A73" s="37"/>
      <c r="B73" s="37"/>
      <c r="C73" s="37"/>
      <c r="D73" s="37"/>
      <c r="E73" s="36"/>
      <c r="F73" s="36"/>
      <c r="G73" s="36" t="str">
        <f t="shared" si="1"/>
        <v/>
      </c>
      <c r="H73" s="5" t="str">
        <f>IF(B73="","",IF(IFERROR(MATCH(B73,'Advances_JAN-2025'!B:B,0),0)&gt;0,"C/F","NEW"))</f>
        <v/>
      </c>
    </row>
    <row r="74">
      <c r="A74" s="37"/>
      <c r="B74" s="37"/>
      <c r="C74" s="37"/>
      <c r="D74" s="37"/>
      <c r="E74" s="36"/>
      <c r="F74" s="36"/>
      <c r="G74" s="36" t="str">
        <f t="shared" si="1"/>
        <v/>
      </c>
      <c r="H74" s="5" t="str">
        <f>IF(B74="","",IF(IFERROR(MATCH(B74,'Advances_JAN-2025'!B:B,0),0)&gt;0,"C/F","NEW"))</f>
        <v/>
      </c>
    </row>
    <row r="75">
      <c r="A75" s="37"/>
      <c r="B75" s="37"/>
      <c r="C75" s="37"/>
      <c r="D75" s="37"/>
      <c r="E75" s="36"/>
      <c r="F75" s="36"/>
      <c r="G75" s="36" t="str">
        <f t="shared" si="1"/>
        <v/>
      </c>
      <c r="H75" s="5" t="str">
        <f>IF(B75="","",IF(IFERROR(MATCH(B75,'Advances_JAN-2025'!B:B,0),0)&gt;0,"C/F","NEW"))</f>
        <v/>
      </c>
    </row>
    <row r="76">
      <c r="A76" s="37"/>
      <c r="B76" s="37"/>
      <c r="C76" s="37"/>
      <c r="D76" s="37"/>
      <c r="E76" s="36"/>
      <c r="F76" s="36"/>
      <c r="G76" s="36" t="str">
        <f t="shared" si="1"/>
        <v/>
      </c>
      <c r="H76" s="5" t="str">
        <f>IF(B76="","",IF(IFERROR(MATCH(B76,'Advances_JAN-2025'!B:B,0),0)&gt;0,"C/F","NEW"))</f>
        <v/>
      </c>
    </row>
    <row r="77">
      <c r="A77" s="37"/>
      <c r="B77" s="37"/>
      <c r="C77" s="37"/>
      <c r="D77" s="37"/>
      <c r="E77" s="36"/>
      <c r="F77" s="36"/>
      <c r="G77" s="36" t="str">
        <f t="shared" si="1"/>
        <v/>
      </c>
      <c r="H77" s="5" t="str">
        <f>IF(B77="","",IF(IFERROR(MATCH(B77,'Advances_JAN-2025'!B:B,0),0)&gt;0,"C/F","NEW"))</f>
        <v/>
      </c>
    </row>
    <row r="78">
      <c r="A78" s="37"/>
      <c r="B78" s="37"/>
      <c r="C78" s="37"/>
      <c r="D78" s="37"/>
      <c r="E78" s="36"/>
      <c r="F78" s="36"/>
      <c r="G78" s="36" t="str">
        <f t="shared" si="1"/>
        <v/>
      </c>
      <c r="H78" s="5" t="str">
        <f>IF(B78="","",IF(IFERROR(MATCH(B78,'Advances_JAN-2025'!B:B,0),0)&gt;0,"C/F","NEW"))</f>
        <v/>
      </c>
    </row>
    <row r="79">
      <c r="A79" s="37"/>
      <c r="B79" s="37"/>
      <c r="C79" s="37"/>
      <c r="D79" s="37"/>
      <c r="E79" s="36"/>
      <c r="F79" s="36"/>
      <c r="G79" s="36" t="str">
        <f t="shared" si="1"/>
        <v/>
      </c>
      <c r="H79" s="5" t="str">
        <f>IF(B79="","",IF(IFERROR(MATCH(B79,'Advances_JAN-2025'!B:B,0),0)&gt;0,"C/F","NEW"))</f>
        <v/>
      </c>
    </row>
    <row r="80">
      <c r="A80" s="37"/>
      <c r="B80" s="37"/>
      <c r="C80" s="37"/>
      <c r="D80" s="37"/>
      <c r="E80" s="36"/>
      <c r="F80" s="36"/>
      <c r="G80" s="36" t="str">
        <f t="shared" si="1"/>
        <v/>
      </c>
      <c r="H80" s="5" t="str">
        <f>IF(B80="","",IF(IFERROR(MATCH(B80,'Advances_JAN-2025'!B:B,0),0)&gt;0,"C/F","NEW"))</f>
        <v/>
      </c>
    </row>
    <row r="81">
      <c r="A81" s="37"/>
      <c r="B81" s="37"/>
      <c r="C81" s="37"/>
      <c r="D81" s="37"/>
      <c r="E81" s="36"/>
      <c r="F81" s="36"/>
      <c r="G81" s="36" t="str">
        <f t="shared" si="1"/>
        <v/>
      </c>
      <c r="H81" s="5" t="str">
        <f>IF(B81="","",IF(IFERROR(MATCH(B81,'Advances_JAN-2025'!B:B,0),0)&gt;0,"C/F","NEW"))</f>
        <v/>
      </c>
    </row>
    <row r="82">
      <c r="A82" s="37"/>
      <c r="B82" s="37"/>
      <c r="C82" s="37"/>
      <c r="D82" s="37"/>
      <c r="E82" s="36"/>
      <c r="F82" s="36"/>
      <c r="G82" s="36" t="str">
        <f t="shared" si="1"/>
        <v/>
      </c>
      <c r="H82" s="5" t="str">
        <f>IF(B82="","",IF(IFERROR(MATCH(B82,'Advances_JAN-2025'!B:B,0),0)&gt;0,"C/F","NEW"))</f>
        <v/>
      </c>
    </row>
    <row r="83">
      <c r="A83" s="37"/>
      <c r="B83" s="37"/>
      <c r="C83" s="37"/>
      <c r="D83" s="37"/>
      <c r="E83" s="36"/>
      <c r="F83" s="36"/>
      <c r="G83" s="36" t="str">
        <f t="shared" si="1"/>
        <v/>
      </c>
      <c r="H83" s="5" t="str">
        <f>IF(B83="","",IF(IFERROR(MATCH(B83,'Advances_JAN-2025'!B:B,0),0)&gt;0,"C/F","NEW"))</f>
        <v/>
      </c>
    </row>
    <row r="84">
      <c r="A84" s="37"/>
      <c r="B84" s="37"/>
      <c r="C84" s="37"/>
      <c r="D84" s="37"/>
      <c r="E84" s="36"/>
      <c r="F84" s="36"/>
      <c r="G84" s="36" t="str">
        <f t="shared" si="1"/>
        <v/>
      </c>
      <c r="H84" s="5" t="str">
        <f>IF(B84="","",IF(IFERROR(MATCH(B84,'Advances_JAN-2025'!B:B,0),0)&gt;0,"C/F","NEW"))</f>
        <v/>
      </c>
    </row>
    <row r="85">
      <c r="A85" s="37"/>
      <c r="B85" s="37"/>
      <c r="C85" s="37"/>
      <c r="D85" s="37"/>
      <c r="E85" s="36"/>
      <c r="F85" s="36"/>
      <c r="G85" s="36" t="str">
        <f t="shared" si="1"/>
        <v/>
      </c>
      <c r="H85" s="5" t="str">
        <f>IF(B85="","",IF(IFERROR(MATCH(B85,'Advances_JAN-2025'!B:B,0),0)&gt;0,"C/F","NEW"))</f>
        <v/>
      </c>
    </row>
    <row r="86">
      <c r="A86" s="37"/>
      <c r="B86" s="37"/>
      <c r="C86" s="37"/>
      <c r="D86" s="37"/>
      <c r="E86" s="36"/>
      <c r="F86" s="36"/>
      <c r="G86" s="36" t="str">
        <f t="shared" si="1"/>
        <v/>
      </c>
      <c r="H86" s="5" t="str">
        <f>IF(B86="","",IF(IFERROR(MATCH(B86,'Advances_JAN-2025'!B:B,0),0)&gt;0,"C/F","NEW"))</f>
        <v/>
      </c>
    </row>
    <row r="87">
      <c r="A87" s="37"/>
      <c r="B87" s="37"/>
      <c r="C87" s="37"/>
      <c r="D87" s="37"/>
      <c r="E87" s="36"/>
      <c r="F87" s="36"/>
      <c r="G87" s="36" t="str">
        <f t="shared" si="1"/>
        <v/>
      </c>
      <c r="H87" s="5" t="str">
        <f>IF(B87="","",IF(IFERROR(MATCH(B87,'Advances_JAN-2025'!B:B,0),0)&gt;0,"C/F","NEW"))</f>
        <v/>
      </c>
    </row>
    <row r="88">
      <c r="A88" s="37"/>
      <c r="B88" s="37"/>
      <c r="C88" s="37"/>
      <c r="D88" s="37"/>
      <c r="E88" s="36"/>
      <c r="F88" s="36"/>
      <c r="G88" s="36" t="str">
        <f t="shared" si="1"/>
        <v/>
      </c>
      <c r="H88" s="5" t="str">
        <f>IF(B88="","",IF(IFERROR(MATCH(B88,'Advances_JAN-2025'!B:B,0),0)&gt;0,"C/F","NEW"))</f>
        <v/>
      </c>
    </row>
    <row r="89">
      <c r="A89" s="37"/>
      <c r="B89" s="37"/>
      <c r="C89" s="37"/>
      <c r="D89" s="37"/>
      <c r="E89" s="36"/>
      <c r="F89" s="36"/>
      <c r="G89" s="36" t="str">
        <f t="shared" si="1"/>
        <v/>
      </c>
      <c r="H89" s="5" t="str">
        <f>IF(B89="","",IF(IFERROR(MATCH(B89,'Advances_JAN-2025'!B:B,0),0)&gt;0,"C/F","NEW"))</f>
        <v/>
      </c>
    </row>
    <row r="90">
      <c r="A90" s="37"/>
      <c r="B90" s="37"/>
      <c r="C90" s="37"/>
      <c r="D90" s="37"/>
      <c r="E90" s="36"/>
      <c r="F90" s="36"/>
      <c r="G90" s="36" t="str">
        <f t="shared" si="1"/>
        <v/>
      </c>
      <c r="H90" s="5" t="str">
        <f>IF(B90="","",IF(IFERROR(MATCH(B90,'Advances_JAN-2025'!B:B,0),0)&gt;0,"C/F","NEW"))</f>
        <v/>
      </c>
    </row>
    <row r="91">
      <c r="A91" s="37"/>
      <c r="B91" s="37"/>
      <c r="C91" s="37"/>
      <c r="D91" s="37"/>
      <c r="E91" s="36"/>
      <c r="F91" s="36"/>
      <c r="G91" s="36" t="str">
        <f t="shared" si="1"/>
        <v/>
      </c>
      <c r="H91" s="5" t="str">
        <f>IF(B91="","",IF(IFERROR(MATCH(B91,'Advances_JAN-2025'!B:B,0),0)&gt;0,"C/F","NEW"))</f>
        <v/>
      </c>
    </row>
    <row r="92">
      <c r="A92" s="37"/>
      <c r="B92" s="37"/>
      <c r="C92" s="37"/>
      <c r="D92" s="37"/>
      <c r="E92" s="36"/>
      <c r="F92" s="36"/>
      <c r="G92" s="36" t="str">
        <f t="shared" si="1"/>
        <v/>
      </c>
      <c r="H92" s="5" t="str">
        <f>IF(B92="","",IF(IFERROR(MATCH(B92,'Advances_JAN-2025'!B:B,0),0)&gt;0,"C/F","NEW"))</f>
        <v/>
      </c>
    </row>
    <row r="93">
      <c r="A93" s="37"/>
      <c r="B93" s="37"/>
      <c r="C93" s="37"/>
      <c r="D93" s="37"/>
      <c r="E93" s="36"/>
      <c r="F93" s="36"/>
      <c r="G93" s="36" t="str">
        <f t="shared" si="1"/>
        <v/>
      </c>
      <c r="H93" s="5" t="str">
        <f>IF(B93="","",IF(IFERROR(MATCH(B93,'Advances_JAN-2025'!B:B,0),0)&gt;0,"C/F","NEW"))</f>
        <v/>
      </c>
    </row>
    <row r="94">
      <c r="A94" s="37"/>
      <c r="B94" s="37"/>
      <c r="C94" s="37"/>
      <c r="D94" s="37"/>
      <c r="E94" s="36"/>
      <c r="F94" s="36"/>
      <c r="G94" s="36" t="str">
        <f t="shared" si="1"/>
        <v/>
      </c>
      <c r="H94" s="5" t="str">
        <f>IF(B94="","",IF(IFERROR(MATCH(B94,'Advances_JAN-2025'!B:B,0),0)&gt;0,"C/F","NEW"))</f>
        <v/>
      </c>
    </row>
    <row r="95">
      <c r="A95" s="37"/>
      <c r="B95" s="37"/>
      <c r="C95" s="37"/>
      <c r="D95" s="37"/>
      <c r="E95" s="36"/>
      <c r="F95" s="36"/>
      <c r="G95" s="36" t="str">
        <f t="shared" si="1"/>
        <v/>
      </c>
      <c r="H95" s="5" t="str">
        <f>IF(B95="","",IF(IFERROR(MATCH(B95,'Advances_JAN-2025'!B:B,0),0)&gt;0,"C/F","NEW"))</f>
        <v/>
      </c>
    </row>
    <row r="96">
      <c r="A96" s="37"/>
      <c r="B96" s="37"/>
      <c r="C96" s="37"/>
      <c r="D96" s="37"/>
      <c r="E96" s="36"/>
      <c r="F96" s="36"/>
      <c r="G96" s="36" t="str">
        <f t="shared" si="1"/>
        <v/>
      </c>
      <c r="H96" s="5" t="str">
        <f>IF(B96="","",IF(IFERROR(MATCH(B96,'Advances_JAN-2025'!B:B,0),0)&gt;0,"C/F","NEW"))</f>
        <v/>
      </c>
    </row>
    <row r="97">
      <c r="A97" s="37"/>
      <c r="B97" s="37"/>
      <c r="C97" s="37"/>
      <c r="D97" s="37"/>
      <c r="E97" s="36"/>
      <c r="F97" s="36"/>
      <c r="G97" s="36" t="str">
        <f t="shared" si="1"/>
        <v/>
      </c>
      <c r="H97" s="5" t="str">
        <f>IF(B97="","",IF(IFERROR(MATCH(B97,'Advances_JAN-2025'!B:B,0),0)&gt;0,"C/F","NEW"))</f>
        <v/>
      </c>
    </row>
    <row r="98">
      <c r="A98" s="37"/>
      <c r="B98" s="37"/>
      <c r="C98" s="37"/>
      <c r="D98" s="37"/>
      <c r="E98" s="36"/>
      <c r="F98" s="36"/>
      <c r="G98" s="36" t="str">
        <f t="shared" si="1"/>
        <v/>
      </c>
      <c r="H98" s="5" t="str">
        <f>IF(B98="","",IF(IFERROR(MATCH(B98,'Advances_JAN-2025'!B:B,0),0)&gt;0,"C/F","NEW"))</f>
        <v/>
      </c>
    </row>
    <row r="99">
      <c r="A99" s="37"/>
      <c r="B99" s="37"/>
      <c r="C99" s="37"/>
      <c r="D99" s="37"/>
      <c r="E99" s="36"/>
      <c r="F99" s="36"/>
      <c r="G99" s="36" t="str">
        <f t="shared" si="1"/>
        <v/>
      </c>
      <c r="H99" s="5" t="str">
        <f>IF(B99="","",IF(IFERROR(MATCH(B99,'Advances_JAN-2025'!B:B,0),0)&gt;0,"C/F","NEW"))</f>
        <v/>
      </c>
    </row>
    <row r="100">
      <c r="A100" s="37"/>
      <c r="B100" s="37"/>
      <c r="C100" s="37"/>
      <c r="D100" s="37"/>
      <c r="E100" s="36"/>
      <c r="F100" s="36"/>
      <c r="G100" s="36" t="str">
        <f t="shared" si="1"/>
        <v/>
      </c>
      <c r="H100" s="5" t="str">
        <f>IF(B100="","",IF(IFERROR(MATCH(B100,'Advances_JAN-2025'!B:B,0),0)&gt;0,"C/F","NEW"))</f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>
        <f t="shared" ref="E102:F102" si="2">SUM(E7:E101)</f>
        <v>324237.44</v>
      </c>
      <c r="F102" s="55">
        <f t="shared" si="2"/>
        <v>0</v>
      </c>
      <c r="G102" s="56"/>
    </row>
    <row r="104">
      <c r="E104" s="6">
        <f>E3-E102</f>
        <v>164800.84</v>
      </c>
    </row>
  </sheetData>
  <mergeCells count="2">
    <mergeCell ref="A1:G1"/>
    <mergeCell ref="A5:G5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6.88"/>
    <col customWidth="1" min="2" max="2" width="12.63"/>
    <col customWidth="1" min="3" max="3" width="31.38"/>
    <col customWidth="1" min="4" max="4" width="16.75"/>
    <col customWidth="1" min="5" max="7" width="15.13"/>
  </cols>
  <sheetData>
    <row r="1">
      <c r="A1" s="23" t="s">
        <v>1989</v>
      </c>
    </row>
    <row r="3">
      <c r="A3" s="57" t="s">
        <v>110</v>
      </c>
      <c r="B3" s="58">
        <f>'Suspense_JAN-2025'!E3</f>
        <v>-62065.42</v>
      </c>
      <c r="D3" s="57" t="s">
        <v>111</v>
      </c>
      <c r="E3" s="59">
        <f>-17267.64+SUM(E7:E1000)-SUM(F7:F1000)</f>
        <v>-162101.8</v>
      </c>
    </row>
    <row r="5">
      <c r="A5" s="7" t="s">
        <v>121</v>
      </c>
    </row>
    <row r="6">
      <c r="A6" s="41" t="s">
        <v>113</v>
      </c>
      <c r="B6" s="41" t="s">
        <v>122</v>
      </c>
      <c r="C6" s="41" t="s">
        <v>115</v>
      </c>
      <c r="D6" s="41" t="s">
        <v>123</v>
      </c>
      <c r="E6" s="41" t="s">
        <v>124</v>
      </c>
      <c r="F6" s="41" t="s">
        <v>125</v>
      </c>
      <c r="G6" s="41" t="s">
        <v>119</v>
      </c>
    </row>
    <row r="7">
      <c r="A7" s="80">
        <v>45992.0</v>
      </c>
      <c r="B7" s="60" t="s">
        <v>1806</v>
      </c>
      <c r="C7" s="60" t="s">
        <v>1160</v>
      </c>
      <c r="D7" s="74"/>
      <c r="E7" s="68">
        <v>0.0</v>
      </c>
      <c r="F7" s="68">
        <v>1800.0</v>
      </c>
      <c r="G7" s="36">
        <f>IF(AND(E7="",F7=""),"",B3+E7-F7)</f>
        <v>-63865.42</v>
      </c>
    </row>
    <row r="8">
      <c r="A8" s="60" t="s">
        <v>1066</v>
      </c>
      <c r="B8" s="60" t="s">
        <v>1164</v>
      </c>
      <c r="C8" s="60" t="s">
        <v>1165</v>
      </c>
      <c r="D8" s="78"/>
      <c r="E8" s="68">
        <v>0.0</v>
      </c>
      <c r="F8" s="68">
        <v>1.0</v>
      </c>
      <c r="G8" s="36">
        <f t="shared" ref="G8:G100" si="1">IF(AND(E8="",F8=""),"",G7+E8-F8)</f>
        <v>-63866.42</v>
      </c>
    </row>
    <row r="9">
      <c r="A9" s="60" t="s">
        <v>1166</v>
      </c>
      <c r="B9" s="60" t="s">
        <v>1167</v>
      </c>
      <c r="C9" s="60" t="s">
        <v>1168</v>
      </c>
      <c r="D9" s="78"/>
      <c r="E9" s="68">
        <v>0.0</v>
      </c>
      <c r="F9" s="68">
        <v>2550.0</v>
      </c>
      <c r="G9" s="36">
        <f t="shared" si="1"/>
        <v>-66416.42</v>
      </c>
    </row>
    <row r="10">
      <c r="A10" s="80">
        <v>45690.0</v>
      </c>
      <c r="B10" s="60" t="s">
        <v>1169</v>
      </c>
      <c r="C10" s="60" t="s">
        <v>1160</v>
      </c>
      <c r="D10" s="78"/>
      <c r="E10" s="68">
        <v>0.0</v>
      </c>
      <c r="F10" s="68">
        <v>2500.0</v>
      </c>
      <c r="G10" s="36">
        <f t="shared" si="1"/>
        <v>-68916.42</v>
      </c>
    </row>
    <row r="11">
      <c r="A11" s="69">
        <v>45690.0</v>
      </c>
      <c r="B11" s="60" t="s">
        <v>1990</v>
      </c>
      <c r="C11" s="60" t="s">
        <v>1160</v>
      </c>
      <c r="D11" s="78"/>
      <c r="E11" s="68">
        <v>0.0</v>
      </c>
      <c r="F11" s="68">
        <v>1600.0</v>
      </c>
      <c r="G11" s="36">
        <f t="shared" si="1"/>
        <v>-70516.42</v>
      </c>
    </row>
    <row r="12">
      <c r="A12" s="69">
        <v>45810.0</v>
      </c>
      <c r="B12" s="60" t="s">
        <v>1972</v>
      </c>
      <c r="C12" s="60" t="s">
        <v>1495</v>
      </c>
      <c r="D12" s="78"/>
      <c r="E12" s="68">
        <v>460.0</v>
      </c>
      <c r="F12" s="68">
        <v>0.0</v>
      </c>
      <c r="G12" s="36">
        <f t="shared" si="1"/>
        <v>-70056.42</v>
      </c>
    </row>
    <row r="13">
      <c r="A13" s="60" t="s">
        <v>1991</v>
      </c>
      <c r="B13" s="60" t="s">
        <v>1992</v>
      </c>
      <c r="C13" s="60" t="s">
        <v>1160</v>
      </c>
      <c r="D13" s="78"/>
      <c r="E13" s="68">
        <v>0.0</v>
      </c>
      <c r="F13" s="68">
        <v>783.9</v>
      </c>
      <c r="G13" s="36">
        <f t="shared" si="1"/>
        <v>-70840.32</v>
      </c>
    </row>
    <row r="14">
      <c r="A14" s="60" t="s">
        <v>1993</v>
      </c>
      <c r="B14" s="60" t="s">
        <v>1994</v>
      </c>
      <c r="C14" s="60" t="s">
        <v>1160</v>
      </c>
      <c r="D14" s="61"/>
      <c r="E14" s="68">
        <v>0.0</v>
      </c>
      <c r="F14" s="68">
        <v>564.91</v>
      </c>
      <c r="G14" s="36">
        <f t="shared" si="1"/>
        <v>-71405.23</v>
      </c>
    </row>
    <row r="15">
      <c r="A15" s="60" t="s">
        <v>1995</v>
      </c>
      <c r="B15" s="60" t="s">
        <v>1996</v>
      </c>
      <c r="C15" s="60" t="s">
        <v>1160</v>
      </c>
      <c r="D15" s="61"/>
      <c r="E15" s="68">
        <v>0.0</v>
      </c>
      <c r="F15" s="68">
        <v>969.86</v>
      </c>
      <c r="G15" s="36">
        <f t="shared" si="1"/>
        <v>-72375.09</v>
      </c>
      <c r="K15" s="68"/>
      <c r="L15" s="68"/>
    </row>
    <row r="16">
      <c r="A16" s="60" t="s">
        <v>1979</v>
      </c>
      <c r="B16" s="60" t="s">
        <v>1997</v>
      </c>
      <c r="C16" s="60" t="s">
        <v>1160</v>
      </c>
      <c r="D16" s="63"/>
      <c r="E16" s="68">
        <v>0.0</v>
      </c>
      <c r="F16" s="68">
        <v>562.0</v>
      </c>
      <c r="G16" s="36">
        <f t="shared" si="1"/>
        <v>-72937.09</v>
      </c>
      <c r="K16" s="68"/>
      <c r="L16" s="68"/>
    </row>
    <row r="17">
      <c r="A17" s="60" t="s">
        <v>1979</v>
      </c>
      <c r="B17" s="60" t="s">
        <v>1998</v>
      </c>
      <c r="C17" s="60" t="s">
        <v>1999</v>
      </c>
      <c r="D17" s="63"/>
      <c r="E17" s="68">
        <v>0.0</v>
      </c>
      <c r="F17" s="68">
        <v>49.53</v>
      </c>
      <c r="G17" s="36">
        <f t="shared" si="1"/>
        <v>-72986.62</v>
      </c>
      <c r="K17" s="68"/>
      <c r="L17" s="68"/>
    </row>
    <row r="18">
      <c r="A18" s="60" t="s">
        <v>1979</v>
      </c>
      <c r="B18" s="60" t="s">
        <v>2000</v>
      </c>
      <c r="C18" s="60" t="s">
        <v>1999</v>
      </c>
      <c r="D18" s="63"/>
      <c r="E18" s="68">
        <v>0.0</v>
      </c>
      <c r="F18" s="68">
        <v>108.98</v>
      </c>
      <c r="G18" s="36">
        <f t="shared" si="1"/>
        <v>-73095.6</v>
      </c>
      <c r="K18" s="68"/>
      <c r="L18" s="68"/>
    </row>
    <row r="19">
      <c r="A19" s="60" t="s">
        <v>1979</v>
      </c>
      <c r="B19" s="60" t="s">
        <v>2001</v>
      </c>
      <c r="C19" s="60" t="s">
        <v>1191</v>
      </c>
      <c r="D19" s="63"/>
      <c r="E19" s="68">
        <v>0.0</v>
      </c>
      <c r="F19" s="68">
        <v>4394.06</v>
      </c>
      <c r="G19" s="36">
        <f t="shared" si="1"/>
        <v>-77489.66</v>
      </c>
      <c r="K19" s="68"/>
      <c r="L19" s="68"/>
    </row>
    <row r="20">
      <c r="A20" s="60" t="s">
        <v>2002</v>
      </c>
      <c r="B20" s="60" t="s">
        <v>2003</v>
      </c>
      <c r="C20" s="60" t="s">
        <v>1160</v>
      </c>
      <c r="D20" s="63"/>
      <c r="E20" s="68">
        <v>0.0</v>
      </c>
      <c r="F20" s="68">
        <v>1022.0</v>
      </c>
      <c r="G20" s="36">
        <f t="shared" si="1"/>
        <v>-78511.66</v>
      </c>
      <c r="K20" s="68"/>
      <c r="L20" s="68"/>
    </row>
    <row r="21">
      <c r="A21" s="60" t="s">
        <v>1981</v>
      </c>
      <c r="B21" s="60" t="s">
        <v>2004</v>
      </c>
      <c r="C21" s="60" t="s">
        <v>1160</v>
      </c>
      <c r="D21" s="63"/>
      <c r="E21" s="68">
        <v>0.0</v>
      </c>
      <c r="F21" s="68">
        <v>1125.0</v>
      </c>
      <c r="G21" s="36">
        <f t="shared" si="1"/>
        <v>-79636.66</v>
      </c>
      <c r="K21" s="68"/>
      <c r="L21" s="68"/>
    </row>
    <row r="22">
      <c r="A22" s="60" t="s">
        <v>1981</v>
      </c>
      <c r="B22" s="60" t="s">
        <v>2005</v>
      </c>
      <c r="C22" s="60" t="s">
        <v>1191</v>
      </c>
      <c r="D22" s="63"/>
      <c r="E22" s="68">
        <v>0.0</v>
      </c>
      <c r="F22" s="68">
        <v>484.97</v>
      </c>
      <c r="G22" s="36">
        <f t="shared" si="1"/>
        <v>-80121.63</v>
      </c>
      <c r="K22" s="68"/>
      <c r="L22" s="68"/>
    </row>
    <row r="23">
      <c r="A23" s="60" t="s">
        <v>2006</v>
      </c>
      <c r="B23" s="60" t="s">
        <v>2007</v>
      </c>
      <c r="C23" s="60" t="s">
        <v>1191</v>
      </c>
      <c r="D23" s="63"/>
      <c r="E23" s="68">
        <v>0.0</v>
      </c>
      <c r="F23" s="68">
        <v>664.0</v>
      </c>
      <c r="G23" s="36">
        <f t="shared" si="1"/>
        <v>-80785.63</v>
      </c>
      <c r="K23" s="68"/>
      <c r="L23" s="68"/>
    </row>
    <row r="24">
      <c r="A24" s="60" t="s">
        <v>2006</v>
      </c>
      <c r="B24" s="60" t="s">
        <v>2008</v>
      </c>
      <c r="C24" s="60" t="s">
        <v>1160</v>
      </c>
      <c r="D24" s="63"/>
      <c r="E24" s="68">
        <v>0.0</v>
      </c>
      <c r="F24" s="68">
        <v>5008.0</v>
      </c>
      <c r="G24" s="36">
        <f t="shared" si="1"/>
        <v>-85793.63</v>
      </c>
      <c r="K24" s="68"/>
      <c r="L24" s="68"/>
    </row>
    <row r="25">
      <c r="A25" s="60" t="s">
        <v>2006</v>
      </c>
      <c r="B25" s="60" t="s">
        <v>2009</v>
      </c>
      <c r="C25" s="60" t="s">
        <v>2010</v>
      </c>
      <c r="D25" s="63"/>
      <c r="E25" s="68">
        <v>0.0</v>
      </c>
      <c r="F25" s="68">
        <v>1322.0</v>
      </c>
      <c r="G25" s="36">
        <f t="shared" si="1"/>
        <v>-87115.63</v>
      </c>
      <c r="K25" s="68"/>
      <c r="L25" s="68"/>
    </row>
    <row r="26">
      <c r="A26" s="60" t="s">
        <v>2011</v>
      </c>
      <c r="B26" s="60" t="s">
        <v>2012</v>
      </c>
      <c r="C26" s="60" t="s">
        <v>1191</v>
      </c>
      <c r="D26" s="63"/>
      <c r="E26" s="68">
        <v>0.0</v>
      </c>
      <c r="F26" s="68">
        <v>109.0</v>
      </c>
      <c r="G26" s="36">
        <f t="shared" si="1"/>
        <v>-87224.63</v>
      </c>
      <c r="K26" s="68"/>
      <c r="L26" s="68"/>
    </row>
    <row r="27">
      <c r="A27" s="60" t="s">
        <v>2011</v>
      </c>
      <c r="B27" s="60" t="s">
        <v>2013</v>
      </c>
      <c r="C27" s="60" t="s">
        <v>1191</v>
      </c>
      <c r="D27" s="63"/>
      <c r="E27" s="68">
        <v>0.0</v>
      </c>
      <c r="F27" s="68">
        <v>376.78</v>
      </c>
      <c r="G27" s="36">
        <f t="shared" si="1"/>
        <v>-87601.41</v>
      </c>
      <c r="K27" s="68"/>
      <c r="L27" s="68"/>
    </row>
    <row r="28">
      <c r="A28" s="60" t="s">
        <v>2011</v>
      </c>
      <c r="B28" s="60" t="s">
        <v>2014</v>
      </c>
      <c r="C28" s="60" t="s">
        <v>1160</v>
      </c>
      <c r="D28" s="63"/>
      <c r="E28" s="68">
        <v>0.0</v>
      </c>
      <c r="F28" s="68">
        <v>554.93</v>
      </c>
      <c r="G28" s="36">
        <f t="shared" si="1"/>
        <v>-88156.34</v>
      </c>
      <c r="K28" s="68"/>
      <c r="L28" s="68"/>
    </row>
    <row r="29">
      <c r="A29" s="60" t="s">
        <v>2011</v>
      </c>
      <c r="B29" s="60" t="s">
        <v>2015</v>
      </c>
      <c r="C29" s="60" t="s">
        <v>1160</v>
      </c>
      <c r="D29" s="63"/>
      <c r="E29" s="68">
        <v>0.0</v>
      </c>
      <c r="F29" s="68">
        <v>50000.0</v>
      </c>
      <c r="G29" s="36">
        <f t="shared" si="1"/>
        <v>-138156.34</v>
      </c>
      <c r="K29" s="68"/>
      <c r="L29" s="68"/>
    </row>
    <row r="30">
      <c r="A30" s="60" t="s">
        <v>2011</v>
      </c>
      <c r="B30" s="60" t="s">
        <v>2016</v>
      </c>
      <c r="C30" s="60" t="s">
        <v>2017</v>
      </c>
      <c r="D30" s="63"/>
      <c r="E30" s="68">
        <v>0.0</v>
      </c>
      <c r="F30" s="68">
        <v>108.98</v>
      </c>
      <c r="G30" s="36">
        <f t="shared" si="1"/>
        <v>-138265.32</v>
      </c>
      <c r="K30" s="68"/>
      <c r="L30" s="68"/>
    </row>
    <row r="31">
      <c r="A31" s="60" t="s">
        <v>1984</v>
      </c>
      <c r="B31" s="60" t="s">
        <v>2018</v>
      </c>
      <c r="C31" s="60" t="s">
        <v>1160</v>
      </c>
      <c r="D31" s="63"/>
      <c r="E31" s="68">
        <v>0.0</v>
      </c>
      <c r="F31" s="68">
        <v>459.94</v>
      </c>
      <c r="G31" s="36">
        <f t="shared" si="1"/>
        <v>-138725.26</v>
      </c>
      <c r="K31" s="68"/>
      <c r="L31" s="68"/>
    </row>
    <row r="32">
      <c r="A32" s="60" t="s">
        <v>1984</v>
      </c>
      <c r="B32" s="60" t="s">
        <v>2019</v>
      </c>
      <c r="C32" s="60" t="s">
        <v>1160</v>
      </c>
      <c r="D32" s="63"/>
      <c r="E32" s="68">
        <v>0.0</v>
      </c>
      <c r="F32" s="68">
        <v>1022.0</v>
      </c>
      <c r="G32" s="36">
        <f t="shared" si="1"/>
        <v>-139747.26</v>
      </c>
      <c r="K32" s="68"/>
      <c r="L32" s="68"/>
    </row>
    <row r="33">
      <c r="A33" s="63" t="s">
        <v>1984</v>
      </c>
      <c r="B33" s="60" t="s">
        <v>2020</v>
      </c>
      <c r="C33" s="60" t="s">
        <v>1797</v>
      </c>
      <c r="D33" s="63"/>
      <c r="E33" s="68">
        <v>0.0</v>
      </c>
      <c r="F33" s="68">
        <v>469.93</v>
      </c>
      <c r="G33" s="36">
        <f t="shared" si="1"/>
        <v>-140217.19</v>
      </c>
      <c r="K33" s="68"/>
      <c r="L33" s="68"/>
    </row>
    <row r="34">
      <c r="A34" s="60" t="s">
        <v>1984</v>
      </c>
      <c r="B34" s="60" t="s">
        <v>2021</v>
      </c>
      <c r="C34" s="60" t="s">
        <v>1999</v>
      </c>
      <c r="D34" s="63"/>
      <c r="E34" s="68">
        <v>0.0</v>
      </c>
      <c r="F34" s="68">
        <v>268.96</v>
      </c>
      <c r="G34" s="36">
        <f t="shared" si="1"/>
        <v>-140486.15</v>
      </c>
      <c r="K34" s="68"/>
      <c r="L34" s="68"/>
    </row>
    <row r="35">
      <c r="A35" s="60" t="s">
        <v>1984</v>
      </c>
      <c r="B35" s="60" t="s">
        <v>2022</v>
      </c>
      <c r="C35" s="60" t="s">
        <v>1191</v>
      </c>
      <c r="D35" s="63"/>
      <c r="E35" s="68">
        <v>0.0</v>
      </c>
      <c r="F35" s="68">
        <v>170.0</v>
      </c>
      <c r="G35" s="36">
        <f t="shared" si="1"/>
        <v>-140656.15</v>
      </c>
      <c r="K35" s="68"/>
      <c r="L35" s="68"/>
    </row>
    <row r="36">
      <c r="A36" s="60" t="s">
        <v>1984</v>
      </c>
      <c r="B36" s="60" t="s">
        <v>2023</v>
      </c>
      <c r="C36" s="60" t="s">
        <v>1869</v>
      </c>
      <c r="D36" s="63"/>
      <c r="E36" s="68">
        <v>0.0</v>
      </c>
      <c r="F36" s="68">
        <v>1477.76</v>
      </c>
      <c r="G36" s="36">
        <f t="shared" si="1"/>
        <v>-142133.91</v>
      </c>
      <c r="K36" s="68"/>
      <c r="L36" s="68"/>
    </row>
    <row r="37">
      <c r="A37" s="60" t="s">
        <v>1984</v>
      </c>
      <c r="B37" s="60" t="s">
        <v>2024</v>
      </c>
      <c r="C37" s="60" t="s">
        <v>2025</v>
      </c>
      <c r="D37" s="63"/>
      <c r="E37" s="68">
        <v>0.0</v>
      </c>
      <c r="F37" s="68">
        <v>552.94</v>
      </c>
      <c r="G37" s="36">
        <f t="shared" si="1"/>
        <v>-142686.85</v>
      </c>
      <c r="K37" s="68"/>
      <c r="L37" s="68"/>
    </row>
    <row r="38">
      <c r="A38" s="60" t="s">
        <v>1984</v>
      </c>
      <c r="B38" s="60" t="s">
        <v>2026</v>
      </c>
      <c r="C38" s="60" t="s">
        <v>2010</v>
      </c>
      <c r="D38" s="63"/>
      <c r="E38" s="68">
        <v>0.0</v>
      </c>
      <c r="F38" s="68">
        <v>290.0</v>
      </c>
      <c r="G38" s="36">
        <f t="shared" si="1"/>
        <v>-142976.85</v>
      </c>
      <c r="K38" s="68"/>
      <c r="L38" s="68"/>
    </row>
    <row r="39">
      <c r="A39" s="60" t="s">
        <v>1984</v>
      </c>
      <c r="B39" s="60" t="s">
        <v>2027</v>
      </c>
      <c r="C39" s="60" t="s">
        <v>2028</v>
      </c>
      <c r="D39" s="63"/>
      <c r="E39" s="68">
        <v>2580.1</v>
      </c>
      <c r="F39" s="68">
        <v>0.0</v>
      </c>
      <c r="G39" s="36">
        <f t="shared" si="1"/>
        <v>-140396.75</v>
      </c>
      <c r="K39" s="68"/>
      <c r="L39" s="68"/>
    </row>
    <row r="40">
      <c r="A40" s="60" t="s">
        <v>2029</v>
      </c>
      <c r="B40" s="60" t="s">
        <v>2030</v>
      </c>
      <c r="C40" s="60" t="s">
        <v>1583</v>
      </c>
      <c r="D40" s="63"/>
      <c r="E40" s="68">
        <v>0.0</v>
      </c>
      <c r="F40" s="68">
        <v>1500.0</v>
      </c>
      <c r="G40" s="36">
        <f t="shared" si="1"/>
        <v>-141896.75</v>
      </c>
      <c r="K40" s="68"/>
      <c r="L40" s="68"/>
    </row>
    <row r="41">
      <c r="A41" s="60" t="s">
        <v>2029</v>
      </c>
      <c r="B41" s="60" t="s">
        <v>2031</v>
      </c>
      <c r="C41" s="60" t="s">
        <v>1863</v>
      </c>
      <c r="D41" s="63"/>
      <c r="E41" s="68">
        <v>0.0</v>
      </c>
      <c r="F41" s="68">
        <v>2550.0</v>
      </c>
      <c r="G41" s="36">
        <f t="shared" si="1"/>
        <v>-144446.75</v>
      </c>
      <c r="K41" s="68"/>
      <c r="L41" s="68"/>
    </row>
    <row r="42">
      <c r="A42" s="60" t="s">
        <v>2029</v>
      </c>
      <c r="B42" s="60" t="s">
        <v>2032</v>
      </c>
      <c r="C42" s="60" t="s">
        <v>1226</v>
      </c>
      <c r="D42" s="63"/>
      <c r="E42" s="68">
        <v>0.0</v>
      </c>
      <c r="F42" s="68">
        <v>646.9</v>
      </c>
      <c r="G42" s="36">
        <f t="shared" si="1"/>
        <v>-145093.65</v>
      </c>
      <c r="K42" s="68"/>
      <c r="L42" s="68"/>
    </row>
    <row r="43">
      <c r="A43" s="60" t="s">
        <v>2029</v>
      </c>
      <c r="B43" s="60" t="s">
        <v>2033</v>
      </c>
      <c r="C43" s="60" t="s">
        <v>1226</v>
      </c>
      <c r="D43" s="63"/>
      <c r="E43" s="68">
        <v>0.0</v>
      </c>
      <c r="F43" s="68">
        <v>2000.0</v>
      </c>
      <c r="G43" s="36">
        <f t="shared" si="1"/>
        <v>-147093.65</v>
      </c>
      <c r="K43" s="68"/>
      <c r="L43" s="68"/>
    </row>
    <row r="44">
      <c r="A44" s="60" t="s">
        <v>2029</v>
      </c>
      <c r="B44" s="60" t="s">
        <v>2034</v>
      </c>
      <c r="C44" s="60" t="s">
        <v>2035</v>
      </c>
      <c r="D44" s="63"/>
      <c r="E44" s="68">
        <v>4308.03</v>
      </c>
      <c r="F44" s="68">
        <v>0.0</v>
      </c>
      <c r="G44" s="36">
        <f t="shared" si="1"/>
        <v>-142785.62</v>
      </c>
      <c r="K44" s="68"/>
      <c r="L44" s="68"/>
    </row>
    <row r="45">
      <c r="A45" s="60" t="s">
        <v>2029</v>
      </c>
      <c r="B45" s="60" t="s">
        <v>2034</v>
      </c>
      <c r="C45" s="60" t="s">
        <v>2035</v>
      </c>
      <c r="D45" s="63"/>
      <c r="E45" s="68">
        <v>4308.03</v>
      </c>
      <c r="F45" s="79"/>
      <c r="G45" s="36">
        <f t="shared" si="1"/>
        <v>-138477.59</v>
      </c>
      <c r="K45" s="68"/>
      <c r="L45" s="68"/>
    </row>
    <row r="46">
      <c r="A46" s="60" t="s">
        <v>2029</v>
      </c>
      <c r="B46" s="60" t="s">
        <v>2034</v>
      </c>
      <c r="C46" s="60" t="s">
        <v>2035</v>
      </c>
      <c r="D46" s="63"/>
      <c r="E46" s="68">
        <v>4308.03</v>
      </c>
      <c r="F46" s="68">
        <v>0.0</v>
      </c>
      <c r="G46" s="36">
        <f t="shared" si="1"/>
        <v>-134169.56</v>
      </c>
      <c r="K46" s="68"/>
      <c r="L46" s="68"/>
    </row>
    <row r="47">
      <c r="A47" s="69">
        <v>45659.0</v>
      </c>
      <c r="B47" s="60" t="s">
        <v>2036</v>
      </c>
      <c r="C47" s="60" t="s">
        <v>2037</v>
      </c>
      <c r="D47" s="63"/>
      <c r="E47" s="68">
        <v>183.98</v>
      </c>
      <c r="F47" s="79"/>
      <c r="G47" s="36">
        <f t="shared" si="1"/>
        <v>-133985.58</v>
      </c>
      <c r="K47" s="68"/>
      <c r="L47" s="68"/>
    </row>
    <row r="48">
      <c r="A48" s="60" t="s">
        <v>2029</v>
      </c>
      <c r="B48" s="60" t="s">
        <v>2038</v>
      </c>
      <c r="C48" s="60" t="s">
        <v>2028</v>
      </c>
      <c r="D48" s="63"/>
      <c r="E48" s="68">
        <v>0.0</v>
      </c>
      <c r="F48" s="68">
        <v>278.95</v>
      </c>
      <c r="G48" s="36">
        <f t="shared" si="1"/>
        <v>-134264.53</v>
      </c>
      <c r="K48" s="68"/>
      <c r="L48" s="68"/>
    </row>
    <row r="49">
      <c r="A49" s="60" t="s">
        <v>2029</v>
      </c>
      <c r="B49" s="60" t="s">
        <v>2039</v>
      </c>
      <c r="C49" s="60" t="s">
        <v>1160</v>
      </c>
      <c r="D49" s="63"/>
      <c r="E49" s="68">
        <v>0.0</v>
      </c>
      <c r="F49" s="68">
        <v>217.97</v>
      </c>
      <c r="G49" s="36">
        <f t="shared" si="1"/>
        <v>-134482.5</v>
      </c>
      <c r="K49" s="68"/>
      <c r="L49" s="68"/>
    </row>
    <row r="50">
      <c r="A50" s="60"/>
      <c r="B50" s="60"/>
      <c r="C50" s="60"/>
      <c r="D50" s="63"/>
      <c r="E50" s="68"/>
      <c r="F50" s="68"/>
      <c r="G50" s="36" t="str">
        <f t="shared" si="1"/>
        <v/>
      </c>
      <c r="K50" s="68"/>
      <c r="L50" s="79"/>
    </row>
    <row r="51">
      <c r="A51" s="60"/>
      <c r="B51" s="60"/>
      <c r="C51" s="60"/>
      <c r="D51" s="63"/>
      <c r="E51" s="68"/>
      <c r="F51" s="68"/>
      <c r="G51" s="36" t="str">
        <f t="shared" si="1"/>
        <v/>
      </c>
      <c r="K51" s="68"/>
      <c r="L51" s="68"/>
    </row>
    <row r="52">
      <c r="A52" s="60"/>
      <c r="B52" s="60"/>
      <c r="C52" s="60"/>
      <c r="D52" s="63"/>
      <c r="E52" s="68"/>
      <c r="F52" s="68"/>
      <c r="G52" s="36" t="str">
        <f t="shared" si="1"/>
        <v/>
      </c>
      <c r="K52" s="61"/>
      <c r="L52" s="79"/>
    </row>
    <row r="53">
      <c r="A53" s="60"/>
      <c r="B53" s="60"/>
      <c r="C53" s="60"/>
      <c r="D53" s="63"/>
      <c r="E53" s="68"/>
      <c r="F53" s="68"/>
      <c r="G53" s="36" t="str">
        <f t="shared" si="1"/>
        <v/>
      </c>
      <c r="K53" s="61"/>
      <c r="L53" s="68"/>
    </row>
    <row r="54">
      <c r="A54" s="60"/>
      <c r="B54" s="60"/>
      <c r="C54" s="60"/>
      <c r="D54" s="63"/>
      <c r="E54" s="68"/>
      <c r="F54" s="68"/>
      <c r="G54" s="36" t="str">
        <f t="shared" si="1"/>
        <v/>
      </c>
      <c r="K54" s="61"/>
      <c r="L54" s="68"/>
    </row>
    <row r="55">
      <c r="A55" s="60"/>
      <c r="B55" s="60"/>
      <c r="C55" s="60"/>
      <c r="D55" s="63"/>
      <c r="E55" s="68"/>
      <c r="F55" s="68"/>
      <c r="G55" s="36" t="str">
        <f t="shared" si="1"/>
        <v/>
      </c>
    </row>
    <row r="56">
      <c r="A56" s="60"/>
      <c r="B56" s="60"/>
      <c r="C56" s="60"/>
      <c r="D56" s="63"/>
      <c r="E56" s="68"/>
      <c r="F56" s="68"/>
      <c r="G56" s="36" t="str">
        <f t="shared" si="1"/>
        <v/>
      </c>
    </row>
    <row r="57">
      <c r="A57" s="60"/>
      <c r="B57" s="60"/>
      <c r="C57" s="60"/>
      <c r="D57" s="61"/>
      <c r="E57" s="68"/>
      <c r="F57" s="68"/>
      <c r="G57" s="36" t="str">
        <f t="shared" si="1"/>
        <v/>
      </c>
    </row>
    <row r="58">
      <c r="A58" s="60"/>
      <c r="B58" s="60"/>
      <c r="C58" s="60"/>
      <c r="D58" s="63"/>
      <c r="E58" s="68"/>
      <c r="F58" s="68"/>
      <c r="G58" s="36" t="str">
        <f t="shared" si="1"/>
        <v/>
      </c>
    </row>
    <row r="59">
      <c r="A59" s="60"/>
      <c r="B59" s="60"/>
      <c r="C59" s="60"/>
      <c r="D59" s="63"/>
      <c r="E59" s="68"/>
      <c r="F59" s="68"/>
      <c r="G59" s="36" t="str">
        <f t="shared" si="1"/>
        <v/>
      </c>
    </row>
    <row r="60">
      <c r="A60" s="60"/>
      <c r="B60" s="60"/>
      <c r="C60" s="60"/>
      <c r="D60" s="63"/>
      <c r="E60" s="68"/>
      <c r="F60" s="68"/>
      <c r="G60" s="36" t="str">
        <f t="shared" si="1"/>
        <v/>
      </c>
    </row>
    <row r="61">
      <c r="A61" s="60"/>
      <c r="B61" s="60"/>
      <c r="C61" s="60"/>
      <c r="D61" s="63"/>
      <c r="E61" s="68"/>
      <c r="F61" s="68"/>
      <c r="G61" s="36" t="str">
        <f t="shared" si="1"/>
        <v/>
      </c>
    </row>
    <row r="62">
      <c r="A62" s="60"/>
      <c r="B62" s="60"/>
      <c r="C62" s="60"/>
      <c r="D62" s="61"/>
      <c r="E62" s="61"/>
      <c r="F62" s="68"/>
      <c r="G62" s="36" t="str">
        <f t="shared" si="1"/>
        <v/>
      </c>
    </row>
    <row r="63">
      <c r="A63" s="60"/>
      <c r="B63" s="60"/>
      <c r="C63" s="60"/>
      <c r="D63" s="61"/>
      <c r="E63" s="61"/>
      <c r="F63" s="68"/>
      <c r="G63" s="36" t="str">
        <f t="shared" si="1"/>
        <v/>
      </c>
    </row>
    <row r="64">
      <c r="A64" s="60"/>
      <c r="B64" s="60"/>
      <c r="C64" s="60"/>
      <c r="D64" s="61"/>
      <c r="E64" s="61"/>
      <c r="F64" s="68"/>
      <c r="G64" s="36" t="str">
        <f t="shared" si="1"/>
        <v/>
      </c>
    </row>
    <row r="65">
      <c r="A65" s="69"/>
      <c r="B65" s="60"/>
      <c r="C65" s="60"/>
      <c r="D65" s="63"/>
      <c r="E65" s="68"/>
      <c r="F65" s="79"/>
      <c r="G65" s="36" t="str">
        <f t="shared" si="1"/>
        <v/>
      </c>
    </row>
    <row r="66">
      <c r="A66" s="60"/>
      <c r="B66" s="60"/>
      <c r="C66" s="60"/>
      <c r="D66" s="63"/>
      <c r="E66" s="68"/>
      <c r="F66" s="68"/>
      <c r="G66" s="36" t="str">
        <f t="shared" si="1"/>
        <v/>
      </c>
    </row>
    <row r="67">
      <c r="A67" s="60"/>
      <c r="B67" s="60"/>
      <c r="C67" s="60"/>
      <c r="D67" s="63"/>
      <c r="E67" s="68"/>
      <c r="F67" s="68"/>
      <c r="G67" s="36" t="str">
        <f t="shared" si="1"/>
        <v/>
      </c>
    </row>
    <row r="68">
      <c r="A68" s="37"/>
      <c r="B68" s="37"/>
      <c r="C68" s="37"/>
      <c r="D68" s="37"/>
      <c r="E68" s="36"/>
      <c r="F68" s="36"/>
      <c r="G68" s="36" t="str">
        <f t="shared" si="1"/>
        <v/>
      </c>
    </row>
    <row r="69">
      <c r="A69" s="37"/>
      <c r="B69" s="37"/>
      <c r="C69" s="37"/>
      <c r="D69" s="37"/>
      <c r="E69" s="36"/>
      <c r="F69" s="36"/>
      <c r="G69" s="36" t="str">
        <f t="shared" si="1"/>
        <v/>
      </c>
    </row>
    <row r="70">
      <c r="A70" s="37"/>
      <c r="B70" s="37"/>
      <c r="C70" s="37"/>
      <c r="D70" s="37"/>
      <c r="E70" s="36"/>
      <c r="F70" s="36"/>
      <c r="G70" s="36" t="str">
        <f t="shared" si="1"/>
        <v/>
      </c>
      <c r="H70" s="5" t="str">
        <f t="shared" ref="H70:H100" si="2">IF(B70="","","NEW")</f>
        <v/>
      </c>
    </row>
    <row r="71">
      <c r="A71" s="37"/>
      <c r="B71" s="37"/>
      <c r="C71" s="37"/>
      <c r="D71" s="37"/>
      <c r="E71" s="36"/>
      <c r="F71" s="36"/>
      <c r="G71" s="36" t="str">
        <f t="shared" si="1"/>
        <v/>
      </c>
      <c r="H71" s="5" t="str">
        <f t="shared" si="2"/>
        <v/>
      </c>
    </row>
    <row r="72">
      <c r="A72" s="37"/>
      <c r="B72" s="37"/>
      <c r="C72" s="37"/>
      <c r="D72" s="37"/>
      <c r="E72" s="36"/>
      <c r="F72" s="36"/>
      <c r="G72" s="36" t="str">
        <f t="shared" si="1"/>
        <v/>
      </c>
      <c r="H72" s="5" t="str">
        <f t="shared" si="2"/>
        <v/>
      </c>
    </row>
    <row r="73">
      <c r="A73" s="37"/>
      <c r="B73" s="37"/>
      <c r="C73" s="37"/>
      <c r="D73" s="37"/>
      <c r="E73" s="36"/>
      <c r="F73" s="36"/>
      <c r="G73" s="36" t="str">
        <f t="shared" si="1"/>
        <v/>
      </c>
      <c r="H73" s="5" t="str">
        <f t="shared" si="2"/>
        <v/>
      </c>
    </row>
    <row r="74">
      <c r="A74" s="37"/>
      <c r="B74" s="37"/>
      <c r="C74" s="37"/>
      <c r="D74" s="37"/>
      <c r="E74" s="36"/>
      <c r="F74" s="36"/>
      <c r="G74" s="36" t="str">
        <f t="shared" si="1"/>
        <v/>
      </c>
      <c r="H74" s="5" t="str">
        <f t="shared" si="2"/>
        <v/>
      </c>
    </row>
    <row r="75">
      <c r="A75" s="37"/>
      <c r="B75" s="37"/>
      <c r="C75" s="37"/>
      <c r="D75" s="37"/>
      <c r="E75" s="36"/>
      <c r="F75" s="36"/>
      <c r="G75" s="36" t="str">
        <f t="shared" si="1"/>
        <v/>
      </c>
      <c r="H75" s="5" t="str">
        <f t="shared" si="2"/>
        <v/>
      </c>
    </row>
    <row r="76">
      <c r="A76" s="37"/>
      <c r="B76" s="37"/>
      <c r="C76" s="37"/>
      <c r="D76" s="37"/>
      <c r="E76" s="36"/>
      <c r="F76" s="36"/>
      <c r="G76" s="36" t="str">
        <f t="shared" si="1"/>
        <v/>
      </c>
      <c r="H76" s="5" t="str">
        <f t="shared" si="2"/>
        <v/>
      </c>
    </row>
    <row r="77">
      <c r="A77" s="37"/>
      <c r="B77" s="37"/>
      <c r="C77" s="37"/>
      <c r="D77" s="37"/>
      <c r="E77" s="36"/>
      <c r="F77" s="36"/>
      <c r="G77" s="36" t="str">
        <f t="shared" si="1"/>
        <v/>
      </c>
      <c r="H77" s="5" t="str">
        <f t="shared" si="2"/>
        <v/>
      </c>
    </row>
    <row r="78">
      <c r="A78" s="37"/>
      <c r="B78" s="37"/>
      <c r="C78" s="37"/>
      <c r="D78" s="37"/>
      <c r="E78" s="36"/>
      <c r="F78" s="36"/>
      <c r="G78" s="36" t="str">
        <f t="shared" si="1"/>
        <v/>
      </c>
      <c r="H78" s="5" t="str">
        <f t="shared" si="2"/>
        <v/>
      </c>
    </row>
    <row r="79">
      <c r="A79" s="37"/>
      <c r="B79" s="37"/>
      <c r="C79" s="37"/>
      <c r="D79" s="37"/>
      <c r="E79" s="36"/>
      <c r="F79" s="36"/>
      <c r="G79" s="36" t="str">
        <f t="shared" si="1"/>
        <v/>
      </c>
      <c r="H79" s="5" t="str">
        <f t="shared" si="2"/>
        <v/>
      </c>
    </row>
    <row r="80">
      <c r="A80" s="37"/>
      <c r="B80" s="37"/>
      <c r="C80" s="37"/>
      <c r="D80" s="37"/>
      <c r="E80" s="36"/>
      <c r="F80" s="36"/>
      <c r="G80" s="36" t="str">
        <f t="shared" si="1"/>
        <v/>
      </c>
      <c r="H80" s="5" t="str">
        <f t="shared" si="2"/>
        <v/>
      </c>
    </row>
    <row r="81">
      <c r="A81" s="37"/>
      <c r="B81" s="37"/>
      <c r="C81" s="37"/>
      <c r="D81" s="37"/>
      <c r="E81" s="36"/>
      <c r="F81" s="36"/>
      <c r="G81" s="36" t="str">
        <f t="shared" si="1"/>
        <v/>
      </c>
      <c r="H81" s="5" t="str">
        <f t="shared" si="2"/>
        <v/>
      </c>
    </row>
    <row r="82">
      <c r="A82" s="37"/>
      <c r="B82" s="37"/>
      <c r="C82" s="37"/>
      <c r="D82" s="37"/>
      <c r="E82" s="36"/>
      <c r="F82" s="36"/>
      <c r="G82" s="36" t="str">
        <f t="shared" si="1"/>
        <v/>
      </c>
      <c r="H82" s="5" t="str">
        <f t="shared" si="2"/>
        <v/>
      </c>
    </row>
    <row r="83">
      <c r="A83" s="37"/>
      <c r="B83" s="37"/>
      <c r="C83" s="37"/>
      <c r="D83" s="37"/>
      <c r="E83" s="36"/>
      <c r="F83" s="36"/>
      <c r="G83" s="36" t="str">
        <f t="shared" si="1"/>
        <v/>
      </c>
      <c r="H83" s="5" t="str">
        <f t="shared" si="2"/>
        <v/>
      </c>
    </row>
    <row r="84">
      <c r="A84" s="37"/>
      <c r="B84" s="37"/>
      <c r="C84" s="37"/>
      <c r="D84" s="37"/>
      <c r="E84" s="36"/>
      <c r="F84" s="36"/>
      <c r="G84" s="36" t="str">
        <f t="shared" si="1"/>
        <v/>
      </c>
      <c r="H84" s="5" t="str">
        <f t="shared" si="2"/>
        <v/>
      </c>
    </row>
    <row r="85">
      <c r="A85" s="37"/>
      <c r="B85" s="37"/>
      <c r="C85" s="37"/>
      <c r="D85" s="37"/>
      <c r="E85" s="36"/>
      <c r="F85" s="36"/>
      <c r="G85" s="36" t="str">
        <f t="shared" si="1"/>
        <v/>
      </c>
      <c r="H85" s="5" t="str">
        <f t="shared" si="2"/>
        <v/>
      </c>
    </row>
    <row r="86">
      <c r="A86" s="37"/>
      <c r="B86" s="37"/>
      <c r="C86" s="37"/>
      <c r="D86" s="37"/>
      <c r="E86" s="36"/>
      <c r="F86" s="36"/>
      <c r="G86" s="36" t="str">
        <f t="shared" si="1"/>
        <v/>
      </c>
      <c r="H86" s="5" t="str">
        <f t="shared" si="2"/>
        <v/>
      </c>
    </row>
    <row r="87">
      <c r="A87" s="37"/>
      <c r="B87" s="37"/>
      <c r="C87" s="37"/>
      <c r="D87" s="37"/>
      <c r="E87" s="36"/>
      <c r="F87" s="36"/>
      <c r="G87" s="36" t="str">
        <f t="shared" si="1"/>
        <v/>
      </c>
      <c r="H87" s="5" t="str">
        <f t="shared" si="2"/>
        <v/>
      </c>
    </row>
    <row r="88">
      <c r="A88" s="37"/>
      <c r="B88" s="37"/>
      <c r="C88" s="37"/>
      <c r="D88" s="37"/>
      <c r="E88" s="36"/>
      <c r="F88" s="36"/>
      <c r="G88" s="36" t="str">
        <f t="shared" si="1"/>
        <v/>
      </c>
      <c r="H88" s="5" t="str">
        <f t="shared" si="2"/>
        <v/>
      </c>
    </row>
    <row r="89">
      <c r="A89" s="37"/>
      <c r="B89" s="37"/>
      <c r="C89" s="37"/>
      <c r="D89" s="37"/>
      <c r="E89" s="36"/>
      <c r="F89" s="36"/>
      <c r="G89" s="36" t="str">
        <f t="shared" si="1"/>
        <v/>
      </c>
      <c r="H89" s="5" t="str">
        <f t="shared" si="2"/>
        <v/>
      </c>
    </row>
    <row r="90">
      <c r="A90" s="37"/>
      <c r="B90" s="37"/>
      <c r="C90" s="37"/>
      <c r="D90" s="37"/>
      <c r="E90" s="36"/>
      <c r="F90" s="36"/>
      <c r="G90" s="36" t="str">
        <f t="shared" si="1"/>
        <v/>
      </c>
      <c r="H90" s="5" t="str">
        <f t="shared" si="2"/>
        <v/>
      </c>
    </row>
    <row r="91">
      <c r="A91" s="37"/>
      <c r="B91" s="37"/>
      <c r="C91" s="37"/>
      <c r="D91" s="37"/>
      <c r="E91" s="36"/>
      <c r="F91" s="36"/>
      <c r="G91" s="36" t="str">
        <f t="shared" si="1"/>
        <v/>
      </c>
      <c r="H91" s="5" t="str">
        <f t="shared" si="2"/>
        <v/>
      </c>
    </row>
    <row r="92">
      <c r="A92" s="37"/>
      <c r="B92" s="37"/>
      <c r="C92" s="37"/>
      <c r="D92" s="37"/>
      <c r="E92" s="36"/>
      <c r="F92" s="36"/>
      <c r="G92" s="36" t="str">
        <f t="shared" si="1"/>
        <v/>
      </c>
      <c r="H92" s="5" t="str">
        <f t="shared" si="2"/>
        <v/>
      </c>
    </row>
    <row r="93">
      <c r="A93" s="37"/>
      <c r="B93" s="37"/>
      <c r="C93" s="37"/>
      <c r="D93" s="37"/>
      <c r="E93" s="36"/>
      <c r="F93" s="36"/>
      <c r="G93" s="36" t="str">
        <f t="shared" si="1"/>
        <v/>
      </c>
      <c r="H93" s="5" t="str">
        <f t="shared" si="2"/>
        <v/>
      </c>
    </row>
    <row r="94">
      <c r="A94" s="37"/>
      <c r="B94" s="37"/>
      <c r="C94" s="37"/>
      <c r="D94" s="37"/>
      <c r="E94" s="36"/>
      <c r="F94" s="36"/>
      <c r="G94" s="36" t="str">
        <f t="shared" si="1"/>
        <v/>
      </c>
      <c r="H94" s="5" t="str">
        <f t="shared" si="2"/>
        <v/>
      </c>
    </row>
    <row r="95">
      <c r="A95" s="37"/>
      <c r="B95" s="37"/>
      <c r="C95" s="37"/>
      <c r="D95" s="37"/>
      <c r="E95" s="36"/>
      <c r="F95" s="36"/>
      <c r="G95" s="36" t="str">
        <f t="shared" si="1"/>
        <v/>
      </c>
      <c r="H95" s="5" t="str">
        <f t="shared" si="2"/>
        <v/>
      </c>
    </row>
    <row r="96">
      <c r="A96" s="37"/>
      <c r="B96" s="37"/>
      <c r="C96" s="37"/>
      <c r="D96" s="37"/>
      <c r="E96" s="36"/>
      <c r="F96" s="36"/>
      <c r="G96" s="36" t="str">
        <f t="shared" si="1"/>
        <v/>
      </c>
      <c r="H96" s="5" t="str">
        <f t="shared" si="2"/>
        <v/>
      </c>
    </row>
    <row r="97">
      <c r="A97" s="37"/>
      <c r="B97" s="37"/>
      <c r="C97" s="37"/>
      <c r="D97" s="37"/>
      <c r="E97" s="36"/>
      <c r="F97" s="36"/>
      <c r="G97" s="36" t="str">
        <f t="shared" si="1"/>
        <v/>
      </c>
      <c r="H97" s="5" t="str">
        <f t="shared" si="2"/>
        <v/>
      </c>
    </row>
    <row r="98">
      <c r="A98" s="37"/>
      <c r="B98" s="37"/>
      <c r="C98" s="37"/>
      <c r="D98" s="37"/>
      <c r="E98" s="36"/>
      <c r="F98" s="36"/>
      <c r="G98" s="36" t="str">
        <f t="shared" si="1"/>
        <v/>
      </c>
      <c r="H98" s="5" t="str">
        <f t="shared" si="2"/>
        <v/>
      </c>
    </row>
    <row r="99">
      <c r="A99" s="37"/>
      <c r="B99" s="37"/>
      <c r="C99" s="37"/>
      <c r="D99" s="37"/>
      <c r="E99" s="36"/>
      <c r="F99" s="36"/>
      <c r="G99" s="36" t="str">
        <f t="shared" si="1"/>
        <v/>
      </c>
      <c r="H99" s="5" t="str">
        <f t="shared" si="2"/>
        <v/>
      </c>
    </row>
    <row r="100">
      <c r="A100" s="37"/>
      <c r="B100" s="37"/>
      <c r="C100" s="37"/>
      <c r="D100" s="37"/>
      <c r="E100" s="36"/>
      <c r="F100" s="36"/>
      <c r="G100" s="36" t="str">
        <f t="shared" si="1"/>
        <v/>
      </c>
      <c r="H100" s="5" t="str">
        <f t="shared" si="2"/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>
        <f t="shared" ref="E102:F102" si="3">SUM(E7:E101)</f>
        <v>16148.17</v>
      </c>
      <c r="F102" s="55">
        <f t="shared" si="3"/>
        <v>88565.25</v>
      </c>
      <c r="G102" s="56"/>
    </row>
  </sheetData>
  <mergeCells count="2">
    <mergeCell ref="A1:G1"/>
    <mergeCell ref="A5:G5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3" width="14.88"/>
    <col customWidth="1" min="4" max="4" width="12.63"/>
    <col customWidth="1" min="5" max="7" width="15.13"/>
    <col customWidth="1" min="8" max="8" width="7.63"/>
  </cols>
  <sheetData>
    <row r="1">
      <c r="A1" s="97">
        <f>COUNTIF(D:D,"Ashik")</f>
        <v>10</v>
      </c>
      <c r="B1" s="47"/>
      <c r="C1" s="47"/>
      <c r="D1" s="47"/>
      <c r="E1" s="47"/>
      <c r="F1" s="47"/>
      <c r="G1" s="47"/>
      <c r="H1" s="48"/>
    </row>
    <row r="3">
      <c r="A3" s="15" t="s">
        <v>41</v>
      </c>
    </row>
    <row r="4">
      <c r="A4" s="41" t="s">
        <v>1391</v>
      </c>
      <c r="B4" s="90">
        <f t="shared" ref="B4:B13" si="1">SUMIF($D$21:$D$504,A4,$G$21:$G$504)</f>
        <v>45063.62</v>
      </c>
      <c r="C4" s="42">
        <f t="shared" ref="C4:C13" si="2">COUNTIF($D$21:$D$504,A4)</f>
        <v>34</v>
      </c>
      <c r="D4" s="42">
        <f t="shared" ref="D4:D8" si="3">IFERROR(B4/C4,0)</f>
        <v>1325.400588</v>
      </c>
    </row>
    <row r="5">
      <c r="A5" s="34" t="s">
        <v>1392</v>
      </c>
      <c r="B5" s="36">
        <f t="shared" si="1"/>
        <v>25395.4</v>
      </c>
      <c r="C5" s="36">
        <f t="shared" si="2"/>
        <v>19</v>
      </c>
      <c r="D5" s="36">
        <f t="shared" si="3"/>
        <v>1336.6</v>
      </c>
    </row>
    <row r="6">
      <c r="A6" s="34" t="s">
        <v>1393</v>
      </c>
      <c r="B6" s="36">
        <f t="shared" si="1"/>
        <v>7652.1</v>
      </c>
      <c r="C6" s="36">
        <f t="shared" si="2"/>
        <v>6</v>
      </c>
      <c r="D6" s="36">
        <f t="shared" si="3"/>
        <v>1275.35</v>
      </c>
    </row>
    <row r="7">
      <c r="A7" s="34" t="s">
        <v>46</v>
      </c>
      <c r="B7" s="36">
        <f t="shared" si="1"/>
        <v>837.92</v>
      </c>
      <c r="C7" s="36">
        <f t="shared" si="2"/>
        <v>3</v>
      </c>
      <c r="D7" s="36">
        <f t="shared" si="3"/>
        <v>279.3066667</v>
      </c>
    </row>
    <row r="8">
      <c r="A8" s="34" t="s">
        <v>47</v>
      </c>
      <c r="B8" s="36">
        <f t="shared" si="1"/>
        <v>386314.4</v>
      </c>
      <c r="C8" s="36">
        <f t="shared" si="2"/>
        <v>28</v>
      </c>
      <c r="D8" s="36">
        <f t="shared" si="3"/>
        <v>13796.94286</v>
      </c>
    </row>
    <row r="9">
      <c r="A9" s="34" t="s">
        <v>48</v>
      </c>
      <c r="B9" s="36">
        <f t="shared" si="1"/>
        <v>45700.21</v>
      </c>
      <c r="C9" s="36">
        <f t="shared" si="2"/>
        <v>24</v>
      </c>
      <c r="D9" s="36">
        <f t="shared" ref="D9:D16" si="4">IFERROR(B9/C9,0)</f>
        <v>1904.175417</v>
      </c>
    </row>
    <row r="10">
      <c r="A10" s="34" t="s">
        <v>49</v>
      </c>
      <c r="B10" s="36">
        <f t="shared" si="1"/>
        <v>778183.07</v>
      </c>
      <c r="C10" s="36">
        <f t="shared" si="2"/>
        <v>14</v>
      </c>
      <c r="D10" s="36">
        <f t="shared" si="4"/>
        <v>55584.505</v>
      </c>
    </row>
    <row r="11">
      <c r="A11" s="34" t="s">
        <v>50</v>
      </c>
      <c r="B11" s="36">
        <f t="shared" si="1"/>
        <v>0</v>
      </c>
      <c r="C11" s="36">
        <f t="shared" si="2"/>
        <v>0</v>
      </c>
      <c r="D11" s="36">
        <f t="shared" si="4"/>
        <v>0</v>
      </c>
    </row>
    <row r="12">
      <c r="A12" s="91" t="s">
        <v>52</v>
      </c>
      <c r="B12" s="36">
        <f t="shared" si="1"/>
        <v>228497.88</v>
      </c>
      <c r="C12" s="36">
        <f t="shared" si="2"/>
        <v>18</v>
      </c>
      <c r="D12" s="36">
        <f t="shared" si="4"/>
        <v>12694.32667</v>
      </c>
    </row>
    <row r="13">
      <c r="A13" s="91" t="s">
        <v>58</v>
      </c>
      <c r="B13" s="36">
        <f t="shared" si="1"/>
        <v>11134.02</v>
      </c>
      <c r="C13" s="36">
        <f t="shared" si="2"/>
        <v>7</v>
      </c>
      <c r="D13" s="36">
        <f t="shared" si="4"/>
        <v>1590.574286</v>
      </c>
    </row>
    <row r="14">
      <c r="A14" s="34" t="s">
        <v>1761</v>
      </c>
      <c r="B14" s="36">
        <f>SUMIF($D$22:$D$505,A14,$G$22:$G$505)</f>
        <v>57646.36</v>
      </c>
      <c r="C14" s="36">
        <f>COUNTIF($D$22:$D$505,A14)</f>
        <v>99</v>
      </c>
      <c r="D14" s="36">
        <f t="shared" si="4"/>
        <v>582.2864646</v>
      </c>
    </row>
    <row r="15">
      <c r="A15" s="34" t="s">
        <v>2040</v>
      </c>
      <c r="B15" s="98">
        <f t="shared" ref="B15:B16" si="5">SUMIF($D$21:$D$504,A15,$G$21:$G$504)</f>
        <v>3500.62</v>
      </c>
      <c r="C15" s="98">
        <f t="shared" ref="C15:C16" si="6">COUNTIF($D$21:$D$504,A15)</f>
        <v>10</v>
      </c>
      <c r="D15" s="98">
        <f t="shared" si="4"/>
        <v>350.062</v>
      </c>
    </row>
    <row r="16">
      <c r="A16" s="34" t="s">
        <v>57</v>
      </c>
      <c r="B16" s="98">
        <f t="shared" si="5"/>
        <v>0</v>
      </c>
      <c r="C16" s="98">
        <f t="shared" si="6"/>
        <v>0</v>
      </c>
      <c r="D16" s="98">
        <f t="shared" si="4"/>
        <v>0</v>
      </c>
    </row>
    <row r="17">
      <c r="A17" s="38" t="s">
        <v>59</v>
      </c>
      <c r="B17" s="39">
        <f>SUM(B4:B16)</f>
        <v>1589925.6</v>
      </c>
      <c r="C17" s="39">
        <f>SUM(C4:C8)</f>
        <v>90</v>
      </c>
      <c r="D17" s="39">
        <f>IFERROR(B17/C17,0)</f>
        <v>17665.84</v>
      </c>
    </row>
    <row r="19">
      <c r="A19" s="7" t="s">
        <v>1871</v>
      </c>
    </row>
    <row r="20">
      <c r="A20" s="41" t="s">
        <v>130</v>
      </c>
      <c r="B20" s="41" t="s">
        <v>131</v>
      </c>
      <c r="C20" s="41" t="s">
        <v>132</v>
      </c>
      <c r="D20" s="41" t="s">
        <v>41</v>
      </c>
      <c r="E20" s="41" t="s">
        <v>133</v>
      </c>
      <c r="F20" s="41" t="s">
        <v>134</v>
      </c>
      <c r="G20" s="41" t="s">
        <v>104</v>
      </c>
      <c r="H20" s="41" t="s">
        <v>135</v>
      </c>
    </row>
    <row r="21">
      <c r="A21" s="60" t="s">
        <v>2041</v>
      </c>
      <c r="B21" s="60" t="s">
        <v>2042</v>
      </c>
      <c r="C21" s="63" t="s">
        <v>81</v>
      </c>
      <c r="D21" s="34" t="s">
        <v>1391</v>
      </c>
      <c r="E21" s="63">
        <v>553.94</v>
      </c>
      <c r="F21" s="36"/>
      <c r="G21" s="36">
        <f t="shared" ref="G21:G503" si="7">IF(E21="","",E21-F21)</f>
        <v>553.94</v>
      </c>
      <c r="H21" s="37"/>
    </row>
    <row r="22">
      <c r="A22" s="60" t="s">
        <v>170</v>
      </c>
      <c r="B22" s="60" t="s">
        <v>171</v>
      </c>
      <c r="C22" s="63" t="s">
        <v>81</v>
      </c>
      <c r="D22" s="34" t="s">
        <v>1391</v>
      </c>
      <c r="E22" s="63">
        <v>135.97</v>
      </c>
      <c r="F22" s="36"/>
      <c r="G22" s="36">
        <f t="shared" si="7"/>
        <v>135.97</v>
      </c>
      <c r="H22" s="37"/>
    </row>
    <row r="23">
      <c r="A23" s="60" t="s">
        <v>174</v>
      </c>
      <c r="B23" s="60" t="s">
        <v>175</v>
      </c>
      <c r="C23" s="63" t="s">
        <v>81</v>
      </c>
      <c r="D23" s="34" t="s">
        <v>1391</v>
      </c>
      <c r="E23" s="63">
        <v>247.95</v>
      </c>
      <c r="F23" s="36"/>
      <c r="G23" s="36">
        <f t="shared" si="7"/>
        <v>247.95</v>
      </c>
      <c r="H23" s="37"/>
    </row>
    <row r="24">
      <c r="A24" s="60" t="s">
        <v>176</v>
      </c>
      <c r="B24" s="60" t="s">
        <v>177</v>
      </c>
      <c r="C24" s="63" t="s">
        <v>81</v>
      </c>
      <c r="D24" s="34" t="s">
        <v>1391</v>
      </c>
      <c r="E24" s="63">
        <v>1833.85</v>
      </c>
      <c r="F24" s="36"/>
      <c r="G24" s="36">
        <f t="shared" si="7"/>
        <v>1833.85</v>
      </c>
      <c r="H24" s="37"/>
    </row>
    <row r="25">
      <c r="A25" s="60" t="s">
        <v>178</v>
      </c>
      <c r="B25" s="60" t="s">
        <v>179</v>
      </c>
      <c r="C25" s="63" t="s">
        <v>81</v>
      </c>
      <c r="D25" s="34" t="s">
        <v>1391</v>
      </c>
      <c r="E25" s="63">
        <v>578.91</v>
      </c>
      <c r="F25" s="36"/>
      <c r="G25" s="36">
        <f t="shared" si="7"/>
        <v>578.91</v>
      </c>
      <c r="H25" s="37"/>
    </row>
    <row r="26">
      <c r="A26" s="60" t="s">
        <v>182</v>
      </c>
      <c r="B26" s="60" t="s">
        <v>183</v>
      </c>
      <c r="C26" s="63" t="s">
        <v>81</v>
      </c>
      <c r="D26" s="34" t="s">
        <v>1391</v>
      </c>
      <c r="E26" s="63">
        <v>595.91</v>
      </c>
      <c r="F26" s="36"/>
      <c r="G26" s="36">
        <f t="shared" si="7"/>
        <v>595.91</v>
      </c>
      <c r="H26" s="37"/>
    </row>
    <row r="27">
      <c r="A27" s="60" t="s">
        <v>184</v>
      </c>
      <c r="B27" s="60" t="s">
        <v>185</v>
      </c>
      <c r="C27" s="63" t="s">
        <v>81</v>
      </c>
      <c r="D27" s="34" t="s">
        <v>1391</v>
      </c>
      <c r="E27" s="63">
        <v>1651.78</v>
      </c>
      <c r="F27" s="36"/>
      <c r="G27" s="36">
        <f t="shared" si="7"/>
        <v>1651.78</v>
      </c>
      <c r="H27" s="37"/>
    </row>
    <row r="28">
      <c r="A28" s="60" t="s">
        <v>186</v>
      </c>
      <c r="B28" s="60" t="s">
        <v>187</v>
      </c>
      <c r="C28" s="63" t="s">
        <v>81</v>
      </c>
      <c r="D28" s="34" t="s">
        <v>1391</v>
      </c>
      <c r="E28" s="63">
        <v>833.87</v>
      </c>
      <c r="F28" s="36"/>
      <c r="G28" s="36">
        <f t="shared" si="7"/>
        <v>833.87</v>
      </c>
      <c r="H28" s="37"/>
    </row>
    <row r="29">
      <c r="A29" s="60" t="s">
        <v>190</v>
      </c>
      <c r="B29" s="60" t="s">
        <v>191</v>
      </c>
      <c r="C29" s="63" t="s">
        <v>81</v>
      </c>
      <c r="D29" s="34" t="s">
        <v>1391</v>
      </c>
      <c r="E29" s="63">
        <v>837.89</v>
      </c>
      <c r="F29" s="36"/>
      <c r="G29" s="36">
        <f t="shared" si="7"/>
        <v>837.89</v>
      </c>
      <c r="H29" s="37"/>
    </row>
    <row r="30">
      <c r="A30" s="60" t="s">
        <v>192</v>
      </c>
      <c r="B30" s="60" t="s">
        <v>193</v>
      </c>
      <c r="C30" s="63" t="s">
        <v>81</v>
      </c>
      <c r="D30" s="34" t="s">
        <v>1391</v>
      </c>
      <c r="E30" s="63">
        <v>611.94</v>
      </c>
      <c r="F30" s="36"/>
      <c r="G30" s="36">
        <f t="shared" si="7"/>
        <v>611.94</v>
      </c>
      <c r="H30" s="37"/>
    </row>
    <row r="31">
      <c r="A31" s="60" t="s">
        <v>1872</v>
      </c>
      <c r="B31" s="60" t="s">
        <v>1873</v>
      </c>
      <c r="C31" s="63" t="s">
        <v>81</v>
      </c>
      <c r="D31" s="34" t="s">
        <v>1391</v>
      </c>
      <c r="E31" s="63">
        <v>1075.85</v>
      </c>
      <c r="F31" s="36"/>
      <c r="G31" s="36">
        <f t="shared" si="7"/>
        <v>1075.85</v>
      </c>
      <c r="H31" s="37"/>
    </row>
    <row r="32">
      <c r="A32" s="60" t="s">
        <v>194</v>
      </c>
      <c r="B32" s="60" t="s">
        <v>195</v>
      </c>
      <c r="C32" s="63" t="s">
        <v>81</v>
      </c>
      <c r="D32" s="34" t="s">
        <v>1391</v>
      </c>
      <c r="E32" s="63">
        <v>782.79</v>
      </c>
      <c r="F32" s="36"/>
      <c r="G32" s="36">
        <f t="shared" si="7"/>
        <v>782.79</v>
      </c>
      <c r="H32" s="37"/>
    </row>
    <row r="33">
      <c r="A33" s="60" t="s">
        <v>196</v>
      </c>
      <c r="B33" s="60" t="s">
        <v>197</v>
      </c>
      <c r="C33" s="63" t="s">
        <v>81</v>
      </c>
      <c r="D33" s="34" t="s">
        <v>1391</v>
      </c>
      <c r="E33" s="63">
        <v>4963.18</v>
      </c>
      <c r="F33" s="36"/>
      <c r="G33" s="36">
        <f t="shared" si="7"/>
        <v>4963.18</v>
      </c>
      <c r="H33" s="37"/>
    </row>
    <row r="34">
      <c r="A34" s="60" t="s">
        <v>198</v>
      </c>
      <c r="B34" s="60" t="s">
        <v>199</v>
      </c>
      <c r="C34" s="63" t="s">
        <v>81</v>
      </c>
      <c r="D34" s="34" t="s">
        <v>1391</v>
      </c>
      <c r="E34" s="63">
        <v>5017.58</v>
      </c>
      <c r="F34" s="36"/>
      <c r="G34" s="36">
        <f t="shared" si="7"/>
        <v>5017.58</v>
      </c>
      <c r="H34" s="37"/>
    </row>
    <row r="35">
      <c r="A35" s="60" t="s">
        <v>202</v>
      </c>
      <c r="B35" s="60" t="s">
        <v>203</v>
      </c>
      <c r="C35" s="63" t="s">
        <v>81</v>
      </c>
      <c r="D35" s="34" t="s">
        <v>1391</v>
      </c>
      <c r="E35" s="63">
        <v>384.95</v>
      </c>
      <c r="F35" s="36"/>
      <c r="G35" s="36">
        <f t="shared" si="7"/>
        <v>384.95</v>
      </c>
      <c r="H35" s="37"/>
    </row>
    <row r="36">
      <c r="A36" s="60" t="s">
        <v>206</v>
      </c>
      <c r="B36" s="60" t="s">
        <v>207</v>
      </c>
      <c r="C36" s="63" t="s">
        <v>81</v>
      </c>
      <c r="D36" s="34" t="s">
        <v>1391</v>
      </c>
      <c r="E36" s="63">
        <v>2271.83</v>
      </c>
      <c r="F36" s="36"/>
      <c r="G36" s="36">
        <f t="shared" si="7"/>
        <v>2271.83</v>
      </c>
      <c r="H36" s="37"/>
    </row>
    <row r="37">
      <c r="A37" s="60" t="s">
        <v>208</v>
      </c>
      <c r="B37" s="60" t="s">
        <v>209</v>
      </c>
      <c r="C37" s="63" t="s">
        <v>81</v>
      </c>
      <c r="D37" s="34" t="s">
        <v>1391</v>
      </c>
      <c r="E37" s="63">
        <v>1905.71</v>
      </c>
      <c r="F37" s="36"/>
      <c r="G37" s="36">
        <f t="shared" si="7"/>
        <v>1905.71</v>
      </c>
      <c r="H37" s="37"/>
    </row>
    <row r="38">
      <c r="A38" s="60" t="s">
        <v>210</v>
      </c>
      <c r="B38" s="60" t="s">
        <v>211</v>
      </c>
      <c r="C38" s="63" t="s">
        <v>81</v>
      </c>
      <c r="D38" s="34" t="s">
        <v>1391</v>
      </c>
      <c r="E38" s="63">
        <v>939.92</v>
      </c>
      <c r="F38" s="36"/>
      <c r="G38" s="36">
        <f t="shared" si="7"/>
        <v>939.92</v>
      </c>
      <c r="H38" s="37"/>
    </row>
    <row r="39">
      <c r="A39" s="60" t="s">
        <v>212</v>
      </c>
      <c r="B39" s="60" t="s">
        <v>2043</v>
      </c>
      <c r="C39" s="63" t="s">
        <v>81</v>
      </c>
      <c r="D39" s="34" t="s">
        <v>1391</v>
      </c>
      <c r="E39" s="63">
        <v>0.01</v>
      </c>
      <c r="F39" s="36"/>
      <c r="G39" s="36">
        <f t="shared" si="7"/>
        <v>0.01</v>
      </c>
      <c r="H39" s="37"/>
    </row>
    <row r="40">
      <c r="A40" s="60" t="s">
        <v>214</v>
      </c>
      <c r="B40" s="60" t="s">
        <v>215</v>
      </c>
      <c r="C40" s="63" t="s">
        <v>81</v>
      </c>
      <c r="D40" s="34" t="s">
        <v>1391</v>
      </c>
      <c r="E40" s="63">
        <v>234.97</v>
      </c>
      <c r="F40" s="36"/>
      <c r="G40" s="36">
        <f t="shared" si="7"/>
        <v>234.97</v>
      </c>
      <c r="H40" s="37"/>
    </row>
    <row r="41">
      <c r="A41" s="60" t="s">
        <v>218</v>
      </c>
      <c r="B41" s="60" t="s">
        <v>219</v>
      </c>
      <c r="C41" s="63" t="s">
        <v>81</v>
      </c>
      <c r="D41" s="34" t="s">
        <v>1391</v>
      </c>
      <c r="E41" s="63">
        <v>4392.44</v>
      </c>
      <c r="F41" s="36"/>
      <c r="G41" s="36">
        <f t="shared" si="7"/>
        <v>4392.44</v>
      </c>
      <c r="H41" s="37"/>
    </row>
    <row r="42">
      <c r="A42" s="60" t="s">
        <v>220</v>
      </c>
      <c r="B42" s="60" t="s">
        <v>221</v>
      </c>
      <c r="C42" s="63" t="s">
        <v>81</v>
      </c>
      <c r="D42" s="34" t="s">
        <v>1391</v>
      </c>
      <c r="E42" s="63">
        <v>428.99</v>
      </c>
      <c r="F42" s="36"/>
      <c r="G42" s="36">
        <f t="shared" si="7"/>
        <v>428.99</v>
      </c>
      <c r="H42" s="37"/>
    </row>
    <row r="43">
      <c r="A43" s="60" t="s">
        <v>226</v>
      </c>
      <c r="B43" s="60" t="s">
        <v>227</v>
      </c>
      <c r="C43" s="63" t="s">
        <v>81</v>
      </c>
      <c r="D43" s="34" t="s">
        <v>1391</v>
      </c>
      <c r="E43" s="63">
        <v>1549.8</v>
      </c>
      <c r="F43" s="36"/>
      <c r="G43" s="36">
        <f t="shared" si="7"/>
        <v>1549.8</v>
      </c>
      <c r="H43" s="37"/>
    </row>
    <row r="44">
      <c r="A44" s="60" t="s">
        <v>1877</v>
      </c>
      <c r="B44" s="60" t="s">
        <v>1878</v>
      </c>
      <c r="C44" s="63" t="s">
        <v>81</v>
      </c>
      <c r="D44" s="34" t="s">
        <v>1391</v>
      </c>
      <c r="E44" s="63">
        <v>100.0</v>
      </c>
      <c r="F44" s="36"/>
      <c r="G44" s="36">
        <f t="shared" si="7"/>
        <v>100</v>
      </c>
      <c r="H44" s="37"/>
    </row>
    <row r="45">
      <c r="A45" s="60" t="s">
        <v>230</v>
      </c>
      <c r="B45" s="60" t="s">
        <v>231</v>
      </c>
      <c r="C45" s="63" t="s">
        <v>81</v>
      </c>
      <c r="D45" s="34" t="s">
        <v>1391</v>
      </c>
      <c r="E45" s="63">
        <v>1018.08</v>
      </c>
      <c r="F45" s="36"/>
      <c r="G45" s="36">
        <f t="shared" si="7"/>
        <v>1018.08</v>
      </c>
      <c r="H45" s="37"/>
    </row>
    <row r="46">
      <c r="A46" s="60" t="s">
        <v>232</v>
      </c>
      <c r="B46" s="60" t="s">
        <v>233</v>
      </c>
      <c r="C46" s="63" t="s">
        <v>81</v>
      </c>
      <c r="D46" s="34" t="s">
        <v>1391</v>
      </c>
      <c r="E46" s="63">
        <v>550.9</v>
      </c>
      <c r="F46" s="36"/>
      <c r="G46" s="36">
        <f t="shared" si="7"/>
        <v>550.9</v>
      </c>
      <c r="H46" s="37"/>
    </row>
    <row r="47">
      <c r="A47" s="60" t="s">
        <v>236</v>
      </c>
      <c r="B47" s="60" t="s">
        <v>237</v>
      </c>
      <c r="C47" s="63" t="s">
        <v>81</v>
      </c>
      <c r="D47" s="34" t="s">
        <v>1391</v>
      </c>
      <c r="E47" s="63">
        <v>292.95</v>
      </c>
      <c r="F47" s="36"/>
      <c r="G47" s="36">
        <f t="shared" si="7"/>
        <v>292.95</v>
      </c>
      <c r="H47" s="37"/>
    </row>
    <row r="48">
      <c r="A48" s="60" t="s">
        <v>238</v>
      </c>
      <c r="B48" s="60" t="s">
        <v>239</v>
      </c>
      <c r="C48" s="63" t="s">
        <v>81</v>
      </c>
      <c r="D48" s="34" t="s">
        <v>1391</v>
      </c>
      <c r="E48" s="63">
        <v>1364.8</v>
      </c>
      <c r="F48" s="36"/>
      <c r="G48" s="36">
        <f t="shared" si="7"/>
        <v>1364.8</v>
      </c>
      <c r="H48" s="37"/>
    </row>
    <row r="49">
      <c r="A49" s="60" t="s">
        <v>240</v>
      </c>
      <c r="B49" s="60" t="s">
        <v>241</v>
      </c>
      <c r="C49" s="63" t="s">
        <v>81</v>
      </c>
      <c r="D49" s="34" t="s">
        <v>1391</v>
      </c>
      <c r="E49" s="63">
        <v>6147.2</v>
      </c>
      <c r="F49" s="36"/>
      <c r="G49" s="36">
        <f t="shared" si="7"/>
        <v>6147.2</v>
      </c>
      <c r="H49" s="37"/>
    </row>
    <row r="50">
      <c r="A50" s="60" t="s">
        <v>244</v>
      </c>
      <c r="B50" s="60" t="s">
        <v>245</v>
      </c>
      <c r="C50" s="63" t="s">
        <v>81</v>
      </c>
      <c r="D50" s="34" t="s">
        <v>1391</v>
      </c>
      <c r="E50" s="63">
        <v>1000.0</v>
      </c>
      <c r="F50" s="36"/>
      <c r="G50" s="36">
        <f t="shared" si="7"/>
        <v>1000</v>
      </c>
      <c r="H50" s="37"/>
    </row>
    <row r="51">
      <c r="A51" s="60" t="s">
        <v>250</v>
      </c>
      <c r="B51" s="60" t="s">
        <v>251</v>
      </c>
      <c r="C51" s="63" t="s">
        <v>81</v>
      </c>
      <c r="D51" s="34" t="s">
        <v>1391</v>
      </c>
      <c r="E51" s="63">
        <v>1021.86</v>
      </c>
      <c r="F51" s="36"/>
      <c r="G51" s="36">
        <f t="shared" si="7"/>
        <v>1021.86</v>
      </c>
      <c r="H51" s="37"/>
    </row>
    <row r="52">
      <c r="A52" s="60" t="s">
        <v>252</v>
      </c>
      <c r="B52" s="60" t="s">
        <v>253</v>
      </c>
      <c r="C52" s="63" t="s">
        <v>81</v>
      </c>
      <c r="D52" s="34" t="s">
        <v>1391</v>
      </c>
      <c r="E52" s="63">
        <v>387.93</v>
      </c>
      <c r="F52" s="36"/>
      <c r="G52" s="36">
        <f t="shared" si="7"/>
        <v>387.93</v>
      </c>
      <c r="H52" s="37"/>
    </row>
    <row r="53">
      <c r="A53" s="60" t="s">
        <v>260</v>
      </c>
      <c r="B53" s="60" t="s">
        <v>261</v>
      </c>
      <c r="C53" s="63" t="s">
        <v>81</v>
      </c>
      <c r="D53" s="34" t="s">
        <v>1391</v>
      </c>
      <c r="E53" s="63">
        <v>360.0</v>
      </c>
      <c r="F53" s="36"/>
      <c r="G53" s="36">
        <f t="shared" si="7"/>
        <v>360</v>
      </c>
      <c r="H53" s="37"/>
    </row>
    <row r="54">
      <c r="A54" s="60" t="s">
        <v>264</v>
      </c>
      <c r="B54" s="60" t="s">
        <v>265</v>
      </c>
      <c r="C54" s="63" t="s">
        <v>81</v>
      </c>
      <c r="D54" s="34" t="s">
        <v>1391</v>
      </c>
      <c r="E54" s="63">
        <v>989.87</v>
      </c>
      <c r="F54" s="36"/>
      <c r="G54" s="36">
        <f t="shared" si="7"/>
        <v>989.87</v>
      </c>
      <c r="H54" s="37"/>
    </row>
    <row r="55">
      <c r="A55" s="60" t="s">
        <v>136</v>
      </c>
      <c r="B55" s="60" t="s">
        <v>137</v>
      </c>
      <c r="C55" s="34" t="s">
        <v>83</v>
      </c>
      <c r="D55" s="34" t="s">
        <v>1392</v>
      </c>
      <c r="E55" s="68">
        <v>2685.58</v>
      </c>
      <c r="F55" s="36"/>
      <c r="G55" s="36">
        <f t="shared" si="7"/>
        <v>2685.58</v>
      </c>
      <c r="H55" s="37"/>
    </row>
    <row r="56">
      <c r="A56" s="60" t="s">
        <v>138</v>
      </c>
      <c r="B56" s="60" t="s">
        <v>139</v>
      </c>
      <c r="C56" s="34" t="s">
        <v>83</v>
      </c>
      <c r="D56" s="34" t="s">
        <v>1392</v>
      </c>
      <c r="E56" s="68">
        <v>1719.77</v>
      </c>
      <c r="F56" s="36"/>
      <c r="G56" s="36">
        <f t="shared" si="7"/>
        <v>1719.77</v>
      </c>
      <c r="H56" s="37"/>
    </row>
    <row r="57">
      <c r="A57" s="60" t="s">
        <v>1879</v>
      </c>
      <c r="B57" s="60" t="s">
        <v>1880</v>
      </c>
      <c r="C57" s="34" t="s">
        <v>83</v>
      </c>
      <c r="D57" s="34" t="s">
        <v>1392</v>
      </c>
      <c r="E57" s="68">
        <v>1089.85</v>
      </c>
      <c r="F57" s="36"/>
      <c r="G57" s="36">
        <f t="shared" si="7"/>
        <v>1089.85</v>
      </c>
      <c r="H57" s="37"/>
    </row>
    <row r="58">
      <c r="A58" s="60" t="s">
        <v>1881</v>
      </c>
      <c r="B58" s="60" t="s">
        <v>1882</v>
      </c>
      <c r="C58" s="34" t="s">
        <v>83</v>
      </c>
      <c r="D58" s="34" t="s">
        <v>1392</v>
      </c>
      <c r="E58" s="68">
        <v>52.95</v>
      </c>
      <c r="F58" s="36"/>
      <c r="G58" s="36">
        <f t="shared" si="7"/>
        <v>52.95</v>
      </c>
      <c r="H58" s="37"/>
    </row>
    <row r="59">
      <c r="A59" s="60" t="s">
        <v>1883</v>
      </c>
      <c r="B59" s="60" t="s">
        <v>1884</v>
      </c>
      <c r="C59" s="34" t="s">
        <v>83</v>
      </c>
      <c r="D59" s="34" t="s">
        <v>1392</v>
      </c>
      <c r="E59" s="68">
        <v>1019.94</v>
      </c>
      <c r="F59" s="36"/>
      <c r="G59" s="36">
        <f t="shared" si="7"/>
        <v>1019.94</v>
      </c>
      <c r="H59" s="37"/>
    </row>
    <row r="60">
      <c r="A60" s="60" t="s">
        <v>142</v>
      </c>
      <c r="B60" s="60" t="s">
        <v>143</v>
      </c>
      <c r="C60" s="34" t="s">
        <v>83</v>
      </c>
      <c r="D60" s="34" t="s">
        <v>1392</v>
      </c>
      <c r="E60" s="68">
        <v>1460.78</v>
      </c>
      <c r="F60" s="36"/>
      <c r="G60" s="36">
        <f t="shared" si="7"/>
        <v>1460.78</v>
      </c>
      <c r="H60" s="37"/>
    </row>
    <row r="61">
      <c r="A61" s="60" t="s">
        <v>1885</v>
      </c>
      <c r="B61" s="60" t="s">
        <v>1886</v>
      </c>
      <c r="C61" s="34" t="s">
        <v>83</v>
      </c>
      <c r="D61" s="34" t="s">
        <v>1392</v>
      </c>
      <c r="E61" s="68">
        <v>1017.85</v>
      </c>
      <c r="F61" s="36"/>
      <c r="G61" s="36">
        <f t="shared" si="7"/>
        <v>1017.85</v>
      </c>
      <c r="H61" s="37"/>
    </row>
    <row r="62">
      <c r="A62" s="60" t="s">
        <v>1887</v>
      </c>
      <c r="B62" s="60" t="s">
        <v>1888</v>
      </c>
      <c r="C62" s="34" t="s">
        <v>83</v>
      </c>
      <c r="D62" s="34" t="s">
        <v>1392</v>
      </c>
      <c r="E62" s="68">
        <v>527.93</v>
      </c>
      <c r="F62" s="36"/>
      <c r="G62" s="36">
        <f t="shared" si="7"/>
        <v>527.93</v>
      </c>
      <c r="H62" s="37"/>
    </row>
    <row r="63">
      <c r="A63" s="60" t="s">
        <v>1602</v>
      </c>
      <c r="B63" s="60" t="s">
        <v>1603</v>
      </c>
      <c r="C63" s="34" t="s">
        <v>83</v>
      </c>
      <c r="D63" s="34" t="s">
        <v>1392</v>
      </c>
      <c r="E63" s="68">
        <v>1017.86</v>
      </c>
      <c r="F63" s="36"/>
      <c r="G63" s="36">
        <f t="shared" si="7"/>
        <v>1017.86</v>
      </c>
      <c r="H63" s="37"/>
    </row>
    <row r="64">
      <c r="A64" s="60" t="s">
        <v>146</v>
      </c>
      <c r="B64" s="60" t="s">
        <v>147</v>
      </c>
      <c r="C64" s="34" t="s">
        <v>83</v>
      </c>
      <c r="D64" s="34" t="s">
        <v>1392</v>
      </c>
      <c r="E64" s="68">
        <v>527.93</v>
      </c>
      <c r="F64" s="36"/>
      <c r="G64" s="36">
        <f t="shared" si="7"/>
        <v>527.93</v>
      </c>
      <c r="H64" s="37"/>
    </row>
    <row r="65">
      <c r="A65" s="60" t="s">
        <v>2044</v>
      </c>
      <c r="B65" s="60" t="s">
        <v>2045</v>
      </c>
      <c r="C65" s="34" t="s">
        <v>83</v>
      </c>
      <c r="D65" s="34" t="s">
        <v>1392</v>
      </c>
      <c r="E65" s="68">
        <v>561.92</v>
      </c>
      <c r="F65" s="36"/>
      <c r="G65" s="36">
        <f t="shared" si="7"/>
        <v>561.92</v>
      </c>
      <c r="H65" s="37"/>
    </row>
    <row r="66">
      <c r="A66" s="60" t="s">
        <v>1893</v>
      </c>
      <c r="B66" s="60" t="s">
        <v>1894</v>
      </c>
      <c r="C66" s="34" t="s">
        <v>83</v>
      </c>
      <c r="D66" s="34" t="s">
        <v>1392</v>
      </c>
      <c r="E66" s="68">
        <v>387.93</v>
      </c>
      <c r="F66" s="36"/>
      <c r="G66" s="36">
        <f t="shared" si="7"/>
        <v>387.93</v>
      </c>
      <c r="H66" s="37"/>
    </row>
    <row r="67">
      <c r="A67" s="60" t="s">
        <v>148</v>
      </c>
      <c r="B67" s="60" t="s">
        <v>149</v>
      </c>
      <c r="C67" s="34" t="s">
        <v>83</v>
      </c>
      <c r="D67" s="34" t="s">
        <v>1392</v>
      </c>
      <c r="E67" s="68">
        <v>3805.65</v>
      </c>
      <c r="F67" s="36"/>
      <c r="G67" s="36">
        <f t="shared" si="7"/>
        <v>3805.65</v>
      </c>
      <c r="H67" s="37"/>
    </row>
    <row r="68">
      <c r="A68" s="60" t="s">
        <v>150</v>
      </c>
      <c r="B68" s="60" t="s">
        <v>151</v>
      </c>
      <c r="C68" s="34" t="s">
        <v>83</v>
      </c>
      <c r="D68" s="34" t="s">
        <v>1392</v>
      </c>
      <c r="E68" s="68">
        <v>850.87</v>
      </c>
      <c r="F68" s="36"/>
      <c r="G68" s="36">
        <f t="shared" si="7"/>
        <v>850.87</v>
      </c>
      <c r="H68" s="37"/>
    </row>
    <row r="69">
      <c r="A69" s="60" t="s">
        <v>152</v>
      </c>
      <c r="B69" s="60" t="s">
        <v>153</v>
      </c>
      <c r="C69" s="34" t="s">
        <v>83</v>
      </c>
      <c r="D69" s="34" t="s">
        <v>1392</v>
      </c>
      <c r="E69" s="68">
        <v>4867.21</v>
      </c>
      <c r="F69" s="36"/>
      <c r="G69" s="36">
        <f t="shared" si="7"/>
        <v>4867.21</v>
      </c>
      <c r="H69" s="37"/>
    </row>
    <row r="70">
      <c r="A70" s="60" t="s">
        <v>154</v>
      </c>
      <c r="B70" s="60" t="s">
        <v>155</v>
      </c>
      <c r="C70" s="34" t="s">
        <v>83</v>
      </c>
      <c r="D70" s="34" t="s">
        <v>1392</v>
      </c>
      <c r="E70" s="68">
        <v>445.93</v>
      </c>
      <c r="F70" s="36"/>
      <c r="G70" s="36">
        <f t="shared" si="7"/>
        <v>445.93</v>
      </c>
      <c r="H70" s="37"/>
    </row>
    <row r="71">
      <c r="A71" s="60" t="s">
        <v>1895</v>
      </c>
      <c r="B71" s="60" t="s">
        <v>1896</v>
      </c>
      <c r="C71" s="34" t="s">
        <v>83</v>
      </c>
      <c r="D71" s="34" t="s">
        <v>1392</v>
      </c>
      <c r="E71" s="68">
        <v>1021.86</v>
      </c>
      <c r="F71" s="36"/>
      <c r="G71" s="36">
        <f t="shared" si="7"/>
        <v>1021.86</v>
      </c>
      <c r="H71" s="37"/>
    </row>
    <row r="72">
      <c r="A72" s="60" t="s">
        <v>160</v>
      </c>
      <c r="B72" s="60" t="s">
        <v>161</v>
      </c>
      <c r="C72" s="34" t="s">
        <v>83</v>
      </c>
      <c r="D72" s="34" t="s">
        <v>1392</v>
      </c>
      <c r="E72" s="68">
        <v>1945.65</v>
      </c>
      <c r="F72" s="36"/>
      <c r="G72" s="36">
        <f t="shared" si="7"/>
        <v>1945.65</v>
      </c>
      <c r="H72" s="37"/>
    </row>
    <row r="73">
      <c r="A73" s="60" t="s">
        <v>1897</v>
      </c>
      <c r="B73" s="60" t="s">
        <v>1898</v>
      </c>
      <c r="C73" s="34" t="s">
        <v>83</v>
      </c>
      <c r="D73" s="34" t="s">
        <v>1392</v>
      </c>
      <c r="E73" s="68">
        <v>387.94</v>
      </c>
      <c r="F73" s="36"/>
      <c r="G73" s="36">
        <f t="shared" si="7"/>
        <v>387.94</v>
      </c>
      <c r="H73" s="37"/>
    </row>
    <row r="74">
      <c r="A74" s="60" t="s">
        <v>278</v>
      </c>
      <c r="B74" s="60" t="s">
        <v>279</v>
      </c>
      <c r="C74" s="34" t="s">
        <v>82</v>
      </c>
      <c r="D74" s="34" t="s">
        <v>1393</v>
      </c>
      <c r="E74" s="68">
        <v>339.94</v>
      </c>
      <c r="F74" s="36"/>
      <c r="G74" s="36">
        <f t="shared" si="7"/>
        <v>339.94</v>
      </c>
      <c r="H74" s="37"/>
    </row>
    <row r="75">
      <c r="A75" s="60" t="s">
        <v>280</v>
      </c>
      <c r="B75" s="60" t="s">
        <v>281</v>
      </c>
      <c r="C75" s="34" t="s">
        <v>82</v>
      </c>
      <c r="D75" s="34" t="s">
        <v>1393</v>
      </c>
      <c r="E75" s="68">
        <v>1699.99</v>
      </c>
      <c r="F75" s="36"/>
      <c r="G75" s="36">
        <f t="shared" si="7"/>
        <v>1699.99</v>
      </c>
      <c r="H75" s="37"/>
    </row>
    <row r="76">
      <c r="A76" s="60" t="s">
        <v>282</v>
      </c>
      <c r="B76" s="60" t="s">
        <v>283</v>
      </c>
      <c r="C76" s="34" t="s">
        <v>82</v>
      </c>
      <c r="D76" s="34" t="s">
        <v>1393</v>
      </c>
      <c r="E76" s="68">
        <v>1199.76</v>
      </c>
      <c r="F76" s="36"/>
      <c r="G76" s="36">
        <f t="shared" si="7"/>
        <v>1199.76</v>
      </c>
      <c r="H76" s="37"/>
    </row>
    <row r="77">
      <c r="A77" s="60" t="s">
        <v>284</v>
      </c>
      <c r="B77" s="60" t="s">
        <v>285</v>
      </c>
      <c r="C77" s="34" t="s">
        <v>82</v>
      </c>
      <c r="D77" s="34" t="s">
        <v>1393</v>
      </c>
      <c r="E77" s="68">
        <v>1021.9</v>
      </c>
      <c r="F77" s="36"/>
      <c r="G77" s="36">
        <f t="shared" si="7"/>
        <v>1021.9</v>
      </c>
      <c r="H77" s="37"/>
    </row>
    <row r="78">
      <c r="A78" s="60" t="s">
        <v>286</v>
      </c>
      <c r="B78" s="60" t="s">
        <v>287</v>
      </c>
      <c r="C78" s="34" t="s">
        <v>82</v>
      </c>
      <c r="D78" s="34" t="s">
        <v>1393</v>
      </c>
      <c r="E78" s="68">
        <v>2283.66</v>
      </c>
      <c r="F78" s="36"/>
      <c r="G78" s="36">
        <f t="shared" si="7"/>
        <v>2283.66</v>
      </c>
      <c r="H78" s="37"/>
    </row>
    <row r="79">
      <c r="A79" s="60" t="s">
        <v>296</v>
      </c>
      <c r="B79" s="60" t="s">
        <v>297</v>
      </c>
      <c r="C79" s="34" t="s">
        <v>82</v>
      </c>
      <c r="D79" s="34" t="s">
        <v>1393</v>
      </c>
      <c r="E79" s="68">
        <v>1106.85</v>
      </c>
      <c r="F79" s="36"/>
      <c r="G79" s="36">
        <f t="shared" si="7"/>
        <v>1106.85</v>
      </c>
      <c r="H79" s="37"/>
    </row>
    <row r="80">
      <c r="A80" s="60" t="s">
        <v>308</v>
      </c>
      <c r="B80" s="60" t="s">
        <v>309</v>
      </c>
      <c r="C80" s="34" t="s">
        <v>73</v>
      </c>
      <c r="D80" s="34" t="s">
        <v>52</v>
      </c>
      <c r="E80" s="68">
        <v>22798.6</v>
      </c>
      <c r="F80" s="36"/>
      <c r="G80" s="36">
        <f t="shared" si="7"/>
        <v>22798.6</v>
      </c>
      <c r="H80" s="37"/>
    </row>
    <row r="81">
      <c r="A81" s="60" t="s">
        <v>310</v>
      </c>
      <c r="B81" s="60" t="s">
        <v>311</v>
      </c>
      <c r="C81" s="34" t="s">
        <v>73</v>
      </c>
      <c r="D81" s="34" t="s">
        <v>52</v>
      </c>
      <c r="E81" s="68">
        <v>19329.37</v>
      </c>
      <c r="F81" s="36"/>
      <c r="G81" s="36">
        <f t="shared" si="7"/>
        <v>19329.37</v>
      </c>
      <c r="H81" s="37"/>
    </row>
    <row r="82">
      <c r="A82" s="60" t="s">
        <v>1905</v>
      </c>
      <c r="B82" s="60" t="s">
        <v>1906</v>
      </c>
      <c r="C82" s="34" t="s">
        <v>73</v>
      </c>
      <c r="D82" s="34" t="s">
        <v>52</v>
      </c>
      <c r="E82" s="68">
        <v>5825.24</v>
      </c>
      <c r="F82" s="36"/>
      <c r="G82" s="36">
        <f t="shared" si="7"/>
        <v>5825.24</v>
      </c>
      <c r="H82" s="37"/>
    </row>
    <row r="83">
      <c r="A83" s="60" t="s">
        <v>312</v>
      </c>
      <c r="B83" s="60" t="s">
        <v>313</v>
      </c>
      <c r="C83" s="34" t="s">
        <v>73</v>
      </c>
      <c r="D83" s="34" t="s">
        <v>52</v>
      </c>
      <c r="E83" s="68">
        <v>9017.59</v>
      </c>
      <c r="F83" s="36"/>
      <c r="G83" s="36">
        <f t="shared" si="7"/>
        <v>9017.59</v>
      </c>
      <c r="H83" s="37"/>
    </row>
    <row r="84">
      <c r="A84" s="60" t="s">
        <v>314</v>
      </c>
      <c r="B84" s="60" t="s">
        <v>315</v>
      </c>
      <c r="C84" s="34" t="s">
        <v>73</v>
      </c>
      <c r="D84" s="34" t="s">
        <v>52</v>
      </c>
      <c r="E84" s="68">
        <v>11690.32</v>
      </c>
      <c r="F84" s="36"/>
      <c r="G84" s="36">
        <f t="shared" si="7"/>
        <v>11690.32</v>
      </c>
      <c r="H84" s="37"/>
    </row>
    <row r="85">
      <c r="A85" s="60" t="s">
        <v>318</v>
      </c>
      <c r="B85" s="60" t="s">
        <v>1907</v>
      </c>
      <c r="C85" s="34" t="s">
        <v>73</v>
      </c>
      <c r="D85" s="34" t="s">
        <v>52</v>
      </c>
      <c r="E85" s="68">
        <v>10920.86</v>
      </c>
      <c r="F85" s="36"/>
      <c r="G85" s="36">
        <f t="shared" si="7"/>
        <v>10920.86</v>
      </c>
      <c r="H85" s="37"/>
    </row>
    <row r="86">
      <c r="A86" s="60" t="s">
        <v>320</v>
      </c>
      <c r="B86" s="60" t="s">
        <v>321</v>
      </c>
      <c r="C86" s="34" t="s">
        <v>73</v>
      </c>
      <c r="D86" s="34" t="s">
        <v>52</v>
      </c>
      <c r="E86" s="68">
        <v>3223.25</v>
      </c>
      <c r="F86" s="36"/>
      <c r="G86" s="36">
        <f t="shared" si="7"/>
        <v>3223.25</v>
      </c>
      <c r="H86" s="37"/>
    </row>
    <row r="87">
      <c r="A87" s="60" t="s">
        <v>322</v>
      </c>
      <c r="B87" s="60" t="s">
        <v>323</v>
      </c>
      <c r="C87" s="34" t="s">
        <v>73</v>
      </c>
      <c r="D87" s="34" t="s">
        <v>52</v>
      </c>
      <c r="E87" s="68">
        <v>7145.86</v>
      </c>
      <c r="F87" s="36"/>
      <c r="G87" s="36">
        <f t="shared" si="7"/>
        <v>7145.86</v>
      </c>
      <c r="H87" s="37"/>
    </row>
    <row r="88">
      <c r="A88" s="60" t="s">
        <v>326</v>
      </c>
      <c r="B88" s="60" t="s">
        <v>327</v>
      </c>
      <c r="C88" s="34" t="s">
        <v>73</v>
      </c>
      <c r="D88" s="34" t="s">
        <v>52</v>
      </c>
      <c r="E88" s="68">
        <v>1019.99</v>
      </c>
      <c r="F88" s="36"/>
      <c r="G88" s="36">
        <f t="shared" si="7"/>
        <v>1019.99</v>
      </c>
      <c r="H88" s="37"/>
    </row>
    <row r="89">
      <c r="A89" s="60" t="s">
        <v>328</v>
      </c>
      <c r="B89" s="60" t="s">
        <v>329</v>
      </c>
      <c r="C89" s="34" t="s">
        <v>73</v>
      </c>
      <c r="D89" s="34" t="s">
        <v>52</v>
      </c>
      <c r="E89" s="68">
        <v>9011.84</v>
      </c>
      <c r="F89" s="36"/>
      <c r="G89" s="36">
        <f t="shared" si="7"/>
        <v>9011.84</v>
      </c>
      <c r="H89" s="37"/>
    </row>
    <row r="90">
      <c r="A90" s="60" t="s">
        <v>330</v>
      </c>
      <c r="B90" s="60" t="s">
        <v>331</v>
      </c>
      <c r="C90" s="34" t="s">
        <v>73</v>
      </c>
      <c r="D90" s="34" t="s">
        <v>52</v>
      </c>
      <c r="E90" s="68">
        <v>3399.98</v>
      </c>
      <c r="F90" s="36"/>
      <c r="G90" s="36">
        <f t="shared" si="7"/>
        <v>3399.98</v>
      </c>
      <c r="H90" s="37"/>
    </row>
    <row r="91">
      <c r="A91" s="60" t="s">
        <v>332</v>
      </c>
      <c r="B91" s="60" t="s">
        <v>333</v>
      </c>
      <c r="C91" s="34" t="s">
        <v>73</v>
      </c>
      <c r="D91" s="34" t="s">
        <v>52</v>
      </c>
      <c r="E91" s="68">
        <v>550.75</v>
      </c>
      <c r="F91" s="36"/>
      <c r="G91" s="36">
        <f t="shared" si="7"/>
        <v>550.75</v>
      </c>
      <c r="H91" s="37"/>
    </row>
    <row r="92">
      <c r="A92" s="60" t="s">
        <v>334</v>
      </c>
      <c r="B92" s="60" t="s">
        <v>335</v>
      </c>
      <c r="C92" s="34" t="s">
        <v>73</v>
      </c>
      <c r="D92" s="34" t="s">
        <v>52</v>
      </c>
      <c r="E92" s="68">
        <v>108592.83</v>
      </c>
      <c r="F92" s="36"/>
      <c r="G92" s="36">
        <f t="shared" si="7"/>
        <v>108592.83</v>
      </c>
      <c r="H92" s="37"/>
    </row>
    <row r="93">
      <c r="A93" s="60" t="s">
        <v>336</v>
      </c>
      <c r="B93" s="60" t="s">
        <v>337</v>
      </c>
      <c r="C93" s="34" t="s">
        <v>73</v>
      </c>
      <c r="D93" s="34" t="s">
        <v>52</v>
      </c>
      <c r="E93" s="68">
        <v>1845.59</v>
      </c>
      <c r="F93" s="36"/>
      <c r="G93" s="36">
        <f t="shared" si="7"/>
        <v>1845.59</v>
      </c>
      <c r="H93" s="37"/>
    </row>
    <row r="94">
      <c r="A94" s="60" t="s">
        <v>338</v>
      </c>
      <c r="B94" s="60" t="s">
        <v>339</v>
      </c>
      <c r="C94" s="34" t="s">
        <v>73</v>
      </c>
      <c r="D94" s="34" t="s">
        <v>52</v>
      </c>
      <c r="E94" s="68">
        <v>2549.84</v>
      </c>
      <c r="F94" s="36"/>
      <c r="G94" s="36">
        <f t="shared" si="7"/>
        <v>2549.84</v>
      </c>
      <c r="H94" s="37"/>
    </row>
    <row r="95">
      <c r="A95" s="60" t="s">
        <v>340</v>
      </c>
      <c r="B95" s="60" t="s">
        <v>341</v>
      </c>
      <c r="C95" s="34" t="s">
        <v>73</v>
      </c>
      <c r="D95" s="34" t="s">
        <v>52</v>
      </c>
      <c r="E95" s="68">
        <v>4910.97</v>
      </c>
      <c r="F95" s="36"/>
      <c r="G95" s="36">
        <f t="shared" si="7"/>
        <v>4910.97</v>
      </c>
      <c r="H95" s="37"/>
    </row>
    <row r="96">
      <c r="A96" s="60" t="s">
        <v>342</v>
      </c>
      <c r="B96" s="60" t="s">
        <v>343</v>
      </c>
      <c r="C96" s="34" t="s">
        <v>73</v>
      </c>
      <c r="D96" s="34" t="s">
        <v>52</v>
      </c>
      <c r="E96" s="68">
        <v>6325.0</v>
      </c>
      <c r="F96" s="36"/>
      <c r="G96" s="36">
        <f t="shared" si="7"/>
        <v>6325</v>
      </c>
      <c r="H96" s="37"/>
    </row>
    <row r="97">
      <c r="A97" s="60" t="s">
        <v>1912</v>
      </c>
      <c r="B97" s="60" t="s">
        <v>1913</v>
      </c>
      <c r="C97" s="34" t="s">
        <v>73</v>
      </c>
      <c r="D97" s="34" t="s">
        <v>52</v>
      </c>
      <c r="E97" s="68">
        <v>340.0</v>
      </c>
      <c r="F97" s="36"/>
      <c r="G97" s="36">
        <f t="shared" si="7"/>
        <v>340</v>
      </c>
      <c r="H97" s="37"/>
    </row>
    <row r="98">
      <c r="A98" s="60" t="s">
        <v>350</v>
      </c>
      <c r="B98" s="60" t="s">
        <v>351</v>
      </c>
      <c r="C98" s="34" t="s">
        <v>75</v>
      </c>
      <c r="D98" s="34" t="s">
        <v>48</v>
      </c>
      <c r="E98" s="68">
        <v>100.0</v>
      </c>
      <c r="F98" s="36"/>
      <c r="G98" s="36">
        <f t="shared" si="7"/>
        <v>100</v>
      </c>
      <c r="H98" s="37"/>
    </row>
    <row r="99">
      <c r="A99" s="60" t="s">
        <v>352</v>
      </c>
      <c r="B99" s="60" t="s">
        <v>353</v>
      </c>
      <c r="C99" s="34" t="s">
        <v>75</v>
      </c>
      <c r="D99" s="34" t="s">
        <v>48</v>
      </c>
      <c r="E99" s="68">
        <v>108.98</v>
      </c>
      <c r="F99" s="36"/>
      <c r="G99" s="36">
        <f t="shared" si="7"/>
        <v>108.98</v>
      </c>
      <c r="H99" s="37"/>
    </row>
    <row r="100">
      <c r="A100" s="60" t="s">
        <v>354</v>
      </c>
      <c r="B100" s="60" t="s">
        <v>355</v>
      </c>
      <c r="C100" s="34" t="s">
        <v>75</v>
      </c>
      <c r="D100" s="34" t="s">
        <v>48</v>
      </c>
      <c r="E100" s="68">
        <v>266.97</v>
      </c>
      <c r="F100" s="36"/>
      <c r="G100" s="36">
        <f t="shared" si="7"/>
        <v>266.97</v>
      </c>
      <c r="H100" s="37"/>
    </row>
    <row r="101">
      <c r="A101" s="60" t="s">
        <v>356</v>
      </c>
      <c r="B101" s="60" t="s">
        <v>357</v>
      </c>
      <c r="C101" s="34" t="s">
        <v>75</v>
      </c>
      <c r="D101" s="34" t="s">
        <v>48</v>
      </c>
      <c r="E101" s="68">
        <v>149.98</v>
      </c>
      <c r="F101" s="36"/>
      <c r="G101" s="36">
        <f t="shared" si="7"/>
        <v>149.98</v>
      </c>
      <c r="H101" s="37"/>
    </row>
    <row r="102">
      <c r="A102" s="60" t="s">
        <v>358</v>
      </c>
      <c r="B102" s="60" t="s">
        <v>359</v>
      </c>
      <c r="C102" s="34" t="s">
        <v>75</v>
      </c>
      <c r="D102" s="34" t="s">
        <v>48</v>
      </c>
      <c r="E102" s="68">
        <v>207.98</v>
      </c>
      <c r="F102" s="36"/>
      <c r="G102" s="36">
        <f t="shared" si="7"/>
        <v>207.98</v>
      </c>
      <c r="H102" s="37"/>
    </row>
    <row r="103">
      <c r="A103" s="60" t="s">
        <v>362</v>
      </c>
      <c r="B103" s="60" t="s">
        <v>363</v>
      </c>
      <c r="C103" s="34" t="s">
        <v>75</v>
      </c>
      <c r="D103" s="34" t="s">
        <v>48</v>
      </c>
      <c r="E103" s="68">
        <v>142.98</v>
      </c>
      <c r="F103" s="36"/>
      <c r="G103" s="36">
        <f t="shared" si="7"/>
        <v>142.98</v>
      </c>
      <c r="H103" s="37"/>
    </row>
    <row r="104">
      <c r="A104" s="60" t="s">
        <v>364</v>
      </c>
      <c r="B104" s="60" t="s">
        <v>365</v>
      </c>
      <c r="C104" s="34" t="s">
        <v>75</v>
      </c>
      <c r="D104" s="34" t="s">
        <v>48</v>
      </c>
      <c r="E104" s="68">
        <v>5307.87</v>
      </c>
      <c r="F104" s="36"/>
      <c r="G104" s="36">
        <f t="shared" si="7"/>
        <v>5307.87</v>
      </c>
      <c r="H104" s="37"/>
    </row>
    <row r="105">
      <c r="A105" s="60" t="s">
        <v>366</v>
      </c>
      <c r="B105" s="60" t="s">
        <v>367</v>
      </c>
      <c r="C105" s="34" t="s">
        <v>75</v>
      </c>
      <c r="D105" s="34" t="s">
        <v>48</v>
      </c>
      <c r="E105" s="68">
        <v>868.89</v>
      </c>
      <c r="F105" s="36"/>
      <c r="G105" s="36">
        <f t="shared" si="7"/>
        <v>868.89</v>
      </c>
      <c r="H105" s="37"/>
    </row>
    <row r="106">
      <c r="A106" s="60" t="s">
        <v>1443</v>
      </c>
      <c r="B106" s="60" t="s">
        <v>1444</v>
      </c>
      <c r="C106" s="34" t="s">
        <v>75</v>
      </c>
      <c r="D106" s="34" t="s">
        <v>48</v>
      </c>
      <c r="E106" s="68">
        <v>5110.2</v>
      </c>
      <c r="F106" s="36"/>
      <c r="G106" s="36">
        <f t="shared" si="7"/>
        <v>5110.2</v>
      </c>
      <c r="H106" s="37"/>
    </row>
    <row r="107">
      <c r="A107" s="60" t="s">
        <v>716</v>
      </c>
      <c r="B107" s="60" t="s">
        <v>2046</v>
      </c>
      <c r="C107" s="34" t="s">
        <v>75</v>
      </c>
      <c r="D107" s="34" t="s">
        <v>48</v>
      </c>
      <c r="E107" s="68">
        <v>1022.04</v>
      </c>
      <c r="F107" s="36"/>
      <c r="G107" s="36">
        <f t="shared" si="7"/>
        <v>1022.04</v>
      </c>
      <c r="H107" s="37"/>
    </row>
    <row r="108">
      <c r="A108" s="60" t="s">
        <v>1445</v>
      </c>
      <c r="B108" s="60" t="s">
        <v>1446</v>
      </c>
      <c r="C108" s="34" t="s">
        <v>75</v>
      </c>
      <c r="D108" s="34" t="s">
        <v>48</v>
      </c>
      <c r="E108" s="68">
        <v>511.02</v>
      </c>
      <c r="F108" s="36"/>
      <c r="G108" s="36">
        <f t="shared" si="7"/>
        <v>511.02</v>
      </c>
      <c r="H108" s="37"/>
    </row>
    <row r="109">
      <c r="A109" s="60" t="s">
        <v>370</v>
      </c>
      <c r="B109" s="60" t="s">
        <v>371</v>
      </c>
      <c r="C109" s="34" t="s">
        <v>75</v>
      </c>
      <c r="D109" s="34" t="s">
        <v>48</v>
      </c>
      <c r="E109" s="68">
        <v>5110.2</v>
      </c>
      <c r="F109" s="36"/>
      <c r="G109" s="36">
        <f t="shared" si="7"/>
        <v>5110.2</v>
      </c>
      <c r="H109" s="37"/>
    </row>
    <row r="110">
      <c r="A110" s="60" t="s">
        <v>2047</v>
      </c>
      <c r="B110" s="60" t="s">
        <v>2048</v>
      </c>
      <c r="C110" s="34" t="s">
        <v>75</v>
      </c>
      <c r="D110" s="34" t="s">
        <v>48</v>
      </c>
      <c r="E110" s="68">
        <v>1482.06</v>
      </c>
      <c r="F110" s="36"/>
      <c r="G110" s="36">
        <f t="shared" si="7"/>
        <v>1482.06</v>
      </c>
      <c r="H110" s="37"/>
    </row>
    <row r="111">
      <c r="A111" s="60" t="s">
        <v>376</v>
      </c>
      <c r="B111" s="60" t="s">
        <v>377</v>
      </c>
      <c r="C111" s="34" t="s">
        <v>75</v>
      </c>
      <c r="D111" s="34" t="s">
        <v>48</v>
      </c>
      <c r="E111" s="68">
        <v>1880.96</v>
      </c>
      <c r="F111" s="36"/>
      <c r="G111" s="36">
        <f t="shared" si="7"/>
        <v>1880.96</v>
      </c>
      <c r="H111" s="37"/>
    </row>
    <row r="112">
      <c r="A112" s="60" t="s">
        <v>384</v>
      </c>
      <c r="B112" s="60" t="s">
        <v>385</v>
      </c>
      <c r="C112" s="34" t="s">
        <v>75</v>
      </c>
      <c r="D112" s="34" t="s">
        <v>48</v>
      </c>
      <c r="E112" s="68">
        <v>2753.89</v>
      </c>
      <c r="F112" s="36"/>
      <c r="G112" s="36">
        <f t="shared" si="7"/>
        <v>2753.89</v>
      </c>
      <c r="H112" s="37"/>
    </row>
    <row r="113">
      <c r="A113" s="60" t="s">
        <v>388</v>
      </c>
      <c r="B113" s="60" t="s">
        <v>389</v>
      </c>
      <c r="C113" s="34" t="s">
        <v>75</v>
      </c>
      <c r="D113" s="34" t="s">
        <v>48</v>
      </c>
      <c r="E113" s="68">
        <v>513.92</v>
      </c>
      <c r="F113" s="36"/>
      <c r="G113" s="36">
        <f t="shared" si="7"/>
        <v>513.92</v>
      </c>
      <c r="H113" s="37"/>
    </row>
    <row r="114">
      <c r="A114" s="60" t="s">
        <v>746</v>
      </c>
      <c r="B114" s="60" t="s">
        <v>747</v>
      </c>
      <c r="C114" s="34" t="s">
        <v>75</v>
      </c>
      <c r="D114" s="34" t="s">
        <v>48</v>
      </c>
      <c r="E114" s="68">
        <v>1022.04</v>
      </c>
      <c r="F114" s="36"/>
      <c r="G114" s="36">
        <f t="shared" si="7"/>
        <v>1022.04</v>
      </c>
      <c r="H114" s="37"/>
    </row>
    <row r="115">
      <c r="A115" s="60" t="s">
        <v>426</v>
      </c>
      <c r="B115" s="60" t="s">
        <v>1914</v>
      </c>
      <c r="C115" s="34" t="s">
        <v>75</v>
      </c>
      <c r="D115" s="34" t="s">
        <v>48</v>
      </c>
      <c r="E115" s="68">
        <v>234.97</v>
      </c>
      <c r="F115" s="36"/>
      <c r="G115" s="36">
        <f t="shared" si="7"/>
        <v>234.97</v>
      </c>
      <c r="H115" s="37"/>
    </row>
    <row r="116">
      <c r="A116" s="60" t="s">
        <v>432</v>
      </c>
      <c r="B116" s="60" t="s">
        <v>433</v>
      </c>
      <c r="C116" s="34" t="s">
        <v>75</v>
      </c>
      <c r="D116" s="34" t="s">
        <v>48</v>
      </c>
      <c r="E116" s="68">
        <v>460.03</v>
      </c>
      <c r="F116" s="36"/>
      <c r="G116" s="36">
        <f t="shared" si="7"/>
        <v>460.03</v>
      </c>
      <c r="H116" s="37"/>
    </row>
    <row r="117">
      <c r="A117" s="60" t="s">
        <v>442</v>
      </c>
      <c r="B117" s="60" t="s">
        <v>443</v>
      </c>
      <c r="C117" s="34" t="s">
        <v>75</v>
      </c>
      <c r="D117" s="34" t="s">
        <v>48</v>
      </c>
      <c r="E117" s="68">
        <v>8767.12</v>
      </c>
      <c r="F117" s="36"/>
      <c r="G117" s="36">
        <f t="shared" si="7"/>
        <v>8767.12</v>
      </c>
      <c r="H117" s="37"/>
    </row>
    <row r="118">
      <c r="A118" s="60" t="s">
        <v>450</v>
      </c>
      <c r="B118" s="60" t="s">
        <v>451</v>
      </c>
      <c r="C118" s="34" t="s">
        <v>75</v>
      </c>
      <c r="D118" s="34" t="s">
        <v>48</v>
      </c>
      <c r="E118" s="68">
        <v>1723.8</v>
      </c>
      <c r="F118" s="36"/>
      <c r="G118" s="36">
        <f t="shared" si="7"/>
        <v>1723.8</v>
      </c>
      <c r="H118" s="37"/>
    </row>
    <row r="119">
      <c r="A119" s="60" t="s">
        <v>460</v>
      </c>
      <c r="B119" s="60" t="s">
        <v>461</v>
      </c>
      <c r="C119" s="34" t="s">
        <v>75</v>
      </c>
      <c r="D119" s="34" t="s">
        <v>48</v>
      </c>
      <c r="E119" s="68">
        <v>252.64</v>
      </c>
      <c r="F119" s="36"/>
      <c r="G119" s="36">
        <f t="shared" si="7"/>
        <v>252.64</v>
      </c>
      <c r="H119" s="37"/>
    </row>
    <row r="120">
      <c r="A120" s="60" t="s">
        <v>462</v>
      </c>
      <c r="B120" s="60" t="s">
        <v>463</v>
      </c>
      <c r="C120" s="34" t="s">
        <v>75</v>
      </c>
      <c r="D120" s="34" t="s">
        <v>48</v>
      </c>
      <c r="E120" s="68">
        <v>5419.67</v>
      </c>
      <c r="F120" s="36"/>
      <c r="G120" s="36">
        <f t="shared" si="7"/>
        <v>5419.67</v>
      </c>
      <c r="H120" s="37"/>
    </row>
    <row r="121">
      <c r="A121" s="60" t="s">
        <v>466</v>
      </c>
      <c r="B121" s="60" t="s">
        <v>467</v>
      </c>
      <c r="C121" s="34" t="s">
        <v>75</v>
      </c>
      <c r="D121" s="34" t="s">
        <v>48</v>
      </c>
      <c r="E121" s="68">
        <v>2282.0</v>
      </c>
      <c r="F121" s="36"/>
      <c r="G121" s="36">
        <f t="shared" si="7"/>
        <v>2282</v>
      </c>
      <c r="H121" s="37"/>
    </row>
    <row r="122">
      <c r="A122" s="60" t="s">
        <v>472</v>
      </c>
      <c r="B122" s="60" t="s">
        <v>473</v>
      </c>
      <c r="C122" s="34" t="s">
        <v>75</v>
      </c>
      <c r="D122" s="34" t="s">
        <v>1761</v>
      </c>
      <c r="E122" s="68">
        <v>150.06</v>
      </c>
      <c r="F122" s="36"/>
      <c r="G122" s="36">
        <f t="shared" si="7"/>
        <v>150.06</v>
      </c>
      <c r="H122" s="37"/>
    </row>
    <row r="123">
      <c r="A123" s="60" t="s">
        <v>474</v>
      </c>
      <c r="B123" s="60" t="s">
        <v>475</v>
      </c>
      <c r="C123" s="34" t="s">
        <v>75</v>
      </c>
      <c r="D123" s="34" t="s">
        <v>1761</v>
      </c>
      <c r="E123" s="68">
        <v>47.28</v>
      </c>
      <c r="F123" s="36"/>
      <c r="G123" s="36">
        <f t="shared" si="7"/>
        <v>47.28</v>
      </c>
      <c r="H123" s="37"/>
    </row>
    <row r="124">
      <c r="A124" s="60" t="s">
        <v>476</v>
      </c>
      <c r="B124" s="60" t="s">
        <v>477</v>
      </c>
      <c r="C124" s="34" t="s">
        <v>75</v>
      </c>
      <c r="D124" s="34" t="s">
        <v>1761</v>
      </c>
      <c r="E124" s="68">
        <v>101.98</v>
      </c>
      <c r="F124" s="36"/>
      <c r="G124" s="36">
        <f t="shared" si="7"/>
        <v>101.98</v>
      </c>
      <c r="H124" s="37"/>
    </row>
    <row r="125">
      <c r="A125" s="60" t="s">
        <v>478</v>
      </c>
      <c r="B125" s="60" t="s">
        <v>479</v>
      </c>
      <c r="C125" s="34" t="s">
        <v>75</v>
      </c>
      <c r="D125" s="34" t="s">
        <v>1761</v>
      </c>
      <c r="E125" s="68">
        <v>569.01</v>
      </c>
      <c r="F125" s="36"/>
      <c r="G125" s="36">
        <f t="shared" si="7"/>
        <v>569.01</v>
      </c>
      <c r="H125" s="37"/>
    </row>
    <row r="126">
      <c r="A126" s="60" t="s">
        <v>480</v>
      </c>
      <c r="B126" s="60" t="s">
        <v>481</v>
      </c>
      <c r="C126" s="34" t="s">
        <v>75</v>
      </c>
      <c r="D126" s="34" t="s">
        <v>1761</v>
      </c>
      <c r="E126" s="68">
        <v>200.98</v>
      </c>
      <c r="F126" s="36"/>
      <c r="G126" s="36">
        <f t="shared" si="7"/>
        <v>200.98</v>
      </c>
      <c r="H126" s="37"/>
    </row>
    <row r="127">
      <c r="A127" s="60" t="s">
        <v>482</v>
      </c>
      <c r="B127" s="60" t="s">
        <v>483</v>
      </c>
      <c r="C127" s="34" t="s">
        <v>75</v>
      </c>
      <c r="D127" s="34" t="s">
        <v>1761</v>
      </c>
      <c r="E127" s="68">
        <v>183.98</v>
      </c>
      <c r="F127" s="36"/>
      <c r="G127" s="36">
        <f t="shared" si="7"/>
        <v>183.98</v>
      </c>
      <c r="H127" s="37"/>
    </row>
    <row r="128">
      <c r="A128" s="60" t="s">
        <v>1916</v>
      </c>
      <c r="B128" s="60" t="s">
        <v>1917</v>
      </c>
      <c r="C128" s="34" t="s">
        <v>75</v>
      </c>
      <c r="D128" s="34" t="s">
        <v>1761</v>
      </c>
      <c r="E128" s="68">
        <v>183.98</v>
      </c>
      <c r="F128" s="36"/>
      <c r="G128" s="36">
        <f t="shared" si="7"/>
        <v>183.98</v>
      </c>
      <c r="H128" s="37"/>
    </row>
    <row r="129">
      <c r="A129" s="60" t="s">
        <v>1918</v>
      </c>
      <c r="B129" s="60" t="s">
        <v>1919</v>
      </c>
      <c r="C129" s="34" t="s">
        <v>75</v>
      </c>
      <c r="D129" s="34" t="s">
        <v>1761</v>
      </c>
      <c r="E129" s="68">
        <v>217.97</v>
      </c>
      <c r="F129" s="36"/>
      <c r="G129" s="36">
        <f t="shared" si="7"/>
        <v>217.97</v>
      </c>
      <c r="H129" s="37"/>
    </row>
    <row r="130">
      <c r="A130" s="60" t="s">
        <v>484</v>
      </c>
      <c r="B130" s="60" t="s">
        <v>485</v>
      </c>
      <c r="C130" s="34" t="s">
        <v>75</v>
      </c>
      <c r="D130" s="34" t="s">
        <v>1761</v>
      </c>
      <c r="E130" s="68">
        <v>778.02</v>
      </c>
      <c r="F130" s="36"/>
      <c r="G130" s="36">
        <f t="shared" si="7"/>
        <v>778.02</v>
      </c>
      <c r="H130" s="37"/>
    </row>
    <row r="131">
      <c r="A131" s="60" t="s">
        <v>486</v>
      </c>
      <c r="B131" s="60" t="s">
        <v>487</v>
      </c>
      <c r="C131" s="34" t="s">
        <v>75</v>
      </c>
      <c r="D131" s="34" t="s">
        <v>1761</v>
      </c>
      <c r="E131" s="68">
        <v>408.98</v>
      </c>
      <c r="F131" s="36"/>
      <c r="G131" s="36">
        <f t="shared" si="7"/>
        <v>408.98</v>
      </c>
      <c r="H131" s="37"/>
    </row>
    <row r="132">
      <c r="A132" s="60" t="s">
        <v>1920</v>
      </c>
      <c r="B132" s="60" t="s">
        <v>1921</v>
      </c>
      <c r="C132" s="34" t="s">
        <v>75</v>
      </c>
      <c r="D132" s="34" t="s">
        <v>1761</v>
      </c>
      <c r="E132" s="68">
        <v>517.5</v>
      </c>
      <c r="F132" s="36"/>
      <c r="G132" s="36">
        <f t="shared" si="7"/>
        <v>517.5</v>
      </c>
      <c r="H132" s="37"/>
    </row>
    <row r="133">
      <c r="A133" s="60" t="s">
        <v>488</v>
      </c>
      <c r="B133" s="60" t="s">
        <v>489</v>
      </c>
      <c r="C133" s="34" t="s">
        <v>75</v>
      </c>
      <c r="D133" s="34" t="s">
        <v>1761</v>
      </c>
      <c r="E133" s="68">
        <v>108.98</v>
      </c>
      <c r="F133" s="36"/>
      <c r="G133" s="36">
        <f t="shared" si="7"/>
        <v>108.98</v>
      </c>
      <c r="H133" s="37"/>
    </row>
    <row r="134">
      <c r="A134" s="60" t="s">
        <v>490</v>
      </c>
      <c r="B134" s="60" t="s">
        <v>491</v>
      </c>
      <c r="C134" s="34" t="s">
        <v>75</v>
      </c>
      <c r="D134" s="34" t="s">
        <v>1761</v>
      </c>
      <c r="E134" s="68">
        <v>285.96</v>
      </c>
      <c r="F134" s="36"/>
      <c r="G134" s="36">
        <f t="shared" si="7"/>
        <v>285.96</v>
      </c>
      <c r="H134" s="37"/>
    </row>
    <row r="135">
      <c r="A135" s="60" t="s">
        <v>492</v>
      </c>
      <c r="B135" s="60" t="s">
        <v>493</v>
      </c>
      <c r="C135" s="34" t="s">
        <v>75</v>
      </c>
      <c r="D135" s="34" t="s">
        <v>1761</v>
      </c>
      <c r="E135" s="68">
        <v>357.99</v>
      </c>
      <c r="F135" s="36"/>
      <c r="G135" s="36">
        <f t="shared" si="7"/>
        <v>357.99</v>
      </c>
      <c r="H135" s="37"/>
    </row>
    <row r="136">
      <c r="A136" s="60" t="s">
        <v>494</v>
      </c>
      <c r="B136" s="60" t="s">
        <v>495</v>
      </c>
      <c r="C136" s="34" t="s">
        <v>75</v>
      </c>
      <c r="D136" s="34" t="s">
        <v>1761</v>
      </c>
      <c r="E136" s="68">
        <v>183.98</v>
      </c>
      <c r="F136" s="36"/>
      <c r="G136" s="36">
        <f t="shared" si="7"/>
        <v>183.98</v>
      </c>
      <c r="H136" s="37"/>
    </row>
    <row r="137">
      <c r="A137" s="60" t="s">
        <v>496</v>
      </c>
      <c r="B137" s="60" t="s">
        <v>497</v>
      </c>
      <c r="C137" s="34" t="s">
        <v>75</v>
      </c>
      <c r="D137" s="34" t="s">
        <v>1761</v>
      </c>
      <c r="E137" s="68">
        <v>91.98</v>
      </c>
      <c r="F137" s="36"/>
      <c r="G137" s="36">
        <f t="shared" si="7"/>
        <v>91.98</v>
      </c>
      <c r="H137" s="37"/>
    </row>
    <row r="138">
      <c r="A138" s="60" t="s">
        <v>498</v>
      </c>
      <c r="B138" s="60" t="s">
        <v>499</v>
      </c>
      <c r="C138" s="34" t="s">
        <v>75</v>
      </c>
      <c r="D138" s="34" t="s">
        <v>1761</v>
      </c>
      <c r="E138" s="68">
        <v>343.95</v>
      </c>
      <c r="F138" s="36"/>
      <c r="G138" s="36">
        <f t="shared" si="7"/>
        <v>343.95</v>
      </c>
      <c r="H138" s="37"/>
    </row>
    <row r="139">
      <c r="A139" s="60" t="s">
        <v>500</v>
      </c>
      <c r="B139" s="60" t="s">
        <v>501</v>
      </c>
      <c r="C139" s="34" t="s">
        <v>75</v>
      </c>
      <c r="D139" s="34" t="s">
        <v>1761</v>
      </c>
      <c r="E139" s="68">
        <v>149.98</v>
      </c>
      <c r="F139" s="36"/>
      <c r="G139" s="36">
        <f t="shared" si="7"/>
        <v>149.98</v>
      </c>
      <c r="H139" s="37"/>
    </row>
    <row r="140">
      <c r="A140" s="60" t="s">
        <v>502</v>
      </c>
      <c r="B140" s="60" t="s">
        <v>503</v>
      </c>
      <c r="C140" s="34" t="s">
        <v>75</v>
      </c>
      <c r="D140" s="34" t="s">
        <v>1761</v>
      </c>
      <c r="E140" s="68">
        <v>53.98</v>
      </c>
      <c r="F140" s="36"/>
      <c r="G140" s="36">
        <f t="shared" si="7"/>
        <v>53.98</v>
      </c>
      <c r="H140" s="37"/>
    </row>
    <row r="141">
      <c r="A141" s="60" t="s">
        <v>504</v>
      </c>
      <c r="B141" s="60" t="s">
        <v>505</v>
      </c>
      <c r="C141" s="34" t="s">
        <v>75</v>
      </c>
      <c r="D141" s="34" t="s">
        <v>1761</v>
      </c>
      <c r="E141" s="68">
        <v>309.95</v>
      </c>
      <c r="F141" s="36"/>
      <c r="G141" s="36">
        <f t="shared" si="7"/>
        <v>309.95</v>
      </c>
      <c r="H141" s="37"/>
    </row>
    <row r="142">
      <c r="A142" s="60" t="s">
        <v>506</v>
      </c>
      <c r="B142" s="60" t="s">
        <v>507</v>
      </c>
      <c r="C142" s="34" t="s">
        <v>75</v>
      </c>
      <c r="D142" s="34" t="s">
        <v>1761</v>
      </c>
      <c r="E142" s="68">
        <v>1012.26</v>
      </c>
      <c r="F142" s="36"/>
      <c r="G142" s="36">
        <f t="shared" si="7"/>
        <v>1012.26</v>
      </c>
      <c r="H142" s="37"/>
    </row>
    <row r="143">
      <c r="A143" s="60" t="s">
        <v>508</v>
      </c>
      <c r="B143" s="60" t="s">
        <v>509</v>
      </c>
      <c r="C143" s="34" t="s">
        <v>75</v>
      </c>
      <c r="D143" s="34" t="s">
        <v>1761</v>
      </c>
      <c r="E143" s="68">
        <v>460.03</v>
      </c>
      <c r="F143" s="36"/>
      <c r="G143" s="36">
        <f t="shared" si="7"/>
        <v>460.03</v>
      </c>
      <c r="H143" s="37"/>
    </row>
    <row r="144">
      <c r="A144" s="60" t="s">
        <v>510</v>
      </c>
      <c r="B144" s="60" t="s">
        <v>511</v>
      </c>
      <c r="C144" s="34" t="s">
        <v>75</v>
      </c>
      <c r="D144" s="34" t="s">
        <v>1761</v>
      </c>
      <c r="E144" s="68">
        <v>784.01</v>
      </c>
      <c r="F144" s="36"/>
      <c r="G144" s="36">
        <f t="shared" si="7"/>
        <v>784.01</v>
      </c>
      <c r="H144" s="37"/>
    </row>
    <row r="145">
      <c r="A145" s="60" t="s">
        <v>1924</v>
      </c>
      <c r="B145" s="60" t="s">
        <v>1925</v>
      </c>
      <c r="C145" s="34" t="s">
        <v>75</v>
      </c>
      <c r="D145" s="34" t="s">
        <v>1761</v>
      </c>
      <c r="E145" s="68">
        <v>299.97</v>
      </c>
      <c r="F145" s="36"/>
      <c r="G145" s="36">
        <f t="shared" si="7"/>
        <v>299.97</v>
      </c>
      <c r="H145" s="37"/>
    </row>
    <row r="146">
      <c r="A146" s="60" t="s">
        <v>512</v>
      </c>
      <c r="B146" s="60" t="s">
        <v>513</v>
      </c>
      <c r="C146" s="34" t="s">
        <v>75</v>
      </c>
      <c r="D146" s="34" t="s">
        <v>1761</v>
      </c>
      <c r="E146" s="68">
        <v>515.98</v>
      </c>
      <c r="F146" s="36"/>
      <c r="G146" s="36">
        <f t="shared" si="7"/>
        <v>515.98</v>
      </c>
      <c r="H146" s="37"/>
    </row>
    <row r="147">
      <c r="A147" s="60" t="s">
        <v>514</v>
      </c>
      <c r="B147" s="60" t="s">
        <v>515</v>
      </c>
      <c r="C147" s="34" t="s">
        <v>75</v>
      </c>
      <c r="D147" s="34" t="s">
        <v>1761</v>
      </c>
      <c r="E147" s="68">
        <v>125.97</v>
      </c>
      <c r="F147" s="36"/>
      <c r="G147" s="36">
        <f t="shared" si="7"/>
        <v>125.97</v>
      </c>
      <c r="H147" s="37"/>
    </row>
    <row r="148">
      <c r="A148" s="60" t="s">
        <v>516</v>
      </c>
      <c r="B148" s="60" t="s">
        <v>517</v>
      </c>
      <c r="C148" s="34" t="s">
        <v>75</v>
      </c>
      <c r="D148" s="34" t="s">
        <v>1761</v>
      </c>
      <c r="E148" s="68">
        <v>258.97</v>
      </c>
      <c r="F148" s="36"/>
      <c r="G148" s="36">
        <f t="shared" si="7"/>
        <v>258.97</v>
      </c>
      <c r="H148" s="37"/>
    </row>
    <row r="149">
      <c r="A149" s="60" t="s">
        <v>518</v>
      </c>
      <c r="B149" s="60" t="s">
        <v>519</v>
      </c>
      <c r="C149" s="34" t="s">
        <v>75</v>
      </c>
      <c r="D149" s="34" t="s">
        <v>1761</v>
      </c>
      <c r="E149" s="68">
        <v>561.93</v>
      </c>
      <c r="F149" s="36"/>
      <c r="G149" s="36">
        <f t="shared" si="7"/>
        <v>561.93</v>
      </c>
      <c r="H149" s="37"/>
    </row>
    <row r="150">
      <c r="A150" s="60" t="s">
        <v>1926</v>
      </c>
      <c r="B150" s="60" t="s">
        <v>1927</v>
      </c>
      <c r="C150" s="34" t="s">
        <v>75</v>
      </c>
      <c r="D150" s="34" t="s">
        <v>1761</v>
      </c>
      <c r="E150" s="68">
        <v>103.5</v>
      </c>
      <c r="F150" s="36"/>
      <c r="G150" s="36">
        <f t="shared" si="7"/>
        <v>103.5</v>
      </c>
      <c r="H150" s="37"/>
    </row>
    <row r="151">
      <c r="A151" s="60" t="s">
        <v>522</v>
      </c>
      <c r="B151" s="60" t="s">
        <v>523</v>
      </c>
      <c r="C151" s="34" t="s">
        <v>75</v>
      </c>
      <c r="D151" s="34" t="s">
        <v>1761</v>
      </c>
      <c r="E151" s="68">
        <v>149.98</v>
      </c>
      <c r="F151" s="36"/>
      <c r="G151" s="36">
        <f t="shared" si="7"/>
        <v>149.98</v>
      </c>
      <c r="H151" s="37"/>
    </row>
    <row r="152">
      <c r="A152" s="60" t="s">
        <v>524</v>
      </c>
      <c r="B152" s="60" t="s">
        <v>525</v>
      </c>
      <c r="C152" s="34" t="s">
        <v>75</v>
      </c>
      <c r="D152" s="34" t="s">
        <v>1761</v>
      </c>
      <c r="E152" s="68">
        <v>16520.58</v>
      </c>
      <c r="F152" s="36"/>
      <c r="G152" s="36">
        <f t="shared" si="7"/>
        <v>16520.58</v>
      </c>
      <c r="H152" s="37"/>
    </row>
    <row r="153">
      <c r="A153" s="60" t="s">
        <v>526</v>
      </c>
      <c r="B153" s="60" t="s">
        <v>527</v>
      </c>
      <c r="C153" s="34" t="s">
        <v>75</v>
      </c>
      <c r="D153" s="34" t="s">
        <v>1761</v>
      </c>
      <c r="E153" s="68">
        <v>108.98</v>
      </c>
      <c r="F153" s="36"/>
      <c r="G153" s="36">
        <f t="shared" si="7"/>
        <v>108.98</v>
      </c>
      <c r="H153" s="37"/>
    </row>
    <row r="154">
      <c r="A154" s="60" t="s">
        <v>528</v>
      </c>
      <c r="B154" s="60" t="s">
        <v>529</v>
      </c>
      <c r="C154" s="34" t="s">
        <v>75</v>
      </c>
      <c r="D154" s="34" t="s">
        <v>1761</v>
      </c>
      <c r="E154" s="68">
        <v>241.97</v>
      </c>
      <c r="F154" s="36"/>
      <c r="G154" s="36">
        <f t="shared" si="7"/>
        <v>241.97</v>
      </c>
      <c r="H154" s="37"/>
    </row>
    <row r="155">
      <c r="A155" s="60" t="s">
        <v>530</v>
      </c>
      <c r="B155" s="60" t="s">
        <v>531</v>
      </c>
      <c r="C155" s="34" t="s">
        <v>75</v>
      </c>
      <c r="D155" s="34" t="s">
        <v>1761</v>
      </c>
      <c r="E155" s="68">
        <v>511.02</v>
      </c>
      <c r="F155" s="36"/>
      <c r="G155" s="36">
        <f t="shared" si="7"/>
        <v>511.02</v>
      </c>
      <c r="H155" s="37"/>
    </row>
    <row r="156">
      <c r="A156" s="60" t="s">
        <v>532</v>
      </c>
      <c r="B156" s="60" t="s">
        <v>533</v>
      </c>
      <c r="C156" s="34" t="s">
        <v>75</v>
      </c>
      <c r="D156" s="34" t="s">
        <v>1761</v>
      </c>
      <c r="E156" s="68">
        <v>200.98</v>
      </c>
      <c r="F156" s="36"/>
      <c r="G156" s="36">
        <f t="shared" si="7"/>
        <v>200.98</v>
      </c>
      <c r="H156" s="37"/>
    </row>
    <row r="157">
      <c r="A157" s="60" t="s">
        <v>534</v>
      </c>
      <c r="B157" s="60" t="s">
        <v>535</v>
      </c>
      <c r="C157" s="34" t="s">
        <v>75</v>
      </c>
      <c r="D157" s="34" t="s">
        <v>1761</v>
      </c>
      <c r="E157" s="68">
        <v>50.99</v>
      </c>
      <c r="F157" s="36"/>
      <c r="G157" s="36">
        <f t="shared" si="7"/>
        <v>50.99</v>
      </c>
      <c r="H157" s="37"/>
    </row>
    <row r="158">
      <c r="A158" s="60" t="s">
        <v>536</v>
      </c>
      <c r="B158" s="60" t="s">
        <v>537</v>
      </c>
      <c r="C158" s="34" t="s">
        <v>75</v>
      </c>
      <c r="D158" s="34" t="s">
        <v>1761</v>
      </c>
      <c r="E158" s="68">
        <v>200.98</v>
      </c>
      <c r="F158" s="36"/>
      <c r="G158" s="36">
        <f t="shared" si="7"/>
        <v>200.98</v>
      </c>
      <c r="H158" s="37"/>
    </row>
    <row r="159">
      <c r="A159" s="60" t="s">
        <v>538</v>
      </c>
      <c r="B159" s="60" t="s">
        <v>539</v>
      </c>
      <c r="C159" s="34" t="s">
        <v>75</v>
      </c>
      <c r="D159" s="34" t="s">
        <v>1761</v>
      </c>
      <c r="E159" s="68">
        <v>340.96</v>
      </c>
      <c r="F159" s="36"/>
      <c r="G159" s="36">
        <f t="shared" si="7"/>
        <v>340.96</v>
      </c>
      <c r="H159" s="37"/>
    </row>
    <row r="160">
      <c r="A160" s="60" t="s">
        <v>540</v>
      </c>
      <c r="B160" s="60" t="s">
        <v>541</v>
      </c>
      <c r="C160" s="34" t="s">
        <v>75</v>
      </c>
      <c r="D160" s="34" t="s">
        <v>1761</v>
      </c>
      <c r="E160" s="68">
        <v>290.0</v>
      </c>
      <c r="F160" s="36"/>
      <c r="G160" s="36">
        <f t="shared" si="7"/>
        <v>290</v>
      </c>
      <c r="H160" s="37"/>
    </row>
    <row r="161">
      <c r="A161" s="60" t="s">
        <v>542</v>
      </c>
      <c r="B161" s="60" t="s">
        <v>543</v>
      </c>
      <c r="C161" s="34" t="s">
        <v>75</v>
      </c>
      <c r="D161" s="34" t="s">
        <v>1761</v>
      </c>
      <c r="E161" s="68">
        <v>290.0</v>
      </c>
      <c r="F161" s="36"/>
      <c r="G161" s="36">
        <f t="shared" si="7"/>
        <v>290</v>
      </c>
      <c r="H161" s="37"/>
    </row>
    <row r="162">
      <c r="A162" s="60" t="s">
        <v>544</v>
      </c>
      <c r="B162" s="60" t="s">
        <v>545</v>
      </c>
      <c r="C162" s="34" t="s">
        <v>75</v>
      </c>
      <c r="D162" s="34" t="s">
        <v>1761</v>
      </c>
      <c r="E162" s="68">
        <v>316.97</v>
      </c>
      <c r="F162" s="36"/>
      <c r="G162" s="36">
        <f t="shared" si="7"/>
        <v>316.97</v>
      </c>
      <c r="H162" s="37"/>
    </row>
    <row r="163">
      <c r="A163" s="60" t="s">
        <v>546</v>
      </c>
      <c r="B163" s="60" t="s">
        <v>547</v>
      </c>
      <c r="C163" s="34" t="s">
        <v>75</v>
      </c>
      <c r="D163" s="34" t="s">
        <v>1761</v>
      </c>
      <c r="E163" s="68">
        <v>251.96</v>
      </c>
      <c r="F163" s="36"/>
      <c r="G163" s="36">
        <f t="shared" si="7"/>
        <v>251.96</v>
      </c>
      <c r="H163" s="37"/>
    </row>
    <row r="164">
      <c r="A164" s="60" t="s">
        <v>1928</v>
      </c>
      <c r="B164" s="60" t="s">
        <v>1929</v>
      </c>
      <c r="C164" s="34" t="s">
        <v>75</v>
      </c>
      <c r="D164" s="34" t="s">
        <v>1761</v>
      </c>
      <c r="E164" s="68">
        <v>108.98</v>
      </c>
      <c r="F164" s="36"/>
      <c r="G164" s="36">
        <f t="shared" si="7"/>
        <v>108.98</v>
      </c>
      <c r="H164" s="37"/>
    </row>
    <row r="165">
      <c r="A165" s="60" t="s">
        <v>550</v>
      </c>
      <c r="B165" s="60" t="s">
        <v>551</v>
      </c>
      <c r="C165" s="34" t="s">
        <v>75</v>
      </c>
      <c r="D165" s="34" t="s">
        <v>1761</v>
      </c>
      <c r="E165" s="68">
        <v>234.97</v>
      </c>
      <c r="F165" s="36"/>
      <c r="G165" s="36">
        <f t="shared" si="7"/>
        <v>234.97</v>
      </c>
      <c r="H165" s="37"/>
    </row>
    <row r="166">
      <c r="A166" s="60" t="s">
        <v>1425</v>
      </c>
      <c r="B166" s="60" t="s">
        <v>1426</v>
      </c>
      <c r="C166" s="34" t="s">
        <v>75</v>
      </c>
      <c r="D166" s="34" t="s">
        <v>1761</v>
      </c>
      <c r="E166" s="68">
        <v>0.26</v>
      </c>
      <c r="F166" s="36"/>
      <c r="G166" s="36">
        <f t="shared" si="7"/>
        <v>0.26</v>
      </c>
      <c r="H166" s="37"/>
    </row>
    <row r="167">
      <c r="A167" s="60" t="s">
        <v>552</v>
      </c>
      <c r="B167" s="60" t="s">
        <v>553</v>
      </c>
      <c r="C167" s="34" t="s">
        <v>75</v>
      </c>
      <c r="D167" s="34" t="s">
        <v>1761</v>
      </c>
      <c r="E167" s="68">
        <v>1360.11</v>
      </c>
      <c r="F167" s="36"/>
      <c r="G167" s="36">
        <f t="shared" si="7"/>
        <v>1360.11</v>
      </c>
      <c r="H167" s="37"/>
    </row>
    <row r="168">
      <c r="A168" s="60" t="s">
        <v>2049</v>
      </c>
      <c r="B168" s="60" t="s">
        <v>2050</v>
      </c>
      <c r="C168" s="34" t="s">
        <v>75</v>
      </c>
      <c r="D168" s="34" t="s">
        <v>1761</v>
      </c>
      <c r="E168" s="68">
        <v>1124.04</v>
      </c>
      <c r="F168" s="36"/>
      <c r="G168" s="36">
        <f t="shared" si="7"/>
        <v>1124.04</v>
      </c>
      <c r="H168" s="37"/>
    </row>
    <row r="169">
      <c r="A169" s="60" t="s">
        <v>556</v>
      </c>
      <c r="B169" s="60" t="s">
        <v>557</v>
      </c>
      <c r="C169" s="34" t="s">
        <v>75</v>
      </c>
      <c r="D169" s="34" t="s">
        <v>1761</v>
      </c>
      <c r="E169" s="68">
        <v>275.96</v>
      </c>
      <c r="F169" s="36"/>
      <c r="G169" s="36">
        <f t="shared" si="7"/>
        <v>275.96</v>
      </c>
      <c r="H169" s="37"/>
    </row>
    <row r="170">
      <c r="A170" s="60" t="s">
        <v>1930</v>
      </c>
      <c r="B170" s="60" t="s">
        <v>1931</v>
      </c>
      <c r="C170" s="34" t="s">
        <v>75</v>
      </c>
      <c r="D170" s="34" t="s">
        <v>1761</v>
      </c>
      <c r="E170" s="68">
        <v>200.98</v>
      </c>
      <c r="F170" s="36"/>
      <c r="G170" s="36">
        <f t="shared" si="7"/>
        <v>200.98</v>
      </c>
      <c r="H170" s="37"/>
    </row>
    <row r="171">
      <c r="A171" s="60" t="s">
        <v>558</v>
      </c>
      <c r="B171" s="60" t="s">
        <v>559</v>
      </c>
      <c r="C171" s="34" t="s">
        <v>75</v>
      </c>
      <c r="D171" s="34" t="s">
        <v>1761</v>
      </c>
      <c r="E171" s="68">
        <v>391.95</v>
      </c>
      <c r="F171" s="36"/>
      <c r="G171" s="36">
        <f t="shared" si="7"/>
        <v>391.95</v>
      </c>
      <c r="H171" s="37"/>
    </row>
    <row r="172">
      <c r="A172" s="60" t="s">
        <v>560</v>
      </c>
      <c r="B172" s="60" t="s">
        <v>561</v>
      </c>
      <c r="C172" s="34" t="s">
        <v>75</v>
      </c>
      <c r="D172" s="34" t="s">
        <v>1761</v>
      </c>
      <c r="E172" s="68">
        <v>268.96</v>
      </c>
      <c r="F172" s="36"/>
      <c r="G172" s="36">
        <f t="shared" si="7"/>
        <v>268.96</v>
      </c>
      <c r="H172" s="37"/>
    </row>
    <row r="173">
      <c r="A173" s="60" t="s">
        <v>562</v>
      </c>
      <c r="B173" s="60" t="s">
        <v>563</v>
      </c>
      <c r="C173" s="34" t="s">
        <v>75</v>
      </c>
      <c r="D173" s="34" t="s">
        <v>1761</v>
      </c>
      <c r="E173" s="68">
        <v>84.99</v>
      </c>
      <c r="F173" s="36"/>
      <c r="G173" s="36">
        <f t="shared" si="7"/>
        <v>84.99</v>
      </c>
      <c r="H173" s="37"/>
    </row>
    <row r="174">
      <c r="A174" s="60" t="s">
        <v>564</v>
      </c>
      <c r="B174" s="60" t="s">
        <v>565</v>
      </c>
      <c r="C174" s="34" t="s">
        <v>75</v>
      </c>
      <c r="D174" s="34" t="s">
        <v>1761</v>
      </c>
      <c r="E174" s="68">
        <v>91.98</v>
      </c>
      <c r="F174" s="36"/>
      <c r="G174" s="36">
        <f t="shared" si="7"/>
        <v>91.98</v>
      </c>
      <c r="H174" s="37"/>
    </row>
    <row r="175">
      <c r="A175" s="60" t="s">
        <v>566</v>
      </c>
      <c r="B175" s="60" t="s">
        <v>567</v>
      </c>
      <c r="C175" s="34" t="s">
        <v>75</v>
      </c>
      <c r="D175" s="34" t="s">
        <v>1761</v>
      </c>
      <c r="E175" s="68">
        <v>183.98</v>
      </c>
      <c r="F175" s="36"/>
      <c r="G175" s="36">
        <f t="shared" si="7"/>
        <v>183.98</v>
      </c>
      <c r="H175" s="37"/>
    </row>
    <row r="176">
      <c r="A176" s="60" t="s">
        <v>1932</v>
      </c>
      <c r="B176" s="60" t="s">
        <v>1933</v>
      </c>
      <c r="C176" s="34" t="s">
        <v>75</v>
      </c>
      <c r="D176" s="34" t="s">
        <v>1761</v>
      </c>
      <c r="E176" s="68">
        <v>217.97</v>
      </c>
      <c r="F176" s="36"/>
      <c r="G176" s="36">
        <f t="shared" si="7"/>
        <v>217.97</v>
      </c>
      <c r="H176" s="37"/>
    </row>
    <row r="177">
      <c r="A177" s="60" t="s">
        <v>568</v>
      </c>
      <c r="B177" s="60" t="s">
        <v>569</v>
      </c>
      <c r="C177" s="34" t="s">
        <v>75</v>
      </c>
      <c r="D177" s="34" t="s">
        <v>1761</v>
      </c>
      <c r="E177" s="68">
        <v>2484.0</v>
      </c>
      <c r="F177" s="36"/>
      <c r="G177" s="36">
        <f t="shared" si="7"/>
        <v>2484</v>
      </c>
      <c r="H177" s="37"/>
    </row>
    <row r="178">
      <c r="A178" s="60" t="s">
        <v>1934</v>
      </c>
      <c r="B178" s="60" t="s">
        <v>1935</v>
      </c>
      <c r="C178" s="34" t="s">
        <v>75</v>
      </c>
      <c r="D178" s="34" t="s">
        <v>1761</v>
      </c>
      <c r="E178" s="68">
        <v>460.03</v>
      </c>
      <c r="F178" s="36"/>
      <c r="G178" s="36">
        <f t="shared" si="7"/>
        <v>460.03</v>
      </c>
      <c r="H178" s="37"/>
    </row>
    <row r="179">
      <c r="A179" s="60" t="s">
        <v>570</v>
      </c>
      <c r="B179" s="60" t="s">
        <v>571</v>
      </c>
      <c r="C179" s="34" t="s">
        <v>75</v>
      </c>
      <c r="D179" s="34" t="s">
        <v>1761</v>
      </c>
      <c r="E179" s="68">
        <v>309.95</v>
      </c>
      <c r="F179" s="36"/>
      <c r="G179" s="36">
        <f t="shared" si="7"/>
        <v>309.95</v>
      </c>
      <c r="H179" s="37"/>
    </row>
    <row r="180">
      <c r="A180" s="60" t="s">
        <v>572</v>
      </c>
      <c r="B180" s="60" t="s">
        <v>573</v>
      </c>
      <c r="C180" s="34" t="s">
        <v>75</v>
      </c>
      <c r="D180" s="34" t="s">
        <v>1761</v>
      </c>
      <c r="E180" s="68">
        <v>149.98</v>
      </c>
      <c r="F180" s="36"/>
      <c r="G180" s="36">
        <f t="shared" si="7"/>
        <v>149.98</v>
      </c>
      <c r="H180" s="37"/>
    </row>
    <row r="181">
      <c r="A181" s="60" t="s">
        <v>576</v>
      </c>
      <c r="B181" s="60" t="s">
        <v>577</v>
      </c>
      <c r="C181" s="34" t="s">
        <v>75</v>
      </c>
      <c r="D181" s="34" t="s">
        <v>1761</v>
      </c>
      <c r="E181" s="68">
        <v>108.98</v>
      </c>
      <c r="F181" s="36"/>
      <c r="G181" s="36">
        <f t="shared" si="7"/>
        <v>108.98</v>
      </c>
      <c r="H181" s="37"/>
    </row>
    <row r="182">
      <c r="A182" s="60" t="s">
        <v>578</v>
      </c>
      <c r="B182" s="60" t="s">
        <v>579</v>
      </c>
      <c r="C182" s="34" t="s">
        <v>75</v>
      </c>
      <c r="D182" s="34" t="s">
        <v>1761</v>
      </c>
      <c r="E182" s="68">
        <v>183.98</v>
      </c>
      <c r="F182" s="36"/>
      <c r="G182" s="36">
        <f t="shared" si="7"/>
        <v>183.98</v>
      </c>
      <c r="H182" s="37"/>
    </row>
    <row r="183">
      <c r="A183" s="60" t="s">
        <v>580</v>
      </c>
      <c r="B183" s="60" t="s">
        <v>581</v>
      </c>
      <c r="C183" s="34" t="s">
        <v>75</v>
      </c>
      <c r="D183" s="34" t="s">
        <v>1761</v>
      </c>
      <c r="E183" s="68">
        <v>108.98</v>
      </c>
      <c r="F183" s="36"/>
      <c r="G183" s="36">
        <f t="shared" si="7"/>
        <v>108.98</v>
      </c>
      <c r="H183" s="37"/>
    </row>
    <row r="184">
      <c r="A184" s="60" t="s">
        <v>582</v>
      </c>
      <c r="B184" s="60" t="s">
        <v>583</v>
      </c>
      <c r="C184" s="34" t="s">
        <v>75</v>
      </c>
      <c r="D184" s="34" t="s">
        <v>1761</v>
      </c>
      <c r="E184" s="68">
        <v>108.98</v>
      </c>
      <c r="F184" s="36"/>
      <c r="G184" s="36">
        <f t="shared" si="7"/>
        <v>108.98</v>
      </c>
      <c r="H184" s="37"/>
    </row>
    <row r="185">
      <c r="A185" s="60" t="s">
        <v>1936</v>
      </c>
      <c r="B185" s="60" t="s">
        <v>1937</v>
      </c>
      <c r="C185" s="34" t="s">
        <v>75</v>
      </c>
      <c r="D185" s="34" t="s">
        <v>1761</v>
      </c>
      <c r="E185" s="68">
        <v>275.96</v>
      </c>
      <c r="F185" s="36"/>
      <c r="G185" s="36">
        <f t="shared" si="7"/>
        <v>275.96</v>
      </c>
      <c r="H185" s="37"/>
    </row>
    <row r="186">
      <c r="A186" s="60" t="s">
        <v>586</v>
      </c>
      <c r="B186" s="60" t="s">
        <v>587</v>
      </c>
      <c r="C186" s="34" t="s">
        <v>75</v>
      </c>
      <c r="D186" s="34" t="s">
        <v>1761</v>
      </c>
      <c r="E186" s="68">
        <v>200.98</v>
      </c>
      <c r="F186" s="36"/>
      <c r="G186" s="36">
        <f t="shared" si="7"/>
        <v>200.98</v>
      </c>
      <c r="H186" s="37"/>
    </row>
    <row r="187">
      <c r="A187" s="60" t="s">
        <v>588</v>
      </c>
      <c r="B187" s="60" t="s">
        <v>589</v>
      </c>
      <c r="C187" s="34" t="s">
        <v>75</v>
      </c>
      <c r="D187" s="34" t="s">
        <v>1761</v>
      </c>
      <c r="E187" s="68">
        <v>527.93</v>
      </c>
      <c r="F187" s="36"/>
      <c r="G187" s="36">
        <f t="shared" si="7"/>
        <v>527.93</v>
      </c>
      <c r="H187" s="37"/>
    </row>
    <row r="188">
      <c r="A188" s="60" t="s">
        <v>1777</v>
      </c>
      <c r="B188" s="60" t="s">
        <v>1778</v>
      </c>
      <c r="C188" s="34" t="s">
        <v>75</v>
      </c>
      <c r="D188" s="34" t="s">
        <v>1761</v>
      </c>
      <c r="E188" s="68">
        <v>125.97</v>
      </c>
      <c r="F188" s="36"/>
      <c r="G188" s="36">
        <f t="shared" si="7"/>
        <v>125.97</v>
      </c>
      <c r="H188" s="37"/>
    </row>
    <row r="189">
      <c r="A189" s="60" t="s">
        <v>590</v>
      </c>
      <c r="B189" s="60" t="s">
        <v>591</v>
      </c>
      <c r="C189" s="34" t="s">
        <v>75</v>
      </c>
      <c r="D189" s="34" t="s">
        <v>1761</v>
      </c>
      <c r="E189" s="68">
        <v>108.98</v>
      </c>
      <c r="F189" s="36"/>
      <c r="G189" s="36">
        <f t="shared" si="7"/>
        <v>108.98</v>
      </c>
      <c r="H189" s="37"/>
    </row>
    <row r="190">
      <c r="A190" s="60" t="s">
        <v>592</v>
      </c>
      <c r="B190" s="60" t="s">
        <v>593</v>
      </c>
      <c r="C190" s="34" t="s">
        <v>75</v>
      </c>
      <c r="D190" s="34" t="s">
        <v>1761</v>
      </c>
      <c r="E190" s="68">
        <v>50.99</v>
      </c>
      <c r="F190" s="36"/>
      <c r="G190" s="36">
        <f t="shared" si="7"/>
        <v>50.99</v>
      </c>
      <c r="H190" s="37"/>
    </row>
    <row r="191">
      <c r="A191" s="60" t="s">
        <v>594</v>
      </c>
      <c r="B191" s="60" t="s">
        <v>595</v>
      </c>
      <c r="C191" s="34" t="s">
        <v>75</v>
      </c>
      <c r="D191" s="34" t="s">
        <v>1761</v>
      </c>
      <c r="E191" s="68">
        <v>217.97</v>
      </c>
      <c r="F191" s="36"/>
      <c r="G191" s="36">
        <f t="shared" si="7"/>
        <v>217.97</v>
      </c>
      <c r="H191" s="37"/>
    </row>
    <row r="192">
      <c r="A192" s="60" t="s">
        <v>596</v>
      </c>
      <c r="B192" s="60" t="s">
        <v>597</v>
      </c>
      <c r="C192" s="34" t="s">
        <v>75</v>
      </c>
      <c r="D192" s="34" t="s">
        <v>1761</v>
      </c>
      <c r="E192" s="68">
        <v>108.98</v>
      </c>
      <c r="F192" s="36"/>
      <c r="G192" s="36">
        <f t="shared" si="7"/>
        <v>108.98</v>
      </c>
      <c r="H192" s="37"/>
    </row>
    <row r="193">
      <c r="A193" s="60" t="s">
        <v>598</v>
      </c>
      <c r="B193" s="60" t="s">
        <v>599</v>
      </c>
      <c r="C193" s="34" t="s">
        <v>75</v>
      </c>
      <c r="D193" s="34" t="s">
        <v>1761</v>
      </c>
      <c r="E193" s="68">
        <v>292.96</v>
      </c>
      <c r="F193" s="36"/>
      <c r="G193" s="36">
        <f t="shared" si="7"/>
        <v>292.96</v>
      </c>
      <c r="H193" s="37"/>
    </row>
    <row r="194">
      <c r="A194" s="60" t="s">
        <v>1940</v>
      </c>
      <c r="B194" s="60" t="s">
        <v>1941</v>
      </c>
      <c r="C194" s="34" t="s">
        <v>75</v>
      </c>
      <c r="D194" s="34" t="s">
        <v>1761</v>
      </c>
      <c r="E194" s="68">
        <v>108.98</v>
      </c>
      <c r="F194" s="36"/>
      <c r="G194" s="36">
        <f t="shared" si="7"/>
        <v>108.98</v>
      </c>
      <c r="H194" s="37"/>
    </row>
    <row r="195">
      <c r="A195" s="60" t="s">
        <v>600</v>
      </c>
      <c r="B195" s="60" t="s">
        <v>601</v>
      </c>
      <c r="C195" s="34" t="s">
        <v>75</v>
      </c>
      <c r="D195" s="34" t="s">
        <v>1761</v>
      </c>
      <c r="E195" s="68">
        <v>91.98</v>
      </c>
      <c r="F195" s="36"/>
      <c r="G195" s="36">
        <f t="shared" si="7"/>
        <v>91.98</v>
      </c>
      <c r="H195" s="37"/>
    </row>
    <row r="196">
      <c r="A196" s="60" t="s">
        <v>602</v>
      </c>
      <c r="B196" s="60" t="s">
        <v>603</v>
      </c>
      <c r="C196" s="34" t="s">
        <v>75</v>
      </c>
      <c r="D196" s="34" t="s">
        <v>1761</v>
      </c>
      <c r="E196" s="68">
        <v>2400.01</v>
      </c>
      <c r="F196" s="36"/>
      <c r="G196" s="36">
        <f t="shared" si="7"/>
        <v>2400.01</v>
      </c>
      <c r="H196" s="37"/>
    </row>
    <row r="197">
      <c r="A197" s="60" t="s">
        <v>604</v>
      </c>
      <c r="B197" s="60" t="s">
        <v>605</v>
      </c>
      <c r="C197" s="34" t="s">
        <v>75</v>
      </c>
      <c r="D197" s="34" t="s">
        <v>1761</v>
      </c>
      <c r="E197" s="68">
        <v>108.98</v>
      </c>
      <c r="F197" s="36"/>
      <c r="G197" s="36">
        <f t="shared" si="7"/>
        <v>108.98</v>
      </c>
      <c r="H197" s="37"/>
    </row>
    <row r="198">
      <c r="A198" s="60" t="s">
        <v>1943</v>
      </c>
      <c r="B198" s="60" t="s">
        <v>1944</v>
      </c>
      <c r="C198" s="34" t="s">
        <v>75</v>
      </c>
      <c r="D198" s="34" t="s">
        <v>1761</v>
      </c>
      <c r="E198" s="68">
        <v>149.98</v>
      </c>
      <c r="F198" s="36"/>
      <c r="G198" s="36">
        <f t="shared" si="7"/>
        <v>149.98</v>
      </c>
      <c r="H198" s="37"/>
    </row>
    <row r="199">
      <c r="A199" s="60" t="s">
        <v>608</v>
      </c>
      <c r="B199" s="60" t="s">
        <v>609</v>
      </c>
      <c r="C199" s="34" t="s">
        <v>75</v>
      </c>
      <c r="D199" s="34" t="s">
        <v>1761</v>
      </c>
      <c r="E199" s="68">
        <v>91.98</v>
      </c>
      <c r="F199" s="36"/>
      <c r="G199" s="36">
        <f t="shared" si="7"/>
        <v>91.98</v>
      </c>
      <c r="H199" s="37"/>
    </row>
    <row r="200">
      <c r="A200" s="60" t="s">
        <v>610</v>
      </c>
      <c r="B200" s="60" t="s">
        <v>611</v>
      </c>
      <c r="C200" s="34" t="s">
        <v>75</v>
      </c>
      <c r="D200" s="34" t="s">
        <v>1761</v>
      </c>
      <c r="E200" s="68">
        <v>470.47</v>
      </c>
      <c r="F200" s="36"/>
      <c r="G200" s="36">
        <f t="shared" si="7"/>
        <v>470.47</v>
      </c>
      <c r="H200" s="37"/>
    </row>
    <row r="201">
      <c r="A201" s="60" t="s">
        <v>612</v>
      </c>
      <c r="B201" s="60" t="s">
        <v>613</v>
      </c>
      <c r="C201" s="34" t="s">
        <v>75</v>
      </c>
      <c r="D201" s="34" t="s">
        <v>1761</v>
      </c>
      <c r="E201" s="68">
        <v>1213.25</v>
      </c>
      <c r="F201" s="36"/>
      <c r="G201" s="36">
        <f t="shared" si="7"/>
        <v>1213.25</v>
      </c>
      <c r="H201" s="37"/>
    </row>
    <row r="202">
      <c r="A202" s="60" t="s">
        <v>1947</v>
      </c>
      <c r="B202" s="60" t="s">
        <v>1948</v>
      </c>
      <c r="C202" s="34" t="s">
        <v>75</v>
      </c>
      <c r="D202" s="34" t="s">
        <v>1761</v>
      </c>
      <c r="E202" s="68">
        <v>217.97</v>
      </c>
      <c r="F202" s="36"/>
      <c r="G202" s="36">
        <f t="shared" si="7"/>
        <v>217.97</v>
      </c>
      <c r="H202" s="37"/>
    </row>
    <row r="203">
      <c r="A203" s="60" t="s">
        <v>1949</v>
      </c>
      <c r="B203" s="60" t="s">
        <v>1950</v>
      </c>
      <c r="C203" s="34" t="s">
        <v>75</v>
      </c>
      <c r="D203" s="34" t="s">
        <v>1761</v>
      </c>
      <c r="E203" s="68">
        <v>108.98</v>
      </c>
      <c r="F203" s="36"/>
      <c r="G203" s="36">
        <f t="shared" si="7"/>
        <v>108.98</v>
      </c>
      <c r="H203" s="37"/>
    </row>
    <row r="204">
      <c r="A204" s="60" t="s">
        <v>614</v>
      </c>
      <c r="B204" s="60" t="s">
        <v>615</v>
      </c>
      <c r="C204" s="34" t="s">
        <v>75</v>
      </c>
      <c r="D204" s="34" t="s">
        <v>1761</v>
      </c>
      <c r="E204" s="68">
        <v>91.98</v>
      </c>
      <c r="F204" s="36"/>
      <c r="G204" s="36">
        <f t="shared" si="7"/>
        <v>91.98</v>
      </c>
      <c r="H204" s="37"/>
    </row>
    <row r="205">
      <c r="A205" s="60" t="s">
        <v>616</v>
      </c>
      <c r="B205" s="60" t="s">
        <v>617</v>
      </c>
      <c r="C205" s="34" t="s">
        <v>75</v>
      </c>
      <c r="D205" s="34" t="s">
        <v>1761</v>
      </c>
      <c r="E205" s="68">
        <v>108.98</v>
      </c>
      <c r="F205" s="36"/>
      <c r="G205" s="36">
        <f t="shared" si="7"/>
        <v>108.98</v>
      </c>
      <c r="H205" s="37"/>
    </row>
    <row r="206">
      <c r="A206" s="60" t="s">
        <v>618</v>
      </c>
      <c r="B206" s="60" t="s">
        <v>619</v>
      </c>
      <c r="C206" s="34" t="s">
        <v>75</v>
      </c>
      <c r="D206" s="34" t="s">
        <v>1761</v>
      </c>
      <c r="E206" s="68">
        <v>50.99</v>
      </c>
      <c r="F206" s="36"/>
      <c r="G206" s="36">
        <f t="shared" si="7"/>
        <v>50.99</v>
      </c>
      <c r="H206" s="37"/>
    </row>
    <row r="207">
      <c r="A207" s="60" t="s">
        <v>620</v>
      </c>
      <c r="B207" s="60" t="s">
        <v>621</v>
      </c>
      <c r="C207" s="34" t="s">
        <v>75</v>
      </c>
      <c r="D207" s="34" t="s">
        <v>1761</v>
      </c>
      <c r="E207" s="68">
        <v>326.95</v>
      </c>
      <c r="F207" s="36"/>
      <c r="G207" s="36">
        <f t="shared" si="7"/>
        <v>326.95</v>
      </c>
      <c r="H207" s="37"/>
    </row>
    <row r="208">
      <c r="A208" s="60" t="s">
        <v>622</v>
      </c>
      <c r="B208" s="60" t="s">
        <v>623</v>
      </c>
      <c r="C208" s="34" t="s">
        <v>75</v>
      </c>
      <c r="D208" s="34" t="s">
        <v>1761</v>
      </c>
      <c r="E208" s="68">
        <v>217.97</v>
      </c>
      <c r="F208" s="36"/>
      <c r="G208" s="36">
        <f t="shared" si="7"/>
        <v>217.97</v>
      </c>
      <c r="H208" s="37"/>
    </row>
    <row r="209">
      <c r="A209" s="60" t="s">
        <v>624</v>
      </c>
      <c r="B209" s="60" t="s">
        <v>625</v>
      </c>
      <c r="C209" s="34" t="s">
        <v>75</v>
      </c>
      <c r="D209" s="34" t="s">
        <v>1761</v>
      </c>
      <c r="E209" s="68">
        <v>1125.06</v>
      </c>
      <c r="F209" s="36"/>
      <c r="G209" s="36">
        <f t="shared" si="7"/>
        <v>1125.06</v>
      </c>
      <c r="H209" s="37"/>
    </row>
    <row r="210">
      <c r="A210" s="60" t="s">
        <v>626</v>
      </c>
      <c r="B210" s="60" t="s">
        <v>627</v>
      </c>
      <c r="C210" s="34" t="s">
        <v>75</v>
      </c>
      <c r="D210" s="34" t="s">
        <v>1761</v>
      </c>
      <c r="E210" s="68">
        <v>84.98</v>
      </c>
      <c r="F210" s="36"/>
      <c r="G210" s="36">
        <f t="shared" si="7"/>
        <v>84.98</v>
      </c>
      <c r="H210" s="37"/>
    </row>
    <row r="211">
      <c r="A211" s="60" t="s">
        <v>628</v>
      </c>
      <c r="B211" s="60" t="s">
        <v>629</v>
      </c>
      <c r="C211" s="34" t="s">
        <v>75</v>
      </c>
      <c r="D211" s="34" t="s">
        <v>1761</v>
      </c>
      <c r="E211" s="68">
        <v>180.35</v>
      </c>
      <c r="F211" s="36"/>
      <c r="G211" s="36">
        <f t="shared" si="7"/>
        <v>180.35</v>
      </c>
      <c r="H211" s="37"/>
    </row>
    <row r="212">
      <c r="A212" s="60" t="s">
        <v>630</v>
      </c>
      <c r="B212" s="60" t="s">
        <v>631</v>
      </c>
      <c r="C212" s="34" t="s">
        <v>75</v>
      </c>
      <c r="D212" s="34" t="s">
        <v>1761</v>
      </c>
      <c r="E212" s="68">
        <v>4086.79</v>
      </c>
      <c r="F212" s="36"/>
      <c r="G212" s="36">
        <f t="shared" si="7"/>
        <v>4086.79</v>
      </c>
      <c r="H212" s="37"/>
    </row>
    <row r="213">
      <c r="A213" s="60" t="s">
        <v>632</v>
      </c>
      <c r="B213" s="60" t="s">
        <v>633</v>
      </c>
      <c r="C213" s="34" t="s">
        <v>75</v>
      </c>
      <c r="D213" s="34" t="s">
        <v>1761</v>
      </c>
      <c r="E213" s="68">
        <v>2672.78</v>
      </c>
      <c r="F213" s="36"/>
      <c r="G213" s="36">
        <f t="shared" si="7"/>
        <v>2672.78</v>
      </c>
      <c r="H213" s="37"/>
    </row>
    <row r="214">
      <c r="A214" s="60" t="s">
        <v>634</v>
      </c>
      <c r="B214" s="60" t="s">
        <v>635</v>
      </c>
      <c r="C214" s="34" t="s">
        <v>75</v>
      </c>
      <c r="D214" s="34" t="s">
        <v>1761</v>
      </c>
      <c r="E214" s="68">
        <v>183.98</v>
      </c>
      <c r="F214" s="36"/>
      <c r="G214" s="36">
        <f t="shared" si="7"/>
        <v>183.98</v>
      </c>
      <c r="H214" s="37"/>
    </row>
    <row r="215">
      <c r="A215" s="60" t="s">
        <v>636</v>
      </c>
      <c r="B215" s="60" t="s">
        <v>637</v>
      </c>
      <c r="C215" s="34" t="s">
        <v>75</v>
      </c>
      <c r="D215" s="34" t="s">
        <v>1761</v>
      </c>
      <c r="E215" s="68">
        <v>511.02</v>
      </c>
      <c r="F215" s="36"/>
      <c r="G215" s="36">
        <f t="shared" si="7"/>
        <v>511.02</v>
      </c>
      <c r="H215" s="37"/>
    </row>
    <row r="216">
      <c r="A216" s="60" t="s">
        <v>638</v>
      </c>
      <c r="B216" s="60" t="s">
        <v>639</v>
      </c>
      <c r="C216" s="34" t="s">
        <v>75</v>
      </c>
      <c r="D216" s="34" t="s">
        <v>1761</v>
      </c>
      <c r="E216" s="68">
        <v>2753.89</v>
      </c>
      <c r="F216" s="36"/>
      <c r="G216" s="36">
        <f t="shared" si="7"/>
        <v>2753.89</v>
      </c>
      <c r="H216" s="37"/>
    </row>
    <row r="217">
      <c r="A217" s="60" t="s">
        <v>2051</v>
      </c>
      <c r="B217" s="60" t="s">
        <v>2052</v>
      </c>
      <c r="C217" s="34" t="s">
        <v>75</v>
      </c>
      <c r="D217" s="34" t="s">
        <v>1761</v>
      </c>
      <c r="E217" s="68">
        <v>125.97</v>
      </c>
      <c r="F217" s="36"/>
      <c r="G217" s="36">
        <f t="shared" si="7"/>
        <v>125.97</v>
      </c>
      <c r="H217" s="37"/>
    </row>
    <row r="218">
      <c r="A218" s="60" t="s">
        <v>646</v>
      </c>
      <c r="B218" s="60" t="s">
        <v>647</v>
      </c>
      <c r="C218" s="34" t="s">
        <v>75</v>
      </c>
      <c r="D218" s="34" t="s">
        <v>1761</v>
      </c>
      <c r="E218" s="68">
        <v>200.98</v>
      </c>
      <c r="F218" s="36"/>
      <c r="G218" s="36">
        <f t="shared" si="7"/>
        <v>200.98</v>
      </c>
      <c r="H218" s="37"/>
    </row>
    <row r="219">
      <c r="A219" s="60" t="s">
        <v>650</v>
      </c>
      <c r="B219" s="60" t="s">
        <v>651</v>
      </c>
      <c r="C219" s="34" t="s">
        <v>75</v>
      </c>
      <c r="D219" s="34" t="s">
        <v>1761</v>
      </c>
      <c r="E219" s="68">
        <v>527.93</v>
      </c>
      <c r="F219" s="36"/>
      <c r="G219" s="36">
        <f t="shared" si="7"/>
        <v>527.93</v>
      </c>
      <c r="H219" s="37"/>
    </row>
    <row r="220">
      <c r="A220" s="60" t="s">
        <v>652</v>
      </c>
      <c r="B220" s="60" t="s">
        <v>653</v>
      </c>
      <c r="C220" s="34" t="s">
        <v>75</v>
      </c>
      <c r="D220" s="34" t="s">
        <v>1761</v>
      </c>
      <c r="E220" s="68">
        <v>217.97</v>
      </c>
      <c r="F220" s="36"/>
      <c r="G220" s="36">
        <f t="shared" si="7"/>
        <v>217.97</v>
      </c>
      <c r="H220" s="37"/>
    </row>
    <row r="221">
      <c r="A221" s="60" t="s">
        <v>1431</v>
      </c>
      <c r="B221" s="60" t="s">
        <v>1432</v>
      </c>
      <c r="C221" s="34" t="s">
        <v>84</v>
      </c>
      <c r="D221" s="34" t="s">
        <v>2053</v>
      </c>
      <c r="E221" s="68">
        <v>5507.0</v>
      </c>
      <c r="F221" s="36"/>
      <c r="G221" s="36">
        <f t="shared" si="7"/>
        <v>5507</v>
      </c>
      <c r="H221" s="37"/>
    </row>
    <row r="222">
      <c r="A222" s="60" t="s">
        <v>696</v>
      </c>
      <c r="B222" s="60" t="s">
        <v>697</v>
      </c>
      <c r="C222" s="34" t="s">
        <v>84</v>
      </c>
      <c r="D222" s="34" t="s">
        <v>2053</v>
      </c>
      <c r="E222" s="68">
        <v>2115.0</v>
      </c>
      <c r="F222" s="36"/>
      <c r="G222" s="36">
        <f t="shared" si="7"/>
        <v>2115</v>
      </c>
      <c r="H222" s="37"/>
    </row>
    <row r="223">
      <c r="A223" s="60" t="s">
        <v>1953</v>
      </c>
      <c r="B223" s="60" t="s">
        <v>1954</v>
      </c>
      <c r="C223" s="34" t="s">
        <v>84</v>
      </c>
      <c r="D223" s="34" t="s">
        <v>2053</v>
      </c>
      <c r="E223" s="68">
        <v>290.02</v>
      </c>
      <c r="F223" s="36"/>
      <c r="G223" s="36">
        <f t="shared" si="7"/>
        <v>290.02</v>
      </c>
      <c r="H223" s="37"/>
    </row>
    <row r="224">
      <c r="A224" s="60" t="s">
        <v>704</v>
      </c>
      <c r="B224" s="60" t="s">
        <v>705</v>
      </c>
      <c r="C224" s="34" t="s">
        <v>84</v>
      </c>
      <c r="D224" s="34" t="s">
        <v>2053</v>
      </c>
      <c r="E224" s="68">
        <v>630.0</v>
      </c>
      <c r="F224" s="36"/>
      <c r="G224" s="36">
        <f t="shared" si="7"/>
        <v>630</v>
      </c>
      <c r="H224" s="37"/>
    </row>
    <row r="225">
      <c r="A225" s="60" t="s">
        <v>1435</v>
      </c>
      <c r="B225" s="60" t="s">
        <v>1436</v>
      </c>
      <c r="C225" s="34" t="s">
        <v>84</v>
      </c>
      <c r="D225" s="34" t="s">
        <v>2053</v>
      </c>
      <c r="E225" s="68">
        <v>772.0</v>
      </c>
      <c r="F225" s="36"/>
      <c r="G225" s="36">
        <f t="shared" si="7"/>
        <v>772</v>
      </c>
      <c r="H225" s="37"/>
    </row>
    <row r="226">
      <c r="A226" s="60" t="s">
        <v>1437</v>
      </c>
      <c r="B226" s="60" t="s">
        <v>1438</v>
      </c>
      <c r="C226" s="34" t="s">
        <v>84</v>
      </c>
      <c r="D226" s="34" t="s">
        <v>2053</v>
      </c>
      <c r="E226" s="68">
        <v>170.0</v>
      </c>
      <c r="F226" s="36"/>
      <c r="G226" s="36">
        <f t="shared" si="7"/>
        <v>170</v>
      </c>
      <c r="H226" s="37"/>
    </row>
    <row r="227">
      <c r="A227" s="60" t="s">
        <v>706</v>
      </c>
      <c r="B227" s="60" t="s">
        <v>707</v>
      </c>
      <c r="C227" s="34" t="s">
        <v>84</v>
      </c>
      <c r="D227" s="34" t="s">
        <v>2053</v>
      </c>
      <c r="E227" s="68">
        <v>1650.0</v>
      </c>
      <c r="F227" s="36"/>
      <c r="G227" s="36">
        <f t="shared" si="7"/>
        <v>1650</v>
      </c>
      <c r="H227" s="37"/>
    </row>
    <row r="228">
      <c r="A228" s="60" t="s">
        <v>722</v>
      </c>
      <c r="B228" s="60" t="s">
        <v>723</v>
      </c>
      <c r="C228" s="34" t="s">
        <v>85</v>
      </c>
      <c r="D228" s="34" t="s">
        <v>51</v>
      </c>
      <c r="E228" s="68">
        <v>664.38</v>
      </c>
      <c r="F228" s="36"/>
      <c r="G228" s="36">
        <f t="shared" si="7"/>
        <v>664.38</v>
      </c>
      <c r="H228" s="37"/>
    </row>
    <row r="229">
      <c r="A229" s="60" t="s">
        <v>724</v>
      </c>
      <c r="B229" s="60" t="s">
        <v>725</v>
      </c>
      <c r="C229" s="34" t="s">
        <v>85</v>
      </c>
      <c r="D229" s="34" t="s">
        <v>51</v>
      </c>
      <c r="E229" s="68">
        <v>309.95</v>
      </c>
      <c r="F229" s="36"/>
      <c r="G229" s="36">
        <f t="shared" si="7"/>
        <v>309.95</v>
      </c>
      <c r="H229" s="37"/>
    </row>
    <row r="230">
      <c r="A230" s="60" t="s">
        <v>728</v>
      </c>
      <c r="B230" s="60" t="s">
        <v>729</v>
      </c>
      <c r="C230" s="34" t="s">
        <v>85</v>
      </c>
      <c r="D230" s="34" t="s">
        <v>51</v>
      </c>
      <c r="E230" s="68">
        <v>183.02</v>
      </c>
      <c r="F230" s="36"/>
      <c r="G230" s="36">
        <f t="shared" si="7"/>
        <v>183.02</v>
      </c>
      <c r="H230" s="37"/>
    </row>
    <row r="231">
      <c r="A231" s="60" t="s">
        <v>730</v>
      </c>
      <c r="B231" s="60" t="s">
        <v>731</v>
      </c>
      <c r="C231" s="34" t="s">
        <v>85</v>
      </c>
      <c r="D231" s="34" t="s">
        <v>51</v>
      </c>
      <c r="E231" s="68">
        <v>101.98</v>
      </c>
      <c r="F231" s="36"/>
      <c r="G231" s="36">
        <f t="shared" si="7"/>
        <v>101.98</v>
      </c>
      <c r="H231" s="37"/>
    </row>
    <row r="232">
      <c r="A232" s="60" t="s">
        <v>734</v>
      </c>
      <c r="B232" s="60" t="s">
        <v>735</v>
      </c>
      <c r="C232" s="34" t="s">
        <v>85</v>
      </c>
      <c r="D232" s="34" t="s">
        <v>51</v>
      </c>
      <c r="E232" s="68">
        <v>302.95</v>
      </c>
      <c r="F232" s="36"/>
      <c r="G232" s="36">
        <f t="shared" si="7"/>
        <v>302.95</v>
      </c>
      <c r="H232" s="37"/>
    </row>
    <row r="233">
      <c r="A233" s="60" t="s">
        <v>736</v>
      </c>
      <c r="B233" s="60" t="s">
        <v>737</v>
      </c>
      <c r="C233" s="34" t="s">
        <v>85</v>
      </c>
      <c r="D233" s="34" t="s">
        <v>51</v>
      </c>
      <c r="E233" s="68">
        <v>735.35</v>
      </c>
      <c r="F233" s="36"/>
      <c r="G233" s="36">
        <f t="shared" si="7"/>
        <v>735.35</v>
      </c>
      <c r="H233" s="37"/>
    </row>
    <row r="234">
      <c r="A234" s="60" t="s">
        <v>738</v>
      </c>
      <c r="B234" s="60" t="s">
        <v>739</v>
      </c>
      <c r="C234" s="34" t="s">
        <v>85</v>
      </c>
      <c r="D234" s="34" t="s">
        <v>51</v>
      </c>
      <c r="E234" s="68">
        <v>108.98</v>
      </c>
      <c r="F234" s="36"/>
      <c r="G234" s="36">
        <f t="shared" si="7"/>
        <v>108.98</v>
      </c>
      <c r="H234" s="37"/>
    </row>
    <row r="235">
      <c r="A235" s="60" t="s">
        <v>1957</v>
      </c>
      <c r="B235" s="60" t="s">
        <v>1958</v>
      </c>
      <c r="C235" s="34" t="s">
        <v>85</v>
      </c>
      <c r="D235" s="34" t="s">
        <v>51</v>
      </c>
      <c r="E235" s="68">
        <v>234.0</v>
      </c>
      <c r="F235" s="36"/>
      <c r="G235" s="36">
        <f t="shared" si="7"/>
        <v>234</v>
      </c>
      <c r="H235" s="37"/>
    </row>
    <row r="236">
      <c r="A236" s="60" t="s">
        <v>740</v>
      </c>
      <c r="B236" s="60" t="s">
        <v>741</v>
      </c>
      <c r="C236" s="34" t="s">
        <v>85</v>
      </c>
      <c r="D236" s="34" t="s">
        <v>51</v>
      </c>
      <c r="E236" s="68">
        <v>459.97</v>
      </c>
      <c r="F236" s="36"/>
      <c r="G236" s="36">
        <f t="shared" si="7"/>
        <v>459.97</v>
      </c>
      <c r="H236" s="37"/>
    </row>
    <row r="237">
      <c r="A237" s="60" t="s">
        <v>744</v>
      </c>
      <c r="B237" s="60" t="s">
        <v>745</v>
      </c>
      <c r="C237" s="34" t="s">
        <v>85</v>
      </c>
      <c r="D237" s="34" t="s">
        <v>51</v>
      </c>
      <c r="E237" s="68">
        <v>400.04</v>
      </c>
      <c r="F237" s="36"/>
      <c r="G237" s="36">
        <f t="shared" si="7"/>
        <v>400.04</v>
      </c>
      <c r="H237" s="37"/>
    </row>
    <row r="238">
      <c r="A238" s="60" t="s">
        <v>796</v>
      </c>
      <c r="B238" s="60" t="s">
        <v>797</v>
      </c>
      <c r="C238" s="34" t="s">
        <v>77</v>
      </c>
      <c r="D238" s="34" t="s">
        <v>47</v>
      </c>
      <c r="E238" s="68">
        <v>24856.33</v>
      </c>
      <c r="F238" s="36"/>
      <c r="G238" s="36">
        <f t="shared" si="7"/>
        <v>24856.33</v>
      </c>
      <c r="H238" s="37"/>
    </row>
    <row r="239">
      <c r="A239" s="60" t="s">
        <v>798</v>
      </c>
      <c r="B239" s="60" t="s">
        <v>799</v>
      </c>
      <c r="C239" s="34" t="s">
        <v>77</v>
      </c>
      <c r="D239" s="34" t="s">
        <v>47</v>
      </c>
      <c r="E239" s="68">
        <v>44915.94</v>
      </c>
      <c r="F239" s="36"/>
      <c r="G239" s="36">
        <f t="shared" si="7"/>
        <v>44915.94</v>
      </c>
      <c r="H239" s="37"/>
    </row>
    <row r="240">
      <c r="A240" s="60" t="s">
        <v>2054</v>
      </c>
      <c r="B240" s="60" t="s">
        <v>2055</v>
      </c>
      <c r="C240" s="34" t="s">
        <v>77</v>
      </c>
      <c r="D240" s="34" t="s">
        <v>47</v>
      </c>
      <c r="E240" s="68">
        <v>0.01</v>
      </c>
      <c r="F240" s="36"/>
      <c r="G240" s="36">
        <f t="shared" si="7"/>
        <v>0.01</v>
      </c>
      <c r="H240" s="37"/>
    </row>
    <row r="241">
      <c r="A241" s="60" t="s">
        <v>800</v>
      </c>
      <c r="B241" s="60" t="s">
        <v>801</v>
      </c>
      <c r="C241" s="34" t="s">
        <v>77</v>
      </c>
      <c r="D241" s="34" t="s">
        <v>47</v>
      </c>
      <c r="E241" s="68">
        <v>11974.67</v>
      </c>
      <c r="F241" s="36"/>
      <c r="G241" s="36">
        <f t="shared" si="7"/>
        <v>11974.67</v>
      </c>
      <c r="H241" s="37"/>
    </row>
    <row r="242">
      <c r="A242" s="60" t="s">
        <v>802</v>
      </c>
      <c r="B242" s="60" t="s">
        <v>803</v>
      </c>
      <c r="C242" s="34" t="s">
        <v>77</v>
      </c>
      <c r="D242" s="34" t="s">
        <v>47</v>
      </c>
      <c r="E242" s="68">
        <v>6769.02</v>
      </c>
      <c r="F242" s="36"/>
      <c r="G242" s="36">
        <f t="shared" si="7"/>
        <v>6769.02</v>
      </c>
      <c r="H242" s="37"/>
    </row>
    <row r="243">
      <c r="A243" s="60" t="s">
        <v>804</v>
      </c>
      <c r="B243" s="60" t="s">
        <v>805</v>
      </c>
      <c r="C243" s="34" t="s">
        <v>77</v>
      </c>
      <c r="D243" s="34" t="s">
        <v>47</v>
      </c>
      <c r="E243" s="68">
        <v>15553.84</v>
      </c>
      <c r="F243" s="36"/>
      <c r="G243" s="36">
        <f t="shared" si="7"/>
        <v>15553.84</v>
      </c>
      <c r="H243" s="37"/>
    </row>
    <row r="244">
      <c r="A244" s="60" t="s">
        <v>806</v>
      </c>
      <c r="B244" s="60" t="s">
        <v>807</v>
      </c>
      <c r="C244" s="34" t="s">
        <v>77</v>
      </c>
      <c r="D244" s="34" t="s">
        <v>47</v>
      </c>
      <c r="E244" s="68">
        <v>5105.0</v>
      </c>
      <c r="F244" s="36"/>
      <c r="G244" s="36">
        <f t="shared" si="7"/>
        <v>5105</v>
      </c>
      <c r="H244" s="37"/>
    </row>
    <row r="245">
      <c r="A245" s="60" t="s">
        <v>808</v>
      </c>
      <c r="B245" s="60" t="s">
        <v>809</v>
      </c>
      <c r="C245" s="34" t="s">
        <v>77</v>
      </c>
      <c r="D245" s="34" t="s">
        <v>47</v>
      </c>
      <c r="E245" s="68">
        <v>19869.0</v>
      </c>
      <c r="F245" s="36"/>
      <c r="G245" s="36">
        <f t="shared" si="7"/>
        <v>19869</v>
      </c>
      <c r="H245" s="37"/>
    </row>
    <row r="246">
      <c r="A246" s="60" t="s">
        <v>1625</v>
      </c>
      <c r="B246" s="60" t="s">
        <v>1626</v>
      </c>
      <c r="C246" s="34" t="s">
        <v>77</v>
      </c>
      <c r="D246" s="34" t="s">
        <v>47</v>
      </c>
      <c r="E246" s="68">
        <v>2.03</v>
      </c>
      <c r="F246" s="36"/>
      <c r="G246" s="36">
        <f t="shared" si="7"/>
        <v>2.03</v>
      </c>
      <c r="H246" s="37"/>
    </row>
    <row r="247">
      <c r="A247" s="60" t="s">
        <v>810</v>
      </c>
      <c r="B247" s="60" t="s">
        <v>811</v>
      </c>
      <c r="C247" s="34" t="s">
        <v>77</v>
      </c>
      <c r="D247" s="34" t="s">
        <v>47</v>
      </c>
      <c r="E247" s="68">
        <v>5951.9</v>
      </c>
      <c r="F247" s="36"/>
      <c r="G247" s="36">
        <f t="shared" si="7"/>
        <v>5951.9</v>
      </c>
      <c r="H247" s="37"/>
    </row>
    <row r="248">
      <c r="A248" s="60" t="s">
        <v>812</v>
      </c>
      <c r="B248" s="60" t="s">
        <v>813</v>
      </c>
      <c r="C248" s="34" t="s">
        <v>77</v>
      </c>
      <c r="D248" s="34" t="s">
        <v>47</v>
      </c>
      <c r="E248" s="68">
        <v>8188.01</v>
      </c>
      <c r="F248" s="36"/>
      <c r="G248" s="36">
        <f t="shared" si="7"/>
        <v>8188.01</v>
      </c>
      <c r="H248" s="37"/>
    </row>
    <row r="249">
      <c r="A249" s="60" t="s">
        <v>1451</v>
      </c>
      <c r="B249" s="60" t="s">
        <v>1452</v>
      </c>
      <c r="C249" s="34" t="s">
        <v>77</v>
      </c>
      <c r="D249" s="34" t="s">
        <v>47</v>
      </c>
      <c r="E249" s="68">
        <v>-1.41</v>
      </c>
      <c r="F249" s="36"/>
      <c r="G249" s="36">
        <f t="shared" si="7"/>
        <v>-1.41</v>
      </c>
      <c r="H249" s="37"/>
    </row>
    <row r="250">
      <c r="A250" s="60" t="s">
        <v>818</v>
      </c>
      <c r="B250" s="60" t="s">
        <v>819</v>
      </c>
      <c r="C250" s="34" t="s">
        <v>77</v>
      </c>
      <c r="D250" s="34" t="s">
        <v>47</v>
      </c>
      <c r="E250" s="68">
        <v>109937.94</v>
      </c>
      <c r="F250" s="36"/>
      <c r="G250" s="36">
        <f t="shared" si="7"/>
        <v>109937.94</v>
      </c>
      <c r="H250" s="37"/>
    </row>
    <row r="251">
      <c r="A251" s="60" t="s">
        <v>822</v>
      </c>
      <c r="B251" s="60" t="s">
        <v>823</v>
      </c>
      <c r="C251" s="34" t="s">
        <v>77</v>
      </c>
      <c r="D251" s="34" t="s">
        <v>47</v>
      </c>
      <c r="E251" s="68">
        <v>540.0</v>
      </c>
      <c r="F251" s="36"/>
      <c r="G251" s="36">
        <f t="shared" si="7"/>
        <v>540</v>
      </c>
      <c r="H251" s="37"/>
    </row>
    <row r="252">
      <c r="A252" s="60" t="s">
        <v>824</v>
      </c>
      <c r="B252" s="60" t="s">
        <v>825</v>
      </c>
      <c r="C252" s="34" t="s">
        <v>77</v>
      </c>
      <c r="D252" s="34" t="s">
        <v>47</v>
      </c>
      <c r="E252" s="68">
        <v>117.04</v>
      </c>
      <c r="F252" s="36"/>
      <c r="G252" s="36">
        <f t="shared" si="7"/>
        <v>117.04</v>
      </c>
      <c r="H252" s="37"/>
    </row>
    <row r="253">
      <c r="A253" s="60" t="s">
        <v>826</v>
      </c>
      <c r="B253" s="60" t="s">
        <v>827</v>
      </c>
      <c r="C253" s="34" t="s">
        <v>77</v>
      </c>
      <c r="D253" s="34" t="s">
        <v>47</v>
      </c>
      <c r="E253" s="68">
        <v>21000.0</v>
      </c>
      <c r="F253" s="36"/>
      <c r="G253" s="36">
        <f t="shared" si="7"/>
        <v>21000</v>
      </c>
      <c r="H253" s="37"/>
    </row>
    <row r="254">
      <c r="A254" s="60" t="s">
        <v>828</v>
      </c>
      <c r="B254" s="60" t="s">
        <v>829</v>
      </c>
      <c r="C254" s="34" t="s">
        <v>77</v>
      </c>
      <c r="D254" s="34" t="s">
        <v>47</v>
      </c>
      <c r="E254" s="68">
        <v>7369.79</v>
      </c>
      <c r="F254" s="36"/>
      <c r="G254" s="36">
        <f t="shared" si="7"/>
        <v>7369.79</v>
      </c>
      <c r="H254" s="37"/>
    </row>
    <row r="255">
      <c r="A255" s="60" t="s">
        <v>830</v>
      </c>
      <c r="B255" s="60" t="s">
        <v>831</v>
      </c>
      <c r="C255" s="34" t="s">
        <v>77</v>
      </c>
      <c r="D255" s="34" t="s">
        <v>47</v>
      </c>
      <c r="E255" s="68">
        <v>1309.0</v>
      </c>
      <c r="F255" s="36"/>
      <c r="G255" s="36">
        <f t="shared" si="7"/>
        <v>1309</v>
      </c>
      <c r="H255" s="37"/>
    </row>
    <row r="256">
      <c r="A256" s="60" t="s">
        <v>832</v>
      </c>
      <c r="B256" s="60" t="s">
        <v>833</v>
      </c>
      <c r="C256" s="34" t="s">
        <v>77</v>
      </c>
      <c r="D256" s="34" t="s">
        <v>47</v>
      </c>
      <c r="E256" s="68">
        <v>4121.9</v>
      </c>
      <c r="F256" s="36"/>
      <c r="G256" s="36">
        <f t="shared" si="7"/>
        <v>4121.9</v>
      </c>
      <c r="H256" s="37"/>
    </row>
    <row r="257">
      <c r="A257" s="60" t="s">
        <v>2056</v>
      </c>
      <c r="B257" s="60" t="s">
        <v>2057</v>
      </c>
      <c r="C257" s="34" t="s">
        <v>77</v>
      </c>
      <c r="D257" s="34" t="s">
        <v>47</v>
      </c>
      <c r="E257" s="68">
        <v>-0.61</v>
      </c>
      <c r="F257" s="36"/>
      <c r="G257" s="36">
        <f t="shared" si="7"/>
        <v>-0.61</v>
      </c>
      <c r="H257" s="37"/>
    </row>
    <row r="258">
      <c r="A258" s="60" t="s">
        <v>834</v>
      </c>
      <c r="B258" s="60" t="s">
        <v>835</v>
      </c>
      <c r="C258" s="34" t="s">
        <v>77</v>
      </c>
      <c r="D258" s="34" t="s">
        <v>47</v>
      </c>
      <c r="E258" s="68">
        <v>4139.0</v>
      </c>
      <c r="F258" s="36"/>
      <c r="G258" s="36">
        <f t="shared" si="7"/>
        <v>4139</v>
      </c>
      <c r="H258" s="37"/>
    </row>
    <row r="259">
      <c r="A259" s="60" t="s">
        <v>836</v>
      </c>
      <c r="B259" s="60" t="s">
        <v>837</v>
      </c>
      <c r="C259" s="34" t="s">
        <v>77</v>
      </c>
      <c r="D259" s="34" t="s">
        <v>47</v>
      </c>
      <c r="E259" s="68">
        <v>6574.0</v>
      </c>
      <c r="F259" s="36"/>
      <c r="G259" s="36">
        <f t="shared" si="7"/>
        <v>6574</v>
      </c>
      <c r="H259" s="37"/>
    </row>
    <row r="260">
      <c r="A260" s="60" t="s">
        <v>2058</v>
      </c>
      <c r="B260" s="60" t="s">
        <v>2059</v>
      </c>
      <c r="C260" s="34" t="s">
        <v>77</v>
      </c>
      <c r="D260" s="34" t="s">
        <v>47</v>
      </c>
      <c r="E260" s="68">
        <v>1000.0</v>
      </c>
      <c r="F260" s="36"/>
      <c r="G260" s="36">
        <f t="shared" si="7"/>
        <v>1000</v>
      </c>
      <c r="H260" s="37"/>
    </row>
    <row r="261">
      <c r="A261" s="60" t="s">
        <v>838</v>
      </c>
      <c r="B261" s="60" t="s">
        <v>839</v>
      </c>
      <c r="C261" s="34" t="s">
        <v>77</v>
      </c>
      <c r="D261" s="34" t="s">
        <v>47</v>
      </c>
      <c r="E261" s="68">
        <v>5460.0</v>
      </c>
      <c r="F261" s="36"/>
      <c r="G261" s="36">
        <f t="shared" si="7"/>
        <v>5460</v>
      </c>
      <c r="H261" s="37"/>
    </row>
    <row r="262">
      <c r="A262" s="60" t="s">
        <v>840</v>
      </c>
      <c r="B262" s="60" t="s">
        <v>1785</v>
      </c>
      <c r="C262" s="34" t="s">
        <v>77</v>
      </c>
      <c r="D262" s="34" t="s">
        <v>47</v>
      </c>
      <c r="E262" s="68">
        <v>2730.0</v>
      </c>
      <c r="F262" s="36"/>
      <c r="G262" s="36">
        <f t="shared" si="7"/>
        <v>2730</v>
      </c>
      <c r="H262" s="37"/>
    </row>
    <row r="263">
      <c r="A263" s="60" t="s">
        <v>842</v>
      </c>
      <c r="B263" s="60" t="s">
        <v>843</v>
      </c>
      <c r="C263" s="34" t="s">
        <v>77</v>
      </c>
      <c r="D263" s="34" t="s">
        <v>47</v>
      </c>
      <c r="E263" s="68">
        <v>1092.0</v>
      </c>
      <c r="F263" s="36"/>
      <c r="G263" s="36">
        <f t="shared" si="7"/>
        <v>1092</v>
      </c>
      <c r="H263" s="37"/>
    </row>
    <row r="264">
      <c r="A264" s="60" t="s">
        <v>844</v>
      </c>
      <c r="B264" s="60" t="s">
        <v>845</v>
      </c>
      <c r="C264" s="34" t="s">
        <v>77</v>
      </c>
      <c r="D264" s="34" t="s">
        <v>47</v>
      </c>
      <c r="E264" s="68">
        <v>60720.0</v>
      </c>
      <c r="F264" s="36"/>
      <c r="G264" s="36">
        <f t="shared" si="7"/>
        <v>60720</v>
      </c>
      <c r="H264" s="37"/>
    </row>
    <row r="265">
      <c r="A265" s="60" t="s">
        <v>1968</v>
      </c>
      <c r="B265" s="60" t="s">
        <v>1969</v>
      </c>
      <c r="C265" s="34" t="s">
        <v>77</v>
      </c>
      <c r="D265" s="34" t="s">
        <v>47</v>
      </c>
      <c r="E265" s="68">
        <v>17020.0</v>
      </c>
      <c r="F265" s="36"/>
      <c r="G265" s="36">
        <f t="shared" si="7"/>
        <v>17020</v>
      </c>
      <c r="H265" s="37"/>
    </row>
    <row r="266">
      <c r="A266" s="99" t="s">
        <v>952</v>
      </c>
      <c r="B266" s="100" t="s">
        <v>953</v>
      </c>
      <c r="C266" s="34" t="s">
        <v>80</v>
      </c>
      <c r="D266" s="34" t="s">
        <v>46</v>
      </c>
      <c r="E266" s="35">
        <v>561.92</v>
      </c>
      <c r="F266" s="36"/>
      <c r="G266" s="36">
        <f t="shared" si="7"/>
        <v>561.92</v>
      </c>
      <c r="H266" s="37"/>
    </row>
    <row r="267">
      <c r="A267" s="99" t="s">
        <v>2060</v>
      </c>
      <c r="B267" s="99" t="s">
        <v>2061</v>
      </c>
      <c r="C267" s="34" t="s">
        <v>80</v>
      </c>
      <c r="D267" s="34" t="s">
        <v>46</v>
      </c>
      <c r="E267" s="35">
        <v>102.99</v>
      </c>
      <c r="F267" s="36"/>
      <c r="G267" s="36">
        <f t="shared" si="7"/>
        <v>102.99</v>
      </c>
      <c r="H267" s="37"/>
    </row>
    <row r="268">
      <c r="A268" s="99" t="s">
        <v>2062</v>
      </c>
      <c r="B268" s="99" t="s">
        <v>2063</v>
      </c>
      <c r="C268" s="34" t="s">
        <v>80</v>
      </c>
      <c r="D268" s="34" t="s">
        <v>46</v>
      </c>
      <c r="E268" s="35">
        <v>173.01</v>
      </c>
      <c r="F268" s="36"/>
      <c r="G268" s="36">
        <f t="shared" si="7"/>
        <v>173.01</v>
      </c>
      <c r="H268" s="37"/>
    </row>
    <row r="269">
      <c r="A269" s="60" t="s">
        <v>766</v>
      </c>
      <c r="B269" s="60" t="s">
        <v>767</v>
      </c>
      <c r="C269" s="34" t="s">
        <v>79</v>
      </c>
      <c r="D269" s="34" t="s">
        <v>49</v>
      </c>
      <c r="E269" s="68">
        <v>634.0</v>
      </c>
      <c r="F269" s="36"/>
      <c r="G269" s="36">
        <f t="shared" si="7"/>
        <v>634</v>
      </c>
      <c r="H269" s="37"/>
    </row>
    <row r="270">
      <c r="A270" s="60" t="s">
        <v>768</v>
      </c>
      <c r="B270" s="60" t="s">
        <v>769</v>
      </c>
      <c r="C270" s="34" t="s">
        <v>79</v>
      </c>
      <c r="D270" s="34" t="s">
        <v>49</v>
      </c>
      <c r="E270" s="68">
        <v>27340.0</v>
      </c>
      <c r="F270" s="36"/>
      <c r="G270" s="36">
        <f t="shared" si="7"/>
        <v>27340</v>
      </c>
      <c r="H270" s="37"/>
    </row>
    <row r="271">
      <c r="A271" s="60" t="s">
        <v>770</v>
      </c>
      <c r="B271" s="60" t="s">
        <v>771</v>
      </c>
      <c r="C271" s="34" t="s">
        <v>79</v>
      </c>
      <c r="D271" s="34" t="s">
        <v>49</v>
      </c>
      <c r="E271" s="68">
        <v>54510.0</v>
      </c>
      <c r="F271" s="36"/>
      <c r="G271" s="36">
        <f t="shared" si="7"/>
        <v>54510</v>
      </c>
      <c r="H271" s="37"/>
    </row>
    <row r="272">
      <c r="A272" s="60" t="s">
        <v>772</v>
      </c>
      <c r="B272" s="60" t="s">
        <v>773</v>
      </c>
      <c r="C272" s="34" t="s">
        <v>79</v>
      </c>
      <c r="D272" s="34" t="s">
        <v>49</v>
      </c>
      <c r="E272" s="68">
        <v>75555.67</v>
      </c>
      <c r="F272" s="36"/>
      <c r="G272" s="36">
        <f t="shared" si="7"/>
        <v>75555.67</v>
      </c>
      <c r="H272" s="37"/>
    </row>
    <row r="273">
      <c r="A273" s="60" t="s">
        <v>776</v>
      </c>
      <c r="B273" s="60" t="s">
        <v>777</v>
      </c>
      <c r="C273" s="34" t="s">
        <v>79</v>
      </c>
      <c r="D273" s="34" t="s">
        <v>49</v>
      </c>
      <c r="E273" s="68">
        <v>75000.0</v>
      </c>
      <c r="F273" s="36"/>
      <c r="G273" s="36">
        <f t="shared" si="7"/>
        <v>75000</v>
      </c>
      <c r="H273" s="37"/>
    </row>
    <row r="274">
      <c r="A274" s="60" t="s">
        <v>780</v>
      </c>
      <c r="B274" s="60" t="s">
        <v>781</v>
      </c>
      <c r="C274" s="34" t="s">
        <v>79</v>
      </c>
      <c r="D274" s="34" t="s">
        <v>49</v>
      </c>
      <c r="E274" s="68">
        <v>195.5</v>
      </c>
      <c r="F274" s="36"/>
      <c r="G274" s="36">
        <f t="shared" si="7"/>
        <v>195.5</v>
      </c>
      <c r="H274" s="37"/>
    </row>
    <row r="275">
      <c r="A275" s="60" t="s">
        <v>782</v>
      </c>
      <c r="B275" s="60" t="s">
        <v>783</v>
      </c>
      <c r="C275" s="34" t="s">
        <v>79</v>
      </c>
      <c r="D275" s="34" t="s">
        <v>49</v>
      </c>
      <c r="E275" s="68">
        <v>97.75</v>
      </c>
      <c r="F275" s="36"/>
      <c r="G275" s="36">
        <f t="shared" si="7"/>
        <v>97.75</v>
      </c>
      <c r="H275" s="37"/>
    </row>
    <row r="276">
      <c r="A276" s="60" t="s">
        <v>784</v>
      </c>
      <c r="B276" s="60" t="s">
        <v>785</v>
      </c>
      <c r="C276" s="34" t="s">
        <v>79</v>
      </c>
      <c r="D276" s="34" t="s">
        <v>49</v>
      </c>
      <c r="E276" s="68">
        <v>89009.24</v>
      </c>
      <c r="F276" s="36"/>
      <c r="G276" s="36">
        <f t="shared" si="7"/>
        <v>89009.24</v>
      </c>
      <c r="H276" s="37"/>
    </row>
    <row r="277">
      <c r="A277" s="60" t="s">
        <v>788</v>
      </c>
      <c r="B277" s="60" t="s">
        <v>789</v>
      </c>
      <c r="C277" s="34" t="s">
        <v>79</v>
      </c>
      <c r="D277" s="34" t="s">
        <v>49</v>
      </c>
      <c r="E277" s="68">
        <v>84496.25</v>
      </c>
      <c r="F277" s="36"/>
      <c r="G277" s="36">
        <f t="shared" si="7"/>
        <v>84496.25</v>
      </c>
      <c r="H277" s="37"/>
    </row>
    <row r="278">
      <c r="A278" s="60" t="s">
        <v>790</v>
      </c>
      <c r="B278" s="60" t="s">
        <v>791</v>
      </c>
      <c r="C278" s="34" t="s">
        <v>79</v>
      </c>
      <c r="D278" s="34" t="s">
        <v>49</v>
      </c>
      <c r="E278" s="68">
        <v>64828.0</v>
      </c>
      <c r="F278" s="36"/>
      <c r="G278" s="36">
        <f t="shared" si="7"/>
        <v>64828</v>
      </c>
      <c r="H278" s="37"/>
    </row>
    <row r="279">
      <c r="A279" s="60" t="s">
        <v>792</v>
      </c>
      <c r="B279" s="60" t="s">
        <v>793</v>
      </c>
      <c r="C279" s="34" t="s">
        <v>79</v>
      </c>
      <c r="D279" s="34" t="s">
        <v>49</v>
      </c>
      <c r="E279" s="68">
        <v>22337.5</v>
      </c>
      <c r="F279" s="36"/>
      <c r="G279" s="36">
        <f t="shared" si="7"/>
        <v>22337.5</v>
      </c>
      <c r="H279" s="37"/>
    </row>
    <row r="280">
      <c r="A280" s="60" t="s">
        <v>794</v>
      </c>
      <c r="B280" s="60" t="s">
        <v>795</v>
      </c>
      <c r="C280" s="34" t="s">
        <v>79</v>
      </c>
      <c r="D280" s="34" t="s">
        <v>49</v>
      </c>
      <c r="E280" s="68">
        <v>188981.66</v>
      </c>
      <c r="F280" s="36"/>
      <c r="G280" s="36">
        <f t="shared" si="7"/>
        <v>188981.66</v>
      </c>
      <c r="H280" s="37"/>
    </row>
    <row r="281">
      <c r="A281" s="60" t="s">
        <v>344</v>
      </c>
      <c r="B281" s="60" t="s">
        <v>345</v>
      </c>
      <c r="C281" s="34" t="s">
        <v>79</v>
      </c>
      <c r="D281" s="34" t="s">
        <v>49</v>
      </c>
      <c r="E281" s="68">
        <v>12397.5</v>
      </c>
      <c r="F281" s="36"/>
      <c r="G281" s="36">
        <f t="shared" si="7"/>
        <v>12397.5</v>
      </c>
      <c r="H281" s="37"/>
    </row>
    <row r="282">
      <c r="A282" s="60" t="s">
        <v>1781</v>
      </c>
      <c r="B282" s="60" t="s">
        <v>1782</v>
      </c>
      <c r="C282" s="34" t="s">
        <v>79</v>
      </c>
      <c r="D282" s="34" t="s">
        <v>49</v>
      </c>
      <c r="E282" s="68">
        <v>82800.0</v>
      </c>
      <c r="F282" s="36"/>
      <c r="G282" s="36">
        <f t="shared" si="7"/>
        <v>82800</v>
      </c>
      <c r="H282" s="37"/>
    </row>
    <row r="283">
      <c r="A283" s="37"/>
      <c r="B283" s="37"/>
      <c r="C283" s="37"/>
      <c r="D283" s="37"/>
      <c r="E283" s="36"/>
      <c r="F283" s="36"/>
      <c r="G283" s="36" t="str">
        <f t="shared" si="7"/>
        <v/>
      </c>
      <c r="H283" s="37"/>
    </row>
    <row r="284">
      <c r="A284" s="37"/>
      <c r="B284" s="37"/>
      <c r="C284" s="37"/>
      <c r="D284" s="37"/>
      <c r="E284" s="36"/>
      <c r="F284" s="36"/>
      <c r="G284" s="36" t="str">
        <f t="shared" si="7"/>
        <v/>
      </c>
      <c r="H284" s="37"/>
    </row>
    <row r="285">
      <c r="A285" s="37"/>
      <c r="B285" s="37"/>
      <c r="C285" s="37"/>
      <c r="D285" s="37"/>
      <c r="E285" s="36"/>
      <c r="F285" s="36"/>
      <c r="G285" s="36" t="str">
        <f t="shared" si="7"/>
        <v/>
      </c>
      <c r="H285" s="37"/>
    </row>
    <row r="286">
      <c r="A286" s="37"/>
      <c r="B286" s="37"/>
      <c r="C286" s="37"/>
      <c r="D286" s="37"/>
      <c r="E286" s="36"/>
      <c r="F286" s="36"/>
      <c r="G286" s="36" t="str">
        <f t="shared" si="7"/>
        <v/>
      </c>
      <c r="H286" s="37"/>
    </row>
    <row r="287">
      <c r="A287" s="37"/>
      <c r="B287" s="37"/>
      <c r="C287" s="37"/>
      <c r="D287" s="37"/>
      <c r="E287" s="36"/>
      <c r="F287" s="36"/>
      <c r="G287" s="36" t="str">
        <f t="shared" si="7"/>
        <v/>
      </c>
      <c r="H287" s="37"/>
    </row>
    <row r="288">
      <c r="A288" s="37"/>
      <c r="B288" s="37"/>
      <c r="C288" s="37"/>
      <c r="D288" s="37"/>
      <c r="E288" s="36"/>
      <c r="F288" s="36"/>
      <c r="G288" s="36" t="str">
        <f t="shared" si="7"/>
        <v/>
      </c>
      <c r="H288" s="37"/>
    </row>
    <row r="289">
      <c r="A289" s="37"/>
      <c r="B289" s="37"/>
      <c r="C289" s="37"/>
      <c r="D289" s="37"/>
      <c r="E289" s="36"/>
      <c r="F289" s="36"/>
      <c r="G289" s="36" t="str">
        <f t="shared" si="7"/>
        <v/>
      </c>
      <c r="H289" s="37"/>
    </row>
    <row r="290">
      <c r="A290" s="37"/>
      <c r="B290" s="37"/>
      <c r="C290" s="37"/>
      <c r="D290" s="37"/>
      <c r="E290" s="36"/>
      <c r="F290" s="36"/>
      <c r="G290" s="36" t="str">
        <f t="shared" si="7"/>
        <v/>
      </c>
      <c r="H290" s="37"/>
    </row>
    <row r="291">
      <c r="A291" s="37"/>
      <c r="B291" s="37"/>
      <c r="C291" s="37"/>
      <c r="D291" s="37"/>
      <c r="E291" s="36"/>
      <c r="F291" s="36"/>
      <c r="G291" s="36" t="str">
        <f t="shared" si="7"/>
        <v/>
      </c>
      <c r="H291" s="37"/>
    </row>
    <row r="292">
      <c r="A292" s="37"/>
      <c r="B292" s="37"/>
      <c r="C292" s="37"/>
      <c r="D292" s="37"/>
      <c r="E292" s="36"/>
      <c r="F292" s="36"/>
      <c r="G292" s="36" t="str">
        <f t="shared" si="7"/>
        <v/>
      </c>
      <c r="H292" s="37"/>
    </row>
    <row r="293">
      <c r="A293" s="37"/>
      <c r="B293" s="37"/>
      <c r="C293" s="37"/>
      <c r="D293" s="37"/>
      <c r="E293" s="36"/>
      <c r="F293" s="36"/>
      <c r="G293" s="36" t="str">
        <f t="shared" si="7"/>
        <v/>
      </c>
      <c r="H293" s="37"/>
    </row>
    <row r="294">
      <c r="A294" s="37"/>
      <c r="B294" s="37"/>
      <c r="C294" s="37"/>
      <c r="D294" s="37"/>
      <c r="E294" s="36"/>
      <c r="F294" s="36"/>
      <c r="G294" s="36" t="str">
        <f t="shared" si="7"/>
        <v/>
      </c>
      <c r="H294" s="37"/>
    </row>
    <row r="295">
      <c r="A295" s="37"/>
      <c r="B295" s="37"/>
      <c r="C295" s="37"/>
      <c r="D295" s="37"/>
      <c r="E295" s="36"/>
      <c r="F295" s="36"/>
      <c r="G295" s="36" t="str">
        <f t="shared" si="7"/>
        <v/>
      </c>
      <c r="H295" s="37"/>
    </row>
    <row r="296">
      <c r="A296" s="37"/>
      <c r="B296" s="37"/>
      <c r="C296" s="37"/>
      <c r="D296" s="37"/>
      <c r="E296" s="36"/>
      <c r="F296" s="36"/>
      <c r="G296" s="36" t="str">
        <f t="shared" si="7"/>
        <v/>
      </c>
      <c r="H296" s="37"/>
    </row>
    <row r="297">
      <c r="A297" s="37"/>
      <c r="B297" s="37"/>
      <c r="C297" s="37"/>
      <c r="D297" s="37"/>
      <c r="E297" s="36"/>
      <c r="F297" s="36"/>
      <c r="G297" s="36" t="str">
        <f t="shared" si="7"/>
        <v/>
      </c>
      <c r="H297" s="37"/>
    </row>
    <row r="298">
      <c r="A298" s="37"/>
      <c r="B298" s="37"/>
      <c r="C298" s="37"/>
      <c r="D298" s="37"/>
      <c r="E298" s="36"/>
      <c r="F298" s="36"/>
      <c r="G298" s="36" t="str">
        <f t="shared" si="7"/>
        <v/>
      </c>
      <c r="H298" s="37"/>
    </row>
    <row r="299">
      <c r="A299" s="37"/>
      <c r="B299" s="37"/>
      <c r="C299" s="37"/>
      <c r="D299" s="37"/>
      <c r="E299" s="36"/>
      <c r="F299" s="36"/>
      <c r="G299" s="36" t="str">
        <f t="shared" si="7"/>
        <v/>
      </c>
      <c r="H299" s="37"/>
    </row>
    <row r="300">
      <c r="A300" s="37"/>
      <c r="B300" s="37"/>
      <c r="C300" s="37"/>
      <c r="D300" s="37"/>
      <c r="E300" s="36"/>
      <c r="F300" s="36"/>
      <c r="G300" s="36" t="str">
        <f t="shared" si="7"/>
        <v/>
      </c>
      <c r="H300" s="37"/>
    </row>
    <row r="301">
      <c r="A301" s="37"/>
      <c r="B301" s="37"/>
      <c r="C301" s="37"/>
      <c r="D301" s="37"/>
      <c r="E301" s="36"/>
      <c r="F301" s="36"/>
      <c r="G301" s="36" t="str">
        <f t="shared" si="7"/>
        <v/>
      </c>
      <c r="H301" s="37"/>
    </row>
    <row r="302">
      <c r="A302" s="37"/>
      <c r="B302" s="37"/>
      <c r="C302" s="37"/>
      <c r="D302" s="37"/>
      <c r="E302" s="36"/>
      <c r="F302" s="36"/>
      <c r="G302" s="36" t="str">
        <f t="shared" si="7"/>
        <v/>
      </c>
      <c r="H302" s="37"/>
    </row>
    <row r="303">
      <c r="A303" s="37"/>
      <c r="B303" s="37"/>
      <c r="C303" s="37"/>
      <c r="D303" s="37"/>
      <c r="E303" s="36"/>
      <c r="F303" s="36"/>
      <c r="G303" s="36" t="str">
        <f t="shared" si="7"/>
        <v/>
      </c>
      <c r="H303" s="37"/>
    </row>
    <row r="304">
      <c r="A304" s="37"/>
      <c r="B304" s="37"/>
      <c r="C304" s="37"/>
      <c r="D304" s="37"/>
      <c r="E304" s="36"/>
      <c r="F304" s="36"/>
      <c r="G304" s="36" t="str">
        <f t="shared" si="7"/>
        <v/>
      </c>
      <c r="H304" s="37"/>
    </row>
    <row r="305">
      <c r="A305" s="37"/>
      <c r="B305" s="37"/>
      <c r="C305" s="37"/>
      <c r="D305" s="37"/>
      <c r="E305" s="36"/>
      <c r="F305" s="36"/>
      <c r="G305" s="36" t="str">
        <f t="shared" si="7"/>
        <v/>
      </c>
      <c r="H305" s="37"/>
    </row>
    <row r="306">
      <c r="A306" s="37"/>
      <c r="B306" s="37"/>
      <c r="C306" s="37"/>
      <c r="D306" s="37"/>
      <c r="E306" s="36"/>
      <c r="F306" s="36"/>
      <c r="G306" s="36" t="str">
        <f t="shared" si="7"/>
        <v/>
      </c>
      <c r="H306" s="37"/>
    </row>
    <row r="307">
      <c r="A307" s="37"/>
      <c r="B307" s="37"/>
      <c r="C307" s="37"/>
      <c r="D307" s="37"/>
      <c r="E307" s="36"/>
      <c r="F307" s="36"/>
      <c r="G307" s="36" t="str">
        <f t="shared" si="7"/>
        <v/>
      </c>
      <c r="H307" s="37"/>
    </row>
    <row r="308">
      <c r="A308" s="37"/>
      <c r="B308" s="37"/>
      <c r="C308" s="37"/>
      <c r="D308" s="37"/>
      <c r="E308" s="36"/>
      <c r="F308" s="36"/>
      <c r="G308" s="36" t="str">
        <f t="shared" si="7"/>
        <v/>
      </c>
      <c r="H308" s="37"/>
    </row>
    <row r="309">
      <c r="A309" s="37"/>
      <c r="B309" s="37"/>
      <c r="C309" s="37"/>
      <c r="D309" s="37"/>
      <c r="E309" s="36"/>
      <c r="F309" s="36"/>
      <c r="G309" s="36" t="str">
        <f t="shared" si="7"/>
        <v/>
      </c>
      <c r="H309" s="37"/>
    </row>
    <row r="310">
      <c r="A310" s="37"/>
      <c r="B310" s="37"/>
      <c r="C310" s="37"/>
      <c r="D310" s="37"/>
      <c r="E310" s="36"/>
      <c r="F310" s="36"/>
      <c r="G310" s="36" t="str">
        <f t="shared" si="7"/>
        <v/>
      </c>
      <c r="H310" s="37"/>
    </row>
    <row r="311">
      <c r="A311" s="37"/>
      <c r="B311" s="37"/>
      <c r="C311" s="37"/>
      <c r="D311" s="37"/>
      <c r="E311" s="36"/>
      <c r="F311" s="36"/>
      <c r="G311" s="36" t="str">
        <f t="shared" si="7"/>
        <v/>
      </c>
      <c r="H311" s="37"/>
    </row>
    <row r="312">
      <c r="A312" s="37"/>
      <c r="B312" s="37"/>
      <c r="C312" s="37"/>
      <c r="D312" s="37"/>
      <c r="E312" s="36"/>
      <c r="F312" s="36"/>
      <c r="G312" s="36" t="str">
        <f t="shared" si="7"/>
        <v/>
      </c>
      <c r="H312" s="37"/>
    </row>
    <row r="313">
      <c r="A313" s="37"/>
      <c r="B313" s="37"/>
      <c r="C313" s="37"/>
      <c r="D313" s="37"/>
      <c r="E313" s="36"/>
      <c r="F313" s="36"/>
      <c r="G313" s="36" t="str">
        <f t="shared" si="7"/>
        <v/>
      </c>
      <c r="H313" s="37"/>
    </row>
    <row r="314">
      <c r="A314" s="37"/>
      <c r="B314" s="37"/>
      <c r="C314" s="37"/>
      <c r="D314" s="37"/>
      <c r="E314" s="36"/>
      <c r="F314" s="36"/>
      <c r="G314" s="36" t="str">
        <f t="shared" si="7"/>
        <v/>
      </c>
      <c r="H314" s="37"/>
    </row>
    <row r="315">
      <c r="A315" s="37"/>
      <c r="B315" s="37"/>
      <c r="C315" s="37"/>
      <c r="D315" s="37"/>
      <c r="E315" s="36"/>
      <c r="F315" s="36"/>
      <c r="G315" s="36" t="str">
        <f t="shared" si="7"/>
        <v/>
      </c>
      <c r="H315" s="37"/>
    </row>
    <row r="316">
      <c r="A316" s="37"/>
      <c r="B316" s="37"/>
      <c r="C316" s="37"/>
      <c r="D316" s="37"/>
      <c r="E316" s="36"/>
      <c r="F316" s="36"/>
      <c r="G316" s="36" t="str">
        <f t="shared" si="7"/>
        <v/>
      </c>
      <c r="H316" s="37"/>
    </row>
    <row r="317">
      <c r="A317" s="37"/>
      <c r="B317" s="37"/>
      <c r="C317" s="37"/>
      <c r="D317" s="37"/>
      <c r="E317" s="36"/>
      <c r="F317" s="36"/>
      <c r="G317" s="36" t="str">
        <f t="shared" si="7"/>
        <v/>
      </c>
      <c r="H317" s="37"/>
    </row>
    <row r="318">
      <c r="A318" s="37"/>
      <c r="B318" s="37"/>
      <c r="C318" s="37"/>
      <c r="D318" s="37"/>
      <c r="E318" s="36"/>
      <c r="F318" s="36"/>
      <c r="G318" s="36" t="str">
        <f t="shared" si="7"/>
        <v/>
      </c>
      <c r="H318" s="37"/>
    </row>
    <row r="319">
      <c r="A319" s="37"/>
      <c r="B319" s="37"/>
      <c r="C319" s="37"/>
      <c r="D319" s="37"/>
      <c r="E319" s="36"/>
      <c r="F319" s="36"/>
      <c r="G319" s="36" t="str">
        <f t="shared" si="7"/>
        <v/>
      </c>
      <c r="H319" s="37"/>
    </row>
    <row r="320">
      <c r="A320" s="37"/>
      <c r="B320" s="37"/>
      <c r="C320" s="37"/>
      <c r="D320" s="37"/>
      <c r="E320" s="36"/>
      <c r="F320" s="36"/>
      <c r="G320" s="36" t="str">
        <f t="shared" si="7"/>
        <v/>
      </c>
      <c r="H320" s="37"/>
    </row>
    <row r="321">
      <c r="A321" s="37"/>
      <c r="B321" s="37"/>
      <c r="C321" s="37"/>
      <c r="D321" s="37"/>
      <c r="E321" s="36"/>
      <c r="F321" s="36"/>
      <c r="G321" s="36" t="str">
        <f t="shared" si="7"/>
        <v/>
      </c>
      <c r="H321" s="37"/>
    </row>
    <row r="322">
      <c r="A322" s="37"/>
      <c r="B322" s="37"/>
      <c r="C322" s="37"/>
      <c r="D322" s="37"/>
      <c r="E322" s="36"/>
      <c r="F322" s="36"/>
      <c r="G322" s="36" t="str">
        <f t="shared" si="7"/>
        <v/>
      </c>
      <c r="H322" s="37"/>
    </row>
    <row r="323">
      <c r="A323" s="37"/>
      <c r="B323" s="37"/>
      <c r="C323" s="37"/>
      <c r="D323" s="37"/>
      <c r="E323" s="36"/>
      <c r="F323" s="36"/>
      <c r="G323" s="36" t="str">
        <f t="shared" si="7"/>
        <v/>
      </c>
      <c r="H323" s="37"/>
    </row>
    <row r="324">
      <c r="A324" s="37"/>
      <c r="B324" s="37"/>
      <c r="C324" s="37"/>
      <c r="D324" s="37"/>
      <c r="E324" s="36"/>
      <c r="F324" s="36"/>
      <c r="G324" s="36" t="str">
        <f t="shared" si="7"/>
        <v/>
      </c>
      <c r="H324" s="37"/>
    </row>
    <row r="325">
      <c r="A325" s="37"/>
      <c r="B325" s="37"/>
      <c r="C325" s="37"/>
      <c r="D325" s="37"/>
      <c r="E325" s="36"/>
      <c r="F325" s="36"/>
      <c r="G325" s="36" t="str">
        <f t="shared" si="7"/>
        <v/>
      </c>
      <c r="H325" s="37"/>
    </row>
    <row r="326">
      <c r="A326" s="37"/>
      <c r="B326" s="37"/>
      <c r="C326" s="37"/>
      <c r="D326" s="37"/>
      <c r="E326" s="36"/>
      <c r="F326" s="36"/>
      <c r="G326" s="36" t="str">
        <f t="shared" si="7"/>
        <v/>
      </c>
      <c r="H326" s="37"/>
    </row>
    <row r="327">
      <c r="A327" s="37"/>
      <c r="B327" s="37"/>
      <c r="C327" s="37"/>
      <c r="D327" s="37"/>
      <c r="E327" s="36"/>
      <c r="F327" s="36"/>
      <c r="G327" s="36" t="str">
        <f t="shared" si="7"/>
        <v/>
      </c>
      <c r="H327" s="37"/>
    </row>
    <row r="328">
      <c r="A328" s="37"/>
      <c r="B328" s="37"/>
      <c r="C328" s="37"/>
      <c r="D328" s="37"/>
      <c r="E328" s="36"/>
      <c r="F328" s="36"/>
      <c r="G328" s="36" t="str">
        <f t="shared" si="7"/>
        <v/>
      </c>
      <c r="H328" s="37"/>
    </row>
    <row r="329">
      <c r="A329" s="37"/>
      <c r="B329" s="37"/>
      <c r="C329" s="37"/>
      <c r="D329" s="37"/>
      <c r="E329" s="36"/>
      <c r="F329" s="36"/>
      <c r="G329" s="36" t="str">
        <f t="shared" si="7"/>
        <v/>
      </c>
      <c r="H329" s="37"/>
    </row>
    <row r="330">
      <c r="A330" s="37"/>
      <c r="B330" s="37"/>
      <c r="C330" s="37"/>
      <c r="D330" s="37"/>
      <c r="E330" s="36"/>
      <c r="F330" s="36"/>
      <c r="G330" s="36" t="str">
        <f t="shared" si="7"/>
        <v/>
      </c>
      <c r="H330" s="37"/>
    </row>
    <row r="331">
      <c r="A331" s="37"/>
      <c r="B331" s="37"/>
      <c r="C331" s="37"/>
      <c r="D331" s="37"/>
      <c r="E331" s="36"/>
      <c r="F331" s="36"/>
      <c r="G331" s="36" t="str">
        <f t="shared" si="7"/>
        <v/>
      </c>
      <c r="H331" s="37"/>
    </row>
    <row r="332">
      <c r="A332" s="37"/>
      <c r="B332" s="37"/>
      <c r="C332" s="37"/>
      <c r="D332" s="37"/>
      <c r="E332" s="36"/>
      <c r="F332" s="36"/>
      <c r="G332" s="36" t="str">
        <f t="shared" si="7"/>
        <v/>
      </c>
      <c r="H332" s="37"/>
    </row>
    <row r="333">
      <c r="A333" s="37"/>
      <c r="B333" s="37"/>
      <c r="C333" s="37"/>
      <c r="D333" s="37"/>
      <c r="E333" s="36"/>
      <c r="F333" s="36"/>
      <c r="G333" s="36" t="str">
        <f t="shared" si="7"/>
        <v/>
      </c>
      <c r="H333" s="37"/>
    </row>
    <row r="334">
      <c r="A334" s="37"/>
      <c r="B334" s="37"/>
      <c r="C334" s="37"/>
      <c r="D334" s="37"/>
      <c r="E334" s="36"/>
      <c r="F334" s="36"/>
      <c r="G334" s="36" t="str">
        <f t="shared" si="7"/>
        <v/>
      </c>
      <c r="H334" s="37"/>
    </row>
    <row r="335">
      <c r="A335" s="37"/>
      <c r="B335" s="37"/>
      <c r="C335" s="37"/>
      <c r="D335" s="37"/>
      <c r="E335" s="36"/>
      <c r="F335" s="36"/>
      <c r="G335" s="36" t="str">
        <f t="shared" si="7"/>
        <v/>
      </c>
      <c r="H335" s="37"/>
    </row>
    <row r="336">
      <c r="A336" s="37"/>
      <c r="B336" s="37"/>
      <c r="C336" s="37"/>
      <c r="D336" s="37"/>
      <c r="E336" s="36"/>
      <c r="F336" s="36"/>
      <c r="G336" s="36" t="str">
        <f t="shared" si="7"/>
        <v/>
      </c>
      <c r="H336" s="37"/>
    </row>
    <row r="337">
      <c r="A337" s="37"/>
      <c r="B337" s="37"/>
      <c r="C337" s="37"/>
      <c r="D337" s="37"/>
      <c r="E337" s="36"/>
      <c r="F337" s="36"/>
      <c r="G337" s="36" t="str">
        <f t="shared" si="7"/>
        <v/>
      </c>
      <c r="H337" s="37"/>
    </row>
    <row r="338">
      <c r="A338" s="37"/>
      <c r="B338" s="37"/>
      <c r="C338" s="37"/>
      <c r="D338" s="37"/>
      <c r="E338" s="36"/>
      <c r="F338" s="36"/>
      <c r="G338" s="36" t="str">
        <f t="shared" si="7"/>
        <v/>
      </c>
      <c r="H338" s="37"/>
    </row>
    <row r="339">
      <c r="A339" s="37"/>
      <c r="B339" s="37"/>
      <c r="C339" s="37"/>
      <c r="D339" s="37"/>
      <c r="E339" s="36"/>
      <c r="F339" s="36"/>
      <c r="G339" s="36" t="str">
        <f t="shared" si="7"/>
        <v/>
      </c>
      <c r="H339" s="37"/>
    </row>
    <row r="340">
      <c r="A340" s="37"/>
      <c r="B340" s="37"/>
      <c r="C340" s="37"/>
      <c r="D340" s="37"/>
      <c r="E340" s="36"/>
      <c r="F340" s="36"/>
      <c r="G340" s="36" t="str">
        <f t="shared" si="7"/>
        <v/>
      </c>
      <c r="H340" s="37"/>
    </row>
    <row r="341">
      <c r="A341" s="37"/>
      <c r="B341" s="37"/>
      <c r="C341" s="37"/>
      <c r="D341" s="37"/>
      <c r="E341" s="36"/>
      <c r="F341" s="36"/>
      <c r="G341" s="36" t="str">
        <f t="shared" si="7"/>
        <v/>
      </c>
      <c r="H341" s="37"/>
    </row>
    <row r="342">
      <c r="A342" s="37"/>
      <c r="B342" s="37"/>
      <c r="C342" s="37"/>
      <c r="D342" s="37"/>
      <c r="E342" s="36"/>
      <c r="F342" s="36"/>
      <c r="G342" s="36" t="str">
        <f t="shared" si="7"/>
        <v/>
      </c>
      <c r="H342" s="37"/>
    </row>
    <row r="343">
      <c r="A343" s="37"/>
      <c r="B343" s="37"/>
      <c r="C343" s="37"/>
      <c r="D343" s="37"/>
      <c r="E343" s="36"/>
      <c r="F343" s="36"/>
      <c r="G343" s="36" t="str">
        <f t="shared" si="7"/>
        <v/>
      </c>
      <c r="H343" s="37"/>
    </row>
    <row r="344">
      <c r="A344" s="37"/>
      <c r="B344" s="37"/>
      <c r="C344" s="37"/>
      <c r="D344" s="37"/>
      <c r="E344" s="36"/>
      <c r="F344" s="36"/>
      <c r="G344" s="36" t="str">
        <f t="shared" si="7"/>
        <v/>
      </c>
      <c r="H344" s="37"/>
    </row>
    <row r="345">
      <c r="A345" s="37"/>
      <c r="B345" s="37"/>
      <c r="C345" s="37"/>
      <c r="D345" s="37"/>
      <c r="E345" s="36"/>
      <c r="F345" s="36"/>
      <c r="G345" s="36" t="str">
        <f t="shared" si="7"/>
        <v/>
      </c>
      <c r="H345" s="37"/>
    </row>
    <row r="346">
      <c r="A346" s="37"/>
      <c r="B346" s="37"/>
      <c r="C346" s="37"/>
      <c r="D346" s="37"/>
      <c r="E346" s="36"/>
      <c r="F346" s="36"/>
      <c r="G346" s="36" t="str">
        <f t="shared" si="7"/>
        <v/>
      </c>
      <c r="H346" s="37"/>
    </row>
    <row r="347">
      <c r="A347" s="37"/>
      <c r="B347" s="37"/>
      <c r="C347" s="37"/>
      <c r="D347" s="37"/>
      <c r="E347" s="36"/>
      <c r="F347" s="36"/>
      <c r="G347" s="36" t="str">
        <f t="shared" si="7"/>
        <v/>
      </c>
      <c r="H347" s="37"/>
    </row>
    <row r="348">
      <c r="A348" s="37"/>
      <c r="B348" s="37"/>
      <c r="C348" s="37"/>
      <c r="D348" s="37"/>
      <c r="E348" s="36"/>
      <c r="F348" s="36"/>
      <c r="G348" s="36" t="str">
        <f t="shared" si="7"/>
        <v/>
      </c>
      <c r="H348" s="37"/>
    </row>
    <row r="349">
      <c r="A349" s="37"/>
      <c r="B349" s="37"/>
      <c r="C349" s="37"/>
      <c r="D349" s="37"/>
      <c r="E349" s="36"/>
      <c r="F349" s="36"/>
      <c r="G349" s="36" t="str">
        <f t="shared" si="7"/>
        <v/>
      </c>
      <c r="H349" s="37"/>
    </row>
    <row r="350">
      <c r="A350" s="37"/>
      <c r="B350" s="37"/>
      <c r="C350" s="37"/>
      <c r="D350" s="37"/>
      <c r="E350" s="36"/>
      <c r="F350" s="36"/>
      <c r="G350" s="36" t="str">
        <f t="shared" si="7"/>
        <v/>
      </c>
      <c r="H350" s="37"/>
    </row>
    <row r="351">
      <c r="A351" s="37"/>
      <c r="B351" s="37"/>
      <c r="C351" s="37"/>
      <c r="D351" s="37"/>
      <c r="E351" s="36"/>
      <c r="F351" s="36"/>
      <c r="G351" s="36" t="str">
        <f t="shared" si="7"/>
        <v/>
      </c>
      <c r="H351" s="37"/>
    </row>
    <row r="352">
      <c r="A352" s="37"/>
      <c r="B352" s="37"/>
      <c r="C352" s="37"/>
      <c r="D352" s="37"/>
      <c r="E352" s="36"/>
      <c r="F352" s="36"/>
      <c r="G352" s="36" t="str">
        <f t="shared" si="7"/>
        <v/>
      </c>
      <c r="H352" s="37"/>
    </row>
    <row r="353">
      <c r="A353" s="37"/>
      <c r="B353" s="37"/>
      <c r="C353" s="37"/>
      <c r="D353" s="37"/>
      <c r="E353" s="36"/>
      <c r="F353" s="36"/>
      <c r="G353" s="36" t="str">
        <f t="shared" si="7"/>
        <v/>
      </c>
      <c r="H353" s="37"/>
    </row>
    <row r="354">
      <c r="A354" s="37"/>
      <c r="B354" s="37"/>
      <c r="C354" s="37"/>
      <c r="D354" s="37"/>
      <c r="E354" s="36"/>
      <c r="F354" s="36"/>
      <c r="G354" s="36" t="str">
        <f t="shared" si="7"/>
        <v/>
      </c>
      <c r="H354" s="37"/>
    </row>
    <row r="355">
      <c r="A355" s="37"/>
      <c r="B355" s="37"/>
      <c r="C355" s="37"/>
      <c r="D355" s="37"/>
      <c r="E355" s="36"/>
      <c r="F355" s="36"/>
      <c r="G355" s="36" t="str">
        <f t="shared" si="7"/>
        <v/>
      </c>
      <c r="H355" s="37"/>
    </row>
    <row r="356">
      <c r="A356" s="37"/>
      <c r="B356" s="37"/>
      <c r="C356" s="37"/>
      <c r="D356" s="37"/>
      <c r="E356" s="36"/>
      <c r="F356" s="36"/>
      <c r="G356" s="36" t="str">
        <f t="shared" si="7"/>
        <v/>
      </c>
      <c r="H356" s="37"/>
    </row>
    <row r="357">
      <c r="A357" s="37"/>
      <c r="B357" s="37"/>
      <c r="C357" s="37"/>
      <c r="D357" s="37"/>
      <c r="E357" s="36"/>
      <c r="F357" s="36"/>
      <c r="G357" s="36" t="str">
        <f t="shared" si="7"/>
        <v/>
      </c>
      <c r="H357" s="37"/>
    </row>
    <row r="358">
      <c r="A358" s="37"/>
      <c r="B358" s="37"/>
      <c r="C358" s="37"/>
      <c r="D358" s="37"/>
      <c r="E358" s="36"/>
      <c r="F358" s="36"/>
      <c r="G358" s="36" t="str">
        <f t="shared" si="7"/>
        <v/>
      </c>
      <c r="H358" s="37"/>
    </row>
    <row r="359">
      <c r="A359" s="37"/>
      <c r="B359" s="37"/>
      <c r="C359" s="37"/>
      <c r="D359" s="37"/>
      <c r="E359" s="36"/>
      <c r="F359" s="36"/>
      <c r="G359" s="36" t="str">
        <f t="shared" si="7"/>
        <v/>
      </c>
      <c r="H359" s="37"/>
    </row>
    <row r="360">
      <c r="A360" s="37"/>
      <c r="B360" s="37"/>
      <c r="C360" s="37"/>
      <c r="D360" s="37"/>
      <c r="E360" s="36"/>
      <c r="F360" s="36"/>
      <c r="G360" s="36" t="str">
        <f t="shared" si="7"/>
        <v/>
      </c>
      <c r="H360" s="37"/>
    </row>
    <row r="361">
      <c r="A361" s="37"/>
      <c r="B361" s="37"/>
      <c r="C361" s="37"/>
      <c r="D361" s="37"/>
      <c r="E361" s="36"/>
      <c r="F361" s="36"/>
      <c r="G361" s="36" t="str">
        <f t="shared" si="7"/>
        <v/>
      </c>
      <c r="H361" s="37"/>
    </row>
    <row r="362">
      <c r="A362" s="37"/>
      <c r="B362" s="37"/>
      <c r="C362" s="37"/>
      <c r="D362" s="37"/>
      <c r="E362" s="36"/>
      <c r="F362" s="36"/>
      <c r="G362" s="36" t="str">
        <f t="shared" si="7"/>
        <v/>
      </c>
      <c r="H362" s="37"/>
    </row>
    <row r="363">
      <c r="A363" s="37"/>
      <c r="B363" s="37"/>
      <c r="C363" s="37"/>
      <c r="D363" s="37"/>
      <c r="E363" s="36"/>
      <c r="F363" s="36"/>
      <c r="G363" s="36" t="str">
        <f t="shared" si="7"/>
        <v/>
      </c>
      <c r="H363" s="37"/>
    </row>
    <row r="364">
      <c r="A364" s="37"/>
      <c r="B364" s="37"/>
      <c r="C364" s="37"/>
      <c r="D364" s="37"/>
      <c r="E364" s="36"/>
      <c r="F364" s="36"/>
      <c r="G364" s="36" t="str">
        <f t="shared" si="7"/>
        <v/>
      </c>
      <c r="H364" s="37"/>
    </row>
    <row r="365">
      <c r="A365" s="37"/>
      <c r="B365" s="37"/>
      <c r="C365" s="37"/>
      <c r="D365" s="37"/>
      <c r="E365" s="36"/>
      <c r="F365" s="36"/>
      <c r="G365" s="36" t="str">
        <f t="shared" si="7"/>
        <v/>
      </c>
      <c r="H365" s="37"/>
    </row>
    <row r="366">
      <c r="A366" s="37"/>
      <c r="B366" s="37"/>
      <c r="C366" s="37"/>
      <c r="D366" s="37"/>
      <c r="E366" s="36"/>
      <c r="F366" s="36"/>
      <c r="G366" s="36" t="str">
        <f t="shared" si="7"/>
        <v/>
      </c>
      <c r="H366" s="37"/>
    </row>
    <row r="367">
      <c r="A367" s="37"/>
      <c r="B367" s="37"/>
      <c r="C367" s="37"/>
      <c r="D367" s="37"/>
      <c r="E367" s="36"/>
      <c r="F367" s="36"/>
      <c r="G367" s="36" t="str">
        <f t="shared" si="7"/>
        <v/>
      </c>
      <c r="H367" s="37"/>
    </row>
    <row r="368">
      <c r="A368" s="37"/>
      <c r="B368" s="37"/>
      <c r="C368" s="37"/>
      <c r="D368" s="37"/>
      <c r="E368" s="36"/>
      <c r="F368" s="36"/>
      <c r="G368" s="36" t="str">
        <f t="shared" si="7"/>
        <v/>
      </c>
      <c r="H368" s="37"/>
    </row>
    <row r="369">
      <c r="A369" s="37"/>
      <c r="B369" s="37"/>
      <c r="C369" s="37"/>
      <c r="D369" s="37"/>
      <c r="E369" s="36"/>
      <c r="F369" s="36"/>
      <c r="G369" s="36" t="str">
        <f t="shared" si="7"/>
        <v/>
      </c>
      <c r="H369" s="37"/>
    </row>
    <row r="370">
      <c r="A370" s="37"/>
      <c r="B370" s="37"/>
      <c r="C370" s="37"/>
      <c r="D370" s="37"/>
      <c r="E370" s="36"/>
      <c r="F370" s="36"/>
      <c r="G370" s="36" t="str">
        <f t="shared" si="7"/>
        <v/>
      </c>
      <c r="H370" s="37"/>
    </row>
    <row r="371">
      <c r="A371" s="37"/>
      <c r="B371" s="37"/>
      <c r="C371" s="37"/>
      <c r="D371" s="37"/>
      <c r="E371" s="36"/>
      <c r="F371" s="36"/>
      <c r="G371" s="36" t="str">
        <f t="shared" si="7"/>
        <v/>
      </c>
      <c r="H371" s="37"/>
    </row>
    <row r="372">
      <c r="A372" s="37"/>
      <c r="B372" s="37"/>
      <c r="C372" s="37"/>
      <c r="D372" s="37"/>
      <c r="E372" s="36"/>
      <c r="F372" s="36"/>
      <c r="G372" s="36" t="str">
        <f t="shared" si="7"/>
        <v/>
      </c>
      <c r="H372" s="37"/>
    </row>
    <row r="373">
      <c r="A373" s="37"/>
      <c r="B373" s="37"/>
      <c r="C373" s="37"/>
      <c r="D373" s="37"/>
      <c r="E373" s="36"/>
      <c r="F373" s="36"/>
      <c r="G373" s="36" t="str">
        <f t="shared" si="7"/>
        <v/>
      </c>
      <c r="H373" s="37"/>
    </row>
    <row r="374">
      <c r="A374" s="37"/>
      <c r="B374" s="37"/>
      <c r="C374" s="37"/>
      <c r="D374" s="37"/>
      <c r="E374" s="36"/>
      <c r="F374" s="36"/>
      <c r="G374" s="36" t="str">
        <f t="shared" si="7"/>
        <v/>
      </c>
      <c r="H374" s="37"/>
    </row>
    <row r="375">
      <c r="A375" s="37"/>
      <c r="B375" s="37"/>
      <c r="C375" s="37"/>
      <c r="D375" s="37"/>
      <c r="E375" s="36"/>
      <c r="F375" s="36"/>
      <c r="G375" s="36" t="str">
        <f t="shared" si="7"/>
        <v/>
      </c>
      <c r="H375" s="37"/>
    </row>
    <row r="376">
      <c r="A376" s="37"/>
      <c r="B376" s="37"/>
      <c r="C376" s="37"/>
      <c r="D376" s="37"/>
      <c r="E376" s="36"/>
      <c r="F376" s="36"/>
      <c r="G376" s="36" t="str">
        <f t="shared" si="7"/>
        <v/>
      </c>
      <c r="H376" s="37"/>
    </row>
    <row r="377">
      <c r="A377" s="37"/>
      <c r="B377" s="37"/>
      <c r="C377" s="37"/>
      <c r="D377" s="37"/>
      <c r="E377" s="36"/>
      <c r="F377" s="36"/>
      <c r="G377" s="36" t="str">
        <f t="shared" si="7"/>
        <v/>
      </c>
      <c r="H377" s="37"/>
    </row>
    <row r="378">
      <c r="A378" s="37"/>
      <c r="B378" s="37"/>
      <c r="C378" s="37"/>
      <c r="D378" s="37"/>
      <c r="E378" s="36"/>
      <c r="F378" s="36"/>
      <c r="G378" s="36" t="str">
        <f t="shared" si="7"/>
        <v/>
      </c>
      <c r="H378" s="37"/>
    </row>
    <row r="379">
      <c r="A379" s="37"/>
      <c r="B379" s="37"/>
      <c r="C379" s="37"/>
      <c r="D379" s="37"/>
      <c r="E379" s="36"/>
      <c r="F379" s="36"/>
      <c r="G379" s="36" t="str">
        <f t="shared" si="7"/>
        <v/>
      </c>
      <c r="H379" s="37"/>
    </row>
    <row r="380">
      <c r="A380" s="37"/>
      <c r="B380" s="37"/>
      <c r="C380" s="37"/>
      <c r="D380" s="37"/>
      <c r="E380" s="36"/>
      <c r="F380" s="36"/>
      <c r="G380" s="36" t="str">
        <f t="shared" si="7"/>
        <v/>
      </c>
      <c r="H380" s="37"/>
    </row>
    <row r="381">
      <c r="A381" s="37"/>
      <c r="B381" s="37"/>
      <c r="C381" s="37"/>
      <c r="D381" s="37"/>
      <c r="E381" s="36"/>
      <c r="F381" s="36"/>
      <c r="G381" s="36" t="str">
        <f t="shared" si="7"/>
        <v/>
      </c>
      <c r="H381" s="37"/>
    </row>
    <row r="382">
      <c r="A382" s="37"/>
      <c r="B382" s="37"/>
      <c r="C382" s="37"/>
      <c r="D382" s="37"/>
      <c r="E382" s="36"/>
      <c r="F382" s="36"/>
      <c r="G382" s="36" t="str">
        <f t="shared" si="7"/>
        <v/>
      </c>
      <c r="H382" s="37"/>
    </row>
    <row r="383">
      <c r="A383" s="37"/>
      <c r="B383" s="37"/>
      <c r="C383" s="37"/>
      <c r="D383" s="37"/>
      <c r="E383" s="36"/>
      <c r="F383" s="36"/>
      <c r="G383" s="36" t="str">
        <f t="shared" si="7"/>
        <v/>
      </c>
      <c r="H383" s="37"/>
    </row>
    <row r="384">
      <c r="A384" s="37"/>
      <c r="B384" s="37"/>
      <c r="C384" s="37"/>
      <c r="D384" s="37"/>
      <c r="E384" s="36"/>
      <c r="F384" s="36"/>
      <c r="G384" s="36" t="str">
        <f t="shared" si="7"/>
        <v/>
      </c>
      <c r="H384" s="37"/>
    </row>
    <row r="385">
      <c r="A385" s="37"/>
      <c r="B385" s="37"/>
      <c r="C385" s="37"/>
      <c r="D385" s="37"/>
      <c r="E385" s="36"/>
      <c r="F385" s="36"/>
      <c r="G385" s="36" t="str">
        <f t="shared" si="7"/>
        <v/>
      </c>
      <c r="H385" s="37"/>
    </row>
    <row r="386">
      <c r="A386" s="37"/>
      <c r="B386" s="37"/>
      <c r="C386" s="37"/>
      <c r="D386" s="37"/>
      <c r="E386" s="36"/>
      <c r="F386" s="36"/>
      <c r="G386" s="36" t="str">
        <f t="shared" si="7"/>
        <v/>
      </c>
      <c r="H386" s="37"/>
    </row>
    <row r="387">
      <c r="A387" s="37"/>
      <c r="B387" s="37"/>
      <c r="C387" s="37"/>
      <c r="D387" s="37"/>
      <c r="E387" s="36"/>
      <c r="F387" s="36"/>
      <c r="G387" s="36" t="str">
        <f t="shared" si="7"/>
        <v/>
      </c>
      <c r="H387" s="37"/>
    </row>
    <row r="388">
      <c r="A388" s="37"/>
      <c r="B388" s="37"/>
      <c r="C388" s="37"/>
      <c r="D388" s="37"/>
      <c r="E388" s="36"/>
      <c r="F388" s="36"/>
      <c r="G388" s="36" t="str">
        <f t="shared" si="7"/>
        <v/>
      </c>
      <c r="H388" s="37"/>
    </row>
    <row r="389">
      <c r="A389" s="37"/>
      <c r="B389" s="37"/>
      <c r="C389" s="37"/>
      <c r="D389" s="37"/>
      <c r="E389" s="36"/>
      <c r="F389" s="36"/>
      <c r="G389" s="36" t="str">
        <f t="shared" si="7"/>
        <v/>
      </c>
      <c r="H389" s="37"/>
    </row>
    <row r="390">
      <c r="A390" s="37"/>
      <c r="B390" s="37"/>
      <c r="C390" s="37"/>
      <c r="D390" s="37"/>
      <c r="E390" s="36"/>
      <c r="F390" s="36"/>
      <c r="G390" s="36" t="str">
        <f t="shared" si="7"/>
        <v/>
      </c>
      <c r="H390" s="37"/>
    </row>
    <row r="391">
      <c r="A391" s="37"/>
      <c r="B391" s="37"/>
      <c r="C391" s="37"/>
      <c r="D391" s="37"/>
      <c r="E391" s="36"/>
      <c r="F391" s="36"/>
      <c r="G391" s="36" t="str">
        <f t="shared" si="7"/>
        <v/>
      </c>
      <c r="H391" s="37"/>
    </row>
    <row r="392">
      <c r="A392" s="37"/>
      <c r="B392" s="37"/>
      <c r="C392" s="37"/>
      <c r="D392" s="37"/>
      <c r="E392" s="36"/>
      <c r="F392" s="36"/>
      <c r="G392" s="36" t="str">
        <f t="shared" si="7"/>
        <v/>
      </c>
      <c r="H392" s="37"/>
    </row>
    <row r="393">
      <c r="A393" s="37"/>
      <c r="B393" s="37"/>
      <c r="C393" s="37"/>
      <c r="D393" s="37"/>
      <c r="E393" s="36"/>
      <c r="F393" s="36"/>
      <c r="G393" s="36" t="str">
        <f t="shared" si="7"/>
        <v/>
      </c>
      <c r="H393" s="37"/>
    </row>
    <row r="394">
      <c r="A394" s="37"/>
      <c r="B394" s="37"/>
      <c r="C394" s="37"/>
      <c r="D394" s="37"/>
      <c r="E394" s="36"/>
      <c r="F394" s="36"/>
      <c r="G394" s="36" t="str">
        <f t="shared" si="7"/>
        <v/>
      </c>
      <c r="H394" s="37"/>
    </row>
    <row r="395">
      <c r="A395" s="37"/>
      <c r="B395" s="37"/>
      <c r="C395" s="37"/>
      <c r="D395" s="37"/>
      <c r="E395" s="36"/>
      <c r="F395" s="36"/>
      <c r="G395" s="36" t="str">
        <f t="shared" si="7"/>
        <v/>
      </c>
      <c r="H395" s="37"/>
    </row>
    <row r="396">
      <c r="A396" s="37"/>
      <c r="B396" s="37"/>
      <c r="C396" s="37"/>
      <c r="D396" s="37"/>
      <c r="E396" s="36"/>
      <c r="F396" s="36"/>
      <c r="G396" s="36" t="str">
        <f t="shared" si="7"/>
        <v/>
      </c>
      <c r="H396" s="37"/>
    </row>
    <row r="397">
      <c r="A397" s="37"/>
      <c r="B397" s="37"/>
      <c r="C397" s="37"/>
      <c r="D397" s="37"/>
      <c r="E397" s="36"/>
      <c r="F397" s="36"/>
      <c r="G397" s="36" t="str">
        <f t="shared" si="7"/>
        <v/>
      </c>
      <c r="H397" s="37"/>
    </row>
    <row r="398">
      <c r="A398" s="37"/>
      <c r="B398" s="37"/>
      <c r="C398" s="37"/>
      <c r="D398" s="37"/>
      <c r="E398" s="36"/>
      <c r="F398" s="36"/>
      <c r="G398" s="36" t="str">
        <f t="shared" si="7"/>
        <v/>
      </c>
      <c r="H398" s="37"/>
    </row>
    <row r="399">
      <c r="A399" s="37"/>
      <c r="B399" s="37"/>
      <c r="C399" s="37"/>
      <c r="D399" s="37"/>
      <c r="E399" s="36"/>
      <c r="F399" s="36"/>
      <c r="G399" s="36" t="str">
        <f t="shared" si="7"/>
        <v/>
      </c>
      <c r="H399" s="37"/>
    </row>
    <row r="400">
      <c r="A400" s="37"/>
      <c r="B400" s="37"/>
      <c r="C400" s="37"/>
      <c r="D400" s="37"/>
      <c r="E400" s="36"/>
      <c r="F400" s="36"/>
      <c r="G400" s="36" t="str">
        <f t="shared" si="7"/>
        <v/>
      </c>
      <c r="H400" s="37"/>
    </row>
    <row r="401">
      <c r="A401" s="37"/>
      <c r="B401" s="37"/>
      <c r="C401" s="37"/>
      <c r="D401" s="37"/>
      <c r="E401" s="36"/>
      <c r="F401" s="36"/>
      <c r="G401" s="36" t="str">
        <f t="shared" si="7"/>
        <v/>
      </c>
      <c r="H401" s="37"/>
    </row>
    <row r="402">
      <c r="A402" s="37"/>
      <c r="B402" s="37"/>
      <c r="C402" s="37"/>
      <c r="D402" s="37"/>
      <c r="E402" s="36"/>
      <c r="F402" s="36"/>
      <c r="G402" s="36" t="str">
        <f t="shared" si="7"/>
        <v/>
      </c>
      <c r="H402" s="37"/>
    </row>
    <row r="403">
      <c r="A403" s="37"/>
      <c r="B403" s="37"/>
      <c r="C403" s="37"/>
      <c r="D403" s="37"/>
      <c r="E403" s="36"/>
      <c r="F403" s="36"/>
      <c r="G403" s="36" t="str">
        <f t="shared" si="7"/>
        <v/>
      </c>
      <c r="H403" s="37"/>
    </row>
    <row r="404">
      <c r="A404" s="37"/>
      <c r="B404" s="37"/>
      <c r="C404" s="37"/>
      <c r="D404" s="37"/>
      <c r="E404" s="36"/>
      <c r="F404" s="36"/>
      <c r="G404" s="36" t="str">
        <f t="shared" si="7"/>
        <v/>
      </c>
      <c r="H404" s="37"/>
    </row>
    <row r="405">
      <c r="A405" s="37"/>
      <c r="B405" s="37"/>
      <c r="C405" s="37"/>
      <c r="D405" s="37"/>
      <c r="E405" s="36"/>
      <c r="F405" s="36"/>
      <c r="G405" s="36" t="str">
        <f t="shared" si="7"/>
        <v/>
      </c>
      <c r="H405" s="37"/>
    </row>
    <row r="406">
      <c r="A406" s="37"/>
      <c r="B406" s="37"/>
      <c r="C406" s="37"/>
      <c r="D406" s="37"/>
      <c r="E406" s="36"/>
      <c r="F406" s="36"/>
      <c r="G406" s="36" t="str">
        <f t="shared" si="7"/>
        <v/>
      </c>
      <c r="H406" s="37"/>
    </row>
    <row r="407">
      <c r="A407" s="37"/>
      <c r="B407" s="37"/>
      <c r="C407" s="37"/>
      <c r="D407" s="37"/>
      <c r="E407" s="36"/>
      <c r="F407" s="36"/>
      <c r="G407" s="36" t="str">
        <f t="shared" si="7"/>
        <v/>
      </c>
      <c r="H407" s="37"/>
    </row>
    <row r="408">
      <c r="A408" s="37"/>
      <c r="B408" s="37"/>
      <c r="C408" s="37"/>
      <c r="D408" s="37"/>
      <c r="E408" s="36"/>
      <c r="F408" s="36"/>
      <c r="G408" s="36" t="str">
        <f t="shared" si="7"/>
        <v/>
      </c>
      <c r="H408" s="37"/>
    </row>
    <row r="409">
      <c r="A409" s="37"/>
      <c r="B409" s="37"/>
      <c r="C409" s="37"/>
      <c r="D409" s="37"/>
      <c r="E409" s="36"/>
      <c r="F409" s="36"/>
      <c r="G409" s="36" t="str">
        <f t="shared" si="7"/>
        <v/>
      </c>
      <c r="H409" s="37"/>
    </row>
    <row r="410">
      <c r="A410" s="37"/>
      <c r="B410" s="37"/>
      <c r="C410" s="37"/>
      <c r="D410" s="37"/>
      <c r="E410" s="36"/>
      <c r="F410" s="36"/>
      <c r="G410" s="36" t="str">
        <f t="shared" si="7"/>
        <v/>
      </c>
      <c r="H410" s="37"/>
    </row>
    <row r="411">
      <c r="A411" s="37"/>
      <c r="B411" s="37"/>
      <c r="C411" s="37"/>
      <c r="D411" s="37"/>
      <c r="E411" s="36"/>
      <c r="F411" s="36"/>
      <c r="G411" s="36" t="str">
        <f t="shared" si="7"/>
        <v/>
      </c>
      <c r="H411" s="37"/>
    </row>
    <row r="412">
      <c r="A412" s="37"/>
      <c r="B412" s="37"/>
      <c r="C412" s="37"/>
      <c r="D412" s="37"/>
      <c r="E412" s="36"/>
      <c r="F412" s="36"/>
      <c r="G412" s="36" t="str">
        <f t="shared" si="7"/>
        <v/>
      </c>
      <c r="H412" s="37"/>
    </row>
    <row r="413">
      <c r="A413" s="37"/>
      <c r="B413" s="37"/>
      <c r="C413" s="37"/>
      <c r="D413" s="37"/>
      <c r="E413" s="36"/>
      <c r="F413" s="36"/>
      <c r="G413" s="36" t="str">
        <f t="shared" si="7"/>
        <v/>
      </c>
      <c r="H413" s="37"/>
    </row>
    <row r="414">
      <c r="A414" s="37"/>
      <c r="B414" s="37"/>
      <c r="C414" s="37"/>
      <c r="D414" s="37"/>
      <c r="E414" s="36"/>
      <c r="F414" s="36"/>
      <c r="G414" s="36" t="str">
        <f t="shared" si="7"/>
        <v/>
      </c>
      <c r="H414" s="37"/>
    </row>
    <row r="415">
      <c r="A415" s="37"/>
      <c r="B415" s="37"/>
      <c r="C415" s="37"/>
      <c r="D415" s="37"/>
      <c r="E415" s="36"/>
      <c r="F415" s="36"/>
      <c r="G415" s="36" t="str">
        <f t="shared" si="7"/>
        <v/>
      </c>
      <c r="H415" s="37"/>
    </row>
    <row r="416">
      <c r="A416" s="37"/>
      <c r="B416" s="37"/>
      <c r="C416" s="37"/>
      <c r="D416" s="37"/>
      <c r="E416" s="36"/>
      <c r="F416" s="36"/>
      <c r="G416" s="36" t="str">
        <f t="shared" si="7"/>
        <v/>
      </c>
      <c r="H416" s="37"/>
    </row>
    <row r="417">
      <c r="A417" s="37"/>
      <c r="B417" s="37"/>
      <c r="C417" s="37"/>
      <c r="D417" s="37"/>
      <c r="E417" s="36"/>
      <c r="F417" s="36"/>
      <c r="G417" s="36" t="str">
        <f t="shared" si="7"/>
        <v/>
      </c>
      <c r="H417" s="37"/>
    </row>
    <row r="418">
      <c r="A418" s="37"/>
      <c r="B418" s="37"/>
      <c r="C418" s="37"/>
      <c r="D418" s="37"/>
      <c r="E418" s="36"/>
      <c r="F418" s="36"/>
      <c r="G418" s="36" t="str">
        <f t="shared" si="7"/>
        <v/>
      </c>
      <c r="H418" s="37"/>
    </row>
    <row r="419">
      <c r="A419" s="37"/>
      <c r="B419" s="37"/>
      <c r="C419" s="37"/>
      <c r="D419" s="37"/>
      <c r="E419" s="36"/>
      <c r="F419" s="36"/>
      <c r="G419" s="36" t="str">
        <f t="shared" si="7"/>
        <v/>
      </c>
      <c r="H419" s="37"/>
    </row>
    <row r="420">
      <c r="A420" s="37"/>
      <c r="B420" s="37"/>
      <c r="C420" s="37"/>
      <c r="D420" s="37"/>
      <c r="E420" s="36"/>
      <c r="F420" s="36"/>
      <c r="G420" s="36" t="str">
        <f t="shared" si="7"/>
        <v/>
      </c>
      <c r="H420" s="37"/>
    </row>
    <row r="421">
      <c r="A421" s="37"/>
      <c r="B421" s="37"/>
      <c r="C421" s="37"/>
      <c r="D421" s="37"/>
      <c r="E421" s="36"/>
      <c r="F421" s="36"/>
      <c r="G421" s="36" t="str">
        <f t="shared" si="7"/>
        <v/>
      </c>
      <c r="H421" s="37"/>
    </row>
    <row r="422">
      <c r="A422" s="37"/>
      <c r="B422" s="37"/>
      <c r="C422" s="37"/>
      <c r="D422" s="37"/>
      <c r="E422" s="36"/>
      <c r="F422" s="36"/>
      <c r="G422" s="36" t="str">
        <f t="shared" si="7"/>
        <v/>
      </c>
      <c r="H422" s="37"/>
    </row>
    <row r="423">
      <c r="A423" s="37"/>
      <c r="B423" s="37"/>
      <c r="C423" s="37"/>
      <c r="D423" s="37"/>
      <c r="E423" s="36"/>
      <c r="F423" s="36"/>
      <c r="G423" s="36" t="str">
        <f t="shared" si="7"/>
        <v/>
      </c>
      <c r="H423" s="37"/>
    </row>
    <row r="424">
      <c r="A424" s="37"/>
      <c r="B424" s="37"/>
      <c r="C424" s="37"/>
      <c r="D424" s="37"/>
      <c r="E424" s="36"/>
      <c r="F424" s="36"/>
      <c r="G424" s="36" t="str">
        <f t="shared" si="7"/>
        <v/>
      </c>
      <c r="H424" s="37"/>
    </row>
    <row r="425">
      <c r="A425" s="37"/>
      <c r="B425" s="37"/>
      <c r="C425" s="37"/>
      <c r="D425" s="37"/>
      <c r="E425" s="36"/>
      <c r="F425" s="36"/>
      <c r="G425" s="36" t="str">
        <f t="shared" si="7"/>
        <v/>
      </c>
      <c r="H425" s="37"/>
    </row>
    <row r="426">
      <c r="A426" s="37"/>
      <c r="B426" s="37"/>
      <c r="C426" s="37"/>
      <c r="D426" s="37"/>
      <c r="E426" s="36"/>
      <c r="F426" s="36"/>
      <c r="G426" s="36" t="str">
        <f t="shared" si="7"/>
        <v/>
      </c>
      <c r="H426" s="37"/>
    </row>
    <row r="427">
      <c r="A427" s="37"/>
      <c r="B427" s="37"/>
      <c r="C427" s="37"/>
      <c r="D427" s="37"/>
      <c r="E427" s="36"/>
      <c r="F427" s="36"/>
      <c r="G427" s="36" t="str">
        <f t="shared" si="7"/>
        <v/>
      </c>
      <c r="H427" s="37"/>
    </row>
    <row r="428">
      <c r="A428" s="37"/>
      <c r="B428" s="37"/>
      <c r="C428" s="37"/>
      <c r="D428" s="37"/>
      <c r="E428" s="36"/>
      <c r="F428" s="36"/>
      <c r="G428" s="36" t="str">
        <f t="shared" si="7"/>
        <v/>
      </c>
      <c r="H428" s="37"/>
    </row>
    <row r="429">
      <c r="A429" s="37"/>
      <c r="B429" s="37"/>
      <c r="C429" s="37"/>
      <c r="D429" s="37"/>
      <c r="E429" s="36"/>
      <c r="F429" s="36"/>
      <c r="G429" s="36" t="str">
        <f t="shared" si="7"/>
        <v/>
      </c>
      <c r="H429" s="37"/>
    </row>
    <row r="430">
      <c r="A430" s="37"/>
      <c r="B430" s="37"/>
      <c r="C430" s="37"/>
      <c r="D430" s="37"/>
      <c r="E430" s="36"/>
      <c r="F430" s="36"/>
      <c r="G430" s="36" t="str">
        <f t="shared" si="7"/>
        <v/>
      </c>
      <c r="H430" s="37"/>
    </row>
    <row r="431">
      <c r="A431" s="37"/>
      <c r="B431" s="37"/>
      <c r="C431" s="37"/>
      <c r="D431" s="37"/>
      <c r="E431" s="36"/>
      <c r="F431" s="36"/>
      <c r="G431" s="36" t="str">
        <f t="shared" si="7"/>
        <v/>
      </c>
      <c r="H431" s="37"/>
    </row>
    <row r="432">
      <c r="A432" s="37"/>
      <c r="B432" s="37"/>
      <c r="C432" s="37"/>
      <c r="D432" s="37"/>
      <c r="E432" s="36"/>
      <c r="F432" s="36"/>
      <c r="G432" s="36" t="str">
        <f t="shared" si="7"/>
        <v/>
      </c>
      <c r="H432" s="37"/>
    </row>
    <row r="433">
      <c r="A433" s="37"/>
      <c r="B433" s="37"/>
      <c r="C433" s="37"/>
      <c r="D433" s="37"/>
      <c r="E433" s="36"/>
      <c r="F433" s="36"/>
      <c r="G433" s="36" t="str">
        <f t="shared" si="7"/>
        <v/>
      </c>
      <c r="H433" s="37"/>
    </row>
    <row r="434">
      <c r="A434" s="37"/>
      <c r="B434" s="37"/>
      <c r="C434" s="37"/>
      <c r="D434" s="37"/>
      <c r="E434" s="36"/>
      <c r="F434" s="36"/>
      <c r="G434" s="36" t="str">
        <f t="shared" si="7"/>
        <v/>
      </c>
      <c r="H434" s="37"/>
    </row>
    <row r="435">
      <c r="A435" s="37"/>
      <c r="B435" s="37"/>
      <c r="C435" s="37"/>
      <c r="D435" s="37"/>
      <c r="E435" s="36"/>
      <c r="F435" s="36"/>
      <c r="G435" s="36" t="str">
        <f t="shared" si="7"/>
        <v/>
      </c>
      <c r="H435" s="37"/>
    </row>
    <row r="436">
      <c r="A436" s="37"/>
      <c r="B436" s="37"/>
      <c r="C436" s="37"/>
      <c r="D436" s="37"/>
      <c r="E436" s="36"/>
      <c r="F436" s="36"/>
      <c r="G436" s="36" t="str">
        <f t="shared" si="7"/>
        <v/>
      </c>
      <c r="H436" s="37"/>
    </row>
    <row r="437">
      <c r="A437" s="37"/>
      <c r="B437" s="37"/>
      <c r="C437" s="37"/>
      <c r="D437" s="37"/>
      <c r="E437" s="36"/>
      <c r="F437" s="36"/>
      <c r="G437" s="36" t="str">
        <f t="shared" si="7"/>
        <v/>
      </c>
      <c r="H437" s="37"/>
    </row>
    <row r="438">
      <c r="A438" s="37"/>
      <c r="B438" s="37"/>
      <c r="C438" s="37"/>
      <c r="D438" s="37"/>
      <c r="E438" s="36"/>
      <c r="F438" s="36"/>
      <c r="G438" s="36" t="str">
        <f t="shared" si="7"/>
        <v/>
      </c>
      <c r="H438" s="37"/>
    </row>
    <row r="439">
      <c r="A439" s="37"/>
      <c r="B439" s="37"/>
      <c r="C439" s="37"/>
      <c r="D439" s="37"/>
      <c r="E439" s="36"/>
      <c r="F439" s="36"/>
      <c r="G439" s="36" t="str">
        <f t="shared" si="7"/>
        <v/>
      </c>
      <c r="H439" s="37"/>
    </row>
    <row r="440">
      <c r="A440" s="37"/>
      <c r="B440" s="37"/>
      <c r="C440" s="37"/>
      <c r="D440" s="37"/>
      <c r="E440" s="36"/>
      <c r="F440" s="36"/>
      <c r="G440" s="36" t="str">
        <f t="shared" si="7"/>
        <v/>
      </c>
      <c r="H440" s="37"/>
    </row>
    <row r="441">
      <c r="A441" s="37"/>
      <c r="B441" s="37"/>
      <c r="C441" s="37"/>
      <c r="D441" s="37"/>
      <c r="E441" s="36"/>
      <c r="F441" s="36"/>
      <c r="G441" s="36" t="str">
        <f t="shared" si="7"/>
        <v/>
      </c>
      <c r="H441" s="37"/>
    </row>
    <row r="442">
      <c r="A442" s="37"/>
      <c r="B442" s="37"/>
      <c r="C442" s="37"/>
      <c r="D442" s="37"/>
      <c r="E442" s="36"/>
      <c r="F442" s="36"/>
      <c r="G442" s="36" t="str">
        <f t="shared" si="7"/>
        <v/>
      </c>
      <c r="H442" s="37"/>
    </row>
    <row r="443">
      <c r="A443" s="37"/>
      <c r="B443" s="37"/>
      <c r="C443" s="37"/>
      <c r="D443" s="37"/>
      <c r="E443" s="36"/>
      <c r="F443" s="36"/>
      <c r="G443" s="36" t="str">
        <f t="shared" si="7"/>
        <v/>
      </c>
      <c r="H443" s="37"/>
    </row>
    <row r="444">
      <c r="A444" s="37"/>
      <c r="B444" s="37"/>
      <c r="C444" s="37"/>
      <c r="D444" s="37"/>
      <c r="E444" s="36"/>
      <c r="F444" s="36"/>
      <c r="G444" s="36" t="str">
        <f t="shared" si="7"/>
        <v/>
      </c>
      <c r="H444" s="37"/>
    </row>
    <row r="445">
      <c r="A445" s="37"/>
      <c r="B445" s="37"/>
      <c r="C445" s="37"/>
      <c r="D445" s="37"/>
      <c r="E445" s="36"/>
      <c r="F445" s="36"/>
      <c r="G445" s="36" t="str">
        <f t="shared" si="7"/>
        <v/>
      </c>
      <c r="H445" s="37"/>
    </row>
    <row r="446">
      <c r="A446" s="37"/>
      <c r="B446" s="37"/>
      <c r="C446" s="37"/>
      <c r="D446" s="37"/>
      <c r="E446" s="36"/>
      <c r="F446" s="36"/>
      <c r="G446" s="36" t="str">
        <f t="shared" si="7"/>
        <v/>
      </c>
      <c r="H446" s="37"/>
    </row>
    <row r="447">
      <c r="A447" s="37"/>
      <c r="B447" s="37"/>
      <c r="C447" s="37"/>
      <c r="D447" s="37"/>
      <c r="E447" s="36"/>
      <c r="F447" s="36"/>
      <c r="G447" s="36" t="str">
        <f t="shared" si="7"/>
        <v/>
      </c>
      <c r="H447" s="37"/>
    </row>
    <row r="448">
      <c r="A448" s="37"/>
      <c r="B448" s="37"/>
      <c r="C448" s="37"/>
      <c r="D448" s="37"/>
      <c r="E448" s="36"/>
      <c r="F448" s="36"/>
      <c r="G448" s="36" t="str">
        <f t="shared" si="7"/>
        <v/>
      </c>
      <c r="H448" s="37"/>
    </row>
    <row r="449">
      <c r="A449" s="37"/>
      <c r="B449" s="37"/>
      <c r="C449" s="37"/>
      <c r="D449" s="37"/>
      <c r="E449" s="36"/>
      <c r="F449" s="36"/>
      <c r="G449" s="36" t="str">
        <f t="shared" si="7"/>
        <v/>
      </c>
      <c r="H449" s="37"/>
    </row>
    <row r="450">
      <c r="A450" s="37"/>
      <c r="B450" s="37"/>
      <c r="C450" s="37"/>
      <c r="D450" s="37"/>
      <c r="E450" s="36"/>
      <c r="F450" s="36"/>
      <c r="G450" s="36" t="str">
        <f t="shared" si="7"/>
        <v/>
      </c>
      <c r="H450" s="37"/>
    </row>
    <row r="451">
      <c r="A451" s="37"/>
      <c r="B451" s="37"/>
      <c r="C451" s="37"/>
      <c r="D451" s="37"/>
      <c r="E451" s="36"/>
      <c r="F451" s="36"/>
      <c r="G451" s="36" t="str">
        <f t="shared" si="7"/>
        <v/>
      </c>
      <c r="H451" s="37"/>
    </row>
    <row r="452">
      <c r="A452" s="37"/>
      <c r="B452" s="37"/>
      <c r="C452" s="37"/>
      <c r="D452" s="37"/>
      <c r="E452" s="36"/>
      <c r="F452" s="36"/>
      <c r="G452" s="36" t="str">
        <f t="shared" si="7"/>
        <v/>
      </c>
      <c r="H452" s="37"/>
    </row>
    <row r="453">
      <c r="A453" s="37"/>
      <c r="B453" s="37"/>
      <c r="C453" s="37"/>
      <c r="D453" s="37"/>
      <c r="E453" s="36"/>
      <c r="F453" s="36"/>
      <c r="G453" s="36" t="str">
        <f t="shared" si="7"/>
        <v/>
      </c>
      <c r="H453" s="37"/>
    </row>
    <row r="454">
      <c r="A454" s="37"/>
      <c r="B454" s="37"/>
      <c r="C454" s="37"/>
      <c r="D454" s="37"/>
      <c r="E454" s="36"/>
      <c r="F454" s="36"/>
      <c r="G454" s="36" t="str">
        <f t="shared" si="7"/>
        <v/>
      </c>
      <c r="H454" s="37"/>
    </row>
    <row r="455">
      <c r="A455" s="37"/>
      <c r="B455" s="37"/>
      <c r="C455" s="37"/>
      <c r="D455" s="37"/>
      <c r="E455" s="36"/>
      <c r="F455" s="36"/>
      <c r="G455" s="36" t="str">
        <f t="shared" si="7"/>
        <v/>
      </c>
      <c r="H455" s="37"/>
    </row>
    <row r="456">
      <c r="A456" s="37"/>
      <c r="B456" s="37"/>
      <c r="C456" s="37"/>
      <c r="D456" s="37"/>
      <c r="E456" s="36"/>
      <c r="F456" s="36"/>
      <c r="G456" s="36" t="str">
        <f t="shared" si="7"/>
        <v/>
      </c>
      <c r="H456" s="37"/>
    </row>
    <row r="457">
      <c r="A457" s="37"/>
      <c r="B457" s="37"/>
      <c r="C457" s="37"/>
      <c r="D457" s="37"/>
      <c r="E457" s="36"/>
      <c r="F457" s="36"/>
      <c r="G457" s="36" t="str">
        <f t="shared" si="7"/>
        <v/>
      </c>
      <c r="H457" s="37"/>
    </row>
    <row r="458">
      <c r="A458" s="37"/>
      <c r="B458" s="37"/>
      <c r="C458" s="37"/>
      <c r="D458" s="37"/>
      <c r="E458" s="36"/>
      <c r="F458" s="36"/>
      <c r="G458" s="36" t="str">
        <f t="shared" si="7"/>
        <v/>
      </c>
      <c r="H458" s="37"/>
    </row>
    <row r="459">
      <c r="A459" s="37"/>
      <c r="B459" s="37"/>
      <c r="C459" s="37"/>
      <c r="D459" s="37"/>
      <c r="E459" s="36"/>
      <c r="F459" s="36"/>
      <c r="G459" s="36" t="str">
        <f t="shared" si="7"/>
        <v/>
      </c>
      <c r="H459" s="37"/>
    </row>
    <row r="460">
      <c r="A460" s="37"/>
      <c r="B460" s="37"/>
      <c r="C460" s="37"/>
      <c r="D460" s="37"/>
      <c r="E460" s="36"/>
      <c r="F460" s="36"/>
      <c r="G460" s="36" t="str">
        <f t="shared" si="7"/>
        <v/>
      </c>
      <c r="H460" s="37"/>
    </row>
    <row r="461">
      <c r="A461" s="37"/>
      <c r="B461" s="37"/>
      <c r="C461" s="37"/>
      <c r="D461" s="37"/>
      <c r="E461" s="36"/>
      <c r="F461" s="36"/>
      <c r="G461" s="36" t="str">
        <f t="shared" si="7"/>
        <v/>
      </c>
      <c r="H461" s="37"/>
    </row>
    <row r="462">
      <c r="A462" s="37"/>
      <c r="B462" s="37"/>
      <c r="C462" s="37"/>
      <c r="D462" s="37"/>
      <c r="E462" s="36"/>
      <c r="F462" s="36"/>
      <c r="G462" s="36" t="str">
        <f t="shared" si="7"/>
        <v/>
      </c>
      <c r="H462" s="37"/>
    </row>
    <row r="463">
      <c r="A463" s="37"/>
      <c r="B463" s="37"/>
      <c r="C463" s="37"/>
      <c r="D463" s="37"/>
      <c r="E463" s="36"/>
      <c r="F463" s="36"/>
      <c r="G463" s="36" t="str">
        <f t="shared" si="7"/>
        <v/>
      </c>
      <c r="H463" s="37"/>
    </row>
    <row r="464">
      <c r="A464" s="37"/>
      <c r="B464" s="37"/>
      <c r="C464" s="37"/>
      <c r="D464" s="37"/>
      <c r="E464" s="36"/>
      <c r="F464" s="36"/>
      <c r="G464" s="36" t="str">
        <f t="shared" si="7"/>
        <v/>
      </c>
      <c r="H464" s="37"/>
    </row>
    <row r="465">
      <c r="A465" s="37"/>
      <c r="B465" s="37"/>
      <c r="C465" s="37"/>
      <c r="D465" s="37"/>
      <c r="E465" s="36"/>
      <c r="F465" s="36"/>
      <c r="G465" s="36" t="str">
        <f t="shared" si="7"/>
        <v/>
      </c>
      <c r="H465" s="37"/>
    </row>
    <row r="466">
      <c r="A466" s="37"/>
      <c r="B466" s="37"/>
      <c r="C466" s="37"/>
      <c r="D466" s="37"/>
      <c r="E466" s="36"/>
      <c r="F466" s="36"/>
      <c r="G466" s="36" t="str">
        <f t="shared" si="7"/>
        <v/>
      </c>
      <c r="H466" s="37"/>
    </row>
    <row r="467">
      <c r="A467" s="37"/>
      <c r="B467" s="37"/>
      <c r="C467" s="37"/>
      <c r="D467" s="37"/>
      <c r="E467" s="36"/>
      <c r="F467" s="36"/>
      <c r="G467" s="36" t="str">
        <f t="shared" si="7"/>
        <v/>
      </c>
      <c r="H467" s="37"/>
    </row>
    <row r="468">
      <c r="A468" s="37"/>
      <c r="B468" s="37"/>
      <c r="C468" s="37"/>
      <c r="D468" s="37"/>
      <c r="E468" s="36"/>
      <c r="F468" s="36"/>
      <c r="G468" s="36" t="str">
        <f t="shared" si="7"/>
        <v/>
      </c>
      <c r="H468" s="37"/>
    </row>
    <row r="469">
      <c r="A469" s="37"/>
      <c r="B469" s="37"/>
      <c r="C469" s="37"/>
      <c r="D469" s="37"/>
      <c r="E469" s="36"/>
      <c r="F469" s="36"/>
      <c r="G469" s="36" t="str">
        <f t="shared" si="7"/>
        <v/>
      </c>
      <c r="H469" s="37"/>
    </row>
    <row r="470">
      <c r="A470" s="37"/>
      <c r="B470" s="37"/>
      <c r="C470" s="37"/>
      <c r="D470" s="37"/>
      <c r="E470" s="36"/>
      <c r="F470" s="36"/>
      <c r="G470" s="36" t="str">
        <f t="shared" si="7"/>
        <v/>
      </c>
      <c r="H470" s="37"/>
    </row>
    <row r="471">
      <c r="A471" s="37"/>
      <c r="B471" s="37"/>
      <c r="C471" s="37"/>
      <c r="D471" s="37"/>
      <c r="E471" s="36"/>
      <c r="F471" s="36"/>
      <c r="G471" s="36" t="str">
        <f t="shared" si="7"/>
        <v/>
      </c>
      <c r="H471" s="37"/>
    </row>
    <row r="472">
      <c r="A472" s="37"/>
      <c r="B472" s="37"/>
      <c r="C472" s="37"/>
      <c r="D472" s="37"/>
      <c r="E472" s="36"/>
      <c r="F472" s="36"/>
      <c r="G472" s="36" t="str">
        <f t="shared" si="7"/>
        <v/>
      </c>
      <c r="H472" s="37"/>
    </row>
    <row r="473">
      <c r="A473" s="37"/>
      <c r="B473" s="37"/>
      <c r="C473" s="37"/>
      <c r="D473" s="37"/>
      <c r="E473" s="36"/>
      <c r="F473" s="36"/>
      <c r="G473" s="36" t="str">
        <f t="shared" si="7"/>
        <v/>
      </c>
      <c r="H473" s="37"/>
    </row>
    <row r="474">
      <c r="A474" s="37"/>
      <c r="B474" s="37"/>
      <c r="C474" s="37"/>
      <c r="D474" s="37"/>
      <c r="E474" s="36"/>
      <c r="F474" s="36"/>
      <c r="G474" s="36" t="str">
        <f t="shared" si="7"/>
        <v/>
      </c>
      <c r="H474" s="37"/>
    </row>
    <row r="475">
      <c r="A475" s="37"/>
      <c r="B475" s="37"/>
      <c r="C475" s="37"/>
      <c r="D475" s="37"/>
      <c r="E475" s="36"/>
      <c r="F475" s="36"/>
      <c r="G475" s="36" t="str">
        <f t="shared" si="7"/>
        <v/>
      </c>
      <c r="H475" s="37"/>
    </row>
    <row r="476">
      <c r="A476" s="37"/>
      <c r="B476" s="37"/>
      <c r="C476" s="37"/>
      <c r="D476" s="37"/>
      <c r="E476" s="36"/>
      <c r="F476" s="36"/>
      <c r="G476" s="36" t="str">
        <f t="shared" si="7"/>
        <v/>
      </c>
      <c r="H476" s="37"/>
    </row>
    <row r="477">
      <c r="A477" s="37"/>
      <c r="B477" s="37"/>
      <c r="C477" s="37"/>
      <c r="D477" s="37"/>
      <c r="E477" s="36"/>
      <c r="F477" s="36"/>
      <c r="G477" s="36" t="str">
        <f t="shared" si="7"/>
        <v/>
      </c>
      <c r="H477" s="37"/>
    </row>
    <row r="478">
      <c r="A478" s="37"/>
      <c r="B478" s="37"/>
      <c r="C478" s="37"/>
      <c r="D478" s="37"/>
      <c r="E478" s="36"/>
      <c r="F478" s="36"/>
      <c r="G478" s="36" t="str">
        <f t="shared" si="7"/>
        <v/>
      </c>
      <c r="H478" s="37"/>
    </row>
    <row r="479">
      <c r="A479" s="37"/>
      <c r="B479" s="37"/>
      <c r="C479" s="37"/>
      <c r="D479" s="37"/>
      <c r="E479" s="36"/>
      <c r="F479" s="36"/>
      <c r="G479" s="36" t="str">
        <f t="shared" si="7"/>
        <v/>
      </c>
      <c r="H479" s="37"/>
    </row>
    <row r="480">
      <c r="A480" s="37"/>
      <c r="B480" s="37"/>
      <c r="C480" s="37"/>
      <c r="D480" s="37"/>
      <c r="E480" s="36"/>
      <c r="F480" s="36"/>
      <c r="G480" s="36" t="str">
        <f t="shared" si="7"/>
        <v/>
      </c>
      <c r="H480" s="37"/>
    </row>
    <row r="481">
      <c r="A481" s="37"/>
      <c r="B481" s="37"/>
      <c r="C481" s="37"/>
      <c r="D481" s="37"/>
      <c r="E481" s="36"/>
      <c r="F481" s="36"/>
      <c r="G481" s="36" t="str">
        <f t="shared" si="7"/>
        <v/>
      </c>
      <c r="H481" s="37"/>
    </row>
    <row r="482">
      <c r="A482" s="37"/>
      <c r="B482" s="37"/>
      <c r="C482" s="37"/>
      <c r="D482" s="37"/>
      <c r="E482" s="36"/>
      <c r="F482" s="36"/>
      <c r="G482" s="36" t="str">
        <f t="shared" si="7"/>
        <v/>
      </c>
      <c r="H482" s="37"/>
    </row>
    <row r="483">
      <c r="A483" s="37"/>
      <c r="B483" s="37"/>
      <c r="C483" s="37"/>
      <c r="D483" s="37"/>
      <c r="E483" s="36"/>
      <c r="F483" s="36"/>
      <c r="G483" s="36" t="str">
        <f t="shared" si="7"/>
        <v/>
      </c>
      <c r="H483" s="37"/>
    </row>
    <row r="484">
      <c r="A484" s="37"/>
      <c r="B484" s="37"/>
      <c r="C484" s="37"/>
      <c r="D484" s="37"/>
      <c r="E484" s="36"/>
      <c r="F484" s="36"/>
      <c r="G484" s="36" t="str">
        <f t="shared" si="7"/>
        <v/>
      </c>
      <c r="H484" s="37"/>
    </row>
    <row r="485">
      <c r="A485" s="37"/>
      <c r="B485" s="37"/>
      <c r="C485" s="37"/>
      <c r="D485" s="37"/>
      <c r="E485" s="36"/>
      <c r="F485" s="36"/>
      <c r="G485" s="36" t="str">
        <f t="shared" si="7"/>
        <v/>
      </c>
      <c r="H485" s="37"/>
    </row>
    <row r="486">
      <c r="A486" s="37"/>
      <c r="B486" s="37"/>
      <c r="C486" s="37"/>
      <c r="D486" s="37"/>
      <c r="E486" s="36"/>
      <c r="F486" s="36"/>
      <c r="G486" s="36" t="str">
        <f t="shared" si="7"/>
        <v/>
      </c>
      <c r="H486" s="37"/>
    </row>
    <row r="487">
      <c r="A487" s="37"/>
      <c r="B487" s="37"/>
      <c r="C487" s="37"/>
      <c r="D487" s="37"/>
      <c r="E487" s="36"/>
      <c r="F487" s="36"/>
      <c r="G487" s="36" t="str">
        <f t="shared" si="7"/>
        <v/>
      </c>
      <c r="H487" s="37"/>
    </row>
    <row r="488">
      <c r="A488" s="37"/>
      <c r="B488" s="37"/>
      <c r="C488" s="37"/>
      <c r="D488" s="37"/>
      <c r="E488" s="36"/>
      <c r="F488" s="36"/>
      <c r="G488" s="36" t="str">
        <f t="shared" si="7"/>
        <v/>
      </c>
      <c r="H488" s="37"/>
    </row>
    <row r="489">
      <c r="A489" s="37"/>
      <c r="B489" s="37"/>
      <c r="C489" s="37"/>
      <c r="D489" s="37"/>
      <c r="E489" s="36"/>
      <c r="F489" s="36"/>
      <c r="G489" s="36" t="str">
        <f t="shared" si="7"/>
        <v/>
      </c>
      <c r="H489" s="37"/>
    </row>
    <row r="490">
      <c r="A490" s="37"/>
      <c r="B490" s="37"/>
      <c r="C490" s="37"/>
      <c r="D490" s="37"/>
      <c r="E490" s="36"/>
      <c r="F490" s="36"/>
      <c r="G490" s="36" t="str">
        <f t="shared" si="7"/>
        <v/>
      </c>
      <c r="H490" s="37"/>
    </row>
    <row r="491">
      <c r="A491" s="37"/>
      <c r="B491" s="37"/>
      <c r="C491" s="37"/>
      <c r="D491" s="37"/>
      <c r="E491" s="36"/>
      <c r="F491" s="36"/>
      <c r="G491" s="36" t="str">
        <f t="shared" si="7"/>
        <v/>
      </c>
      <c r="H491" s="37"/>
    </row>
    <row r="492">
      <c r="A492" s="37"/>
      <c r="B492" s="37"/>
      <c r="C492" s="37"/>
      <c r="D492" s="37"/>
      <c r="E492" s="36"/>
      <c r="F492" s="36"/>
      <c r="G492" s="36" t="str">
        <f t="shared" si="7"/>
        <v/>
      </c>
      <c r="H492" s="37"/>
    </row>
    <row r="493">
      <c r="A493" s="37"/>
      <c r="B493" s="37"/>
      <c r="C493" s="37"/>
      <c r="D493" s="37"/>
      <c r="E493" s="36"/>
      <c r="F493" s="36"/>
      <c r="G493" s="36" t="str">
        <f t="shared" si="7"/>
        <v/>
      </c>
      <c r="H493" s="37"/>
    </row>
    <row r="494">
      <c r="A494" s="37"/>
      <c r="B494" s="37"/>
      <c r="C494" s="37"/>
      <c r="D494" s="37"/>
      <c r="E494" s="36"/>
      <c r="F494" s="36"/>
      <c r="G494" s="36" t="str">
        <f t="shared" si="7"/>
        <v/>
      </c>
      <c r="H494" s="37"/>
    </row>
    <row r="495">
      <c r="A495" s="37"/>
      <c r="B495" s="37"/>
      <c r="C495" s="37"/>
      <c r="D495" s="37"/>
      <c r="E495" s="36"/>
      <c r="F495" s="36"/>
      <c r="G495" s="36" t="str">
        <f t="shared" si="7"/>
        <v/>
      </c>
      <c r="H495" s="37"/>
    </row>
    <row r="496">
      <c r="A496" s="37"/>
      <c r="B496" s="37"/>
      <c r="C496" s="37"/>
      <c r="D496" s="37"/>
      <c r="E496" s="36"/>
      <c r="F496" s="36"/>
      <c r="G496" s="36" t="str">
        <f t="shared" si="7"/>
        <v/>
      </c>
      <c r="H496" s="37"/>
    </row>
    <row r="497">
      <c r="A497" s="37"/>
      <c r="B497" s="37"/>
      <c r="C497" s="37"/>
      <c r="D497" s="37"/>
      <c r="E497" s="36"/>
      <c r="F497" s="36"/>
      <c r="G497" s="36" t="str">
        <f t="shared" si="7"/>
        <v/>
      </c>
      <c r="H497" s="37"/>
    </row>
    <row r="498">
      <c r="A498" s="37"/>
      <c r="B498" s="37"/>
      <c r="C498" s="37"/>
      <c r="D498" s="37"/>
      <c r="E498" s="36"/>
      <c r="F498" s="36"/>
      <c r="G498" s="36" t="str">
        <f t="shared" si="7"/>
        <v/>
      </c>
      <c r="H498" s="37"/>
    </row>
    <row r="499">
      <c r="A499" s="37"/>
      <c r="B499" s="37"/>
      <c r="C499" s="37"/>
      <c r="D499" s="37"/>
      <c r="E499" s="36"/>
      <c r="F499" s="36"/>
      <c r="G499" s="36" t="str">
        <f t="shared" si="7"/>
        <v/>
      </c>
      <c r="H499" s="37"/>
    </row>
    <row r="500">
      <c r="A500" s="37"/>
      <c r="B500" s="37"/>
      <c r="C500" s="37"/>
      <c r="D500" s="37"/>
      <c r="E500" s="36"/>
      <c r="F500" s="36"/>
      <c r="G500" s="36" t="str">
        <f t="shared" si="7"/>
        <v/>
      </c>
      <c r="H500" s="37"/>
    </row>
    <row r="501">
      <c r="A501" s="37"/>
      <c r="B501" s="37"/>
      <c r="C501" s="37"/>
      <c r="D501" s="37"/>
      <c r="E501" s="36"/>
      <c r="F501" s="36"/>
      <c r="G501" s="36" t="str">
        <f t="shared" si="7"/>
        <v/>
      </c>
      <c r="H501" s="37"/>
    </row>
    <row r="502">
      <c r="A502" s="37"/>
      <c r="B502" s="37"/>
      <c r="C502" s="37"/>
      <c r="D502" s="37"/>
      <c r="E502" s="36"/>
      <c r="F502" s="36"/>
      <c r="G502" s="36" t="str">
        <f t="shared" si="7"/>
        <v/>
      </c>
      <c r="H502" s="37"/>
    </row>
    <row r="503">
      <c r="A503" s="37"/>
      <c r="B503" s="37"/>
      <c r="C503" s="37"/>
      <c r="D503" s="37"/>
      <c r="E503" s="36"/>
      <c r="F503" s="36"/>
      <c r="G503" s="36" t="str">
        <f t="shared" si="7"/>
        <v/>
      </c>
      <c r="H503" s="37"/>
    </row>
    <row r="504">
      <c r="A504" s="37"/>
      <c r="B504" s="37"/>
      <c r="C504" s="37"/>
      <c r="D504" s="37"/>
      <c r="E504" s="36"/>
      <c r="F504" s="36"/>
      <c r="G504" s="36"/>
      <c r="H504" s="37"/>
    </row>
    <row r="505">
      <c r="A505" s="25" t="s">
        <v>1018</v>
      </c>
      <c r="B505" s="64"/>
      <c r="C505" s="64"/>
      <c r="D505" s="64"/>
      <c r="E505" s="59">
        <f t="shared" ref="E505:G505" si="8">SUM(E21:E504)</f>
        <v>1589925.6</v>
      </c>
      <c r="F505" s="59">
        <f t="shared" si="8"/>
        <v>0</v>
      </c>
      <c r="G505" s="59">
        <f t="shared" si="8"/>
        <v>1589925.6</v>
      </c>
      <c r="H505" s="64"/>
    </row>
    <row r="508">
      <c r="D508" s="5"/>
    </row>
  </sheetData>
  <mergeCells count="3">
    <mergeCell ref="A1:H1"/>
    <mergeCell ref="A3:D3"/>
    <mergeCell ref="A19:H19"/>
  </mergeCells>
  <dataValidations>
    <dataValidation type="list" allowBlank="1" sqref="C505">
      <formula1>Settings!$E$15:$E$35</formula1>
    </dataValidation>
    <dataValidation type="list" allowBlank="1" sqref="C20:C502">
      <formula1>Settings!$E$15:$E$38</formula1>
    </dataValidation>
    <dataValidation type="list" allowBlank="1" sqref="D20:D502">
      <formula1>Settings!$C$15:$C$30</formula1>
    </dataValidation>
    <dataValidation type="list" allowBlank="1" sqref="D505 D508">
      <formula1>Settings!$C$15:$C$32</formula1>
    </dataValidation>
    <dataValidation type="list" allowBlank="1" sqref="D503:D504">
      <formula1>Settings!$C$15:$C$31</formula1>
    </dataValidation>
    <dataValidation type="list" allowBlank="1" sqref="C503:C504">
      <formula1>Settings!$E$15:$E$36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2064</v>
      </c>
    </row>
    <row r="3">
      <c r="A3" s="33" t="s">
        <v>95</v>
      </c>
      <c r="B3" s="33" t="s">
        <v>23</v>
      </c>
      <c r="C3" s="33" t="s">
        <v>24</v>
      </c>
      <c r="D3" s="33" t="s">
        <v>25</v>
      </c>
      <c r="E3" s="33" t="s">
        <v>26</v>
      </c>
      <c r="F3" s="33" t="s">
        <v>27</v>
      </c>
      <c r="G3" s="33" t="s">
        <v>96</v>
      </c>
    </row>
    <row r="4">
      <c r="A4" s="34" t="s">
        <v>72</v>
      </c>
      <c r="B4" s="35">
        <v>657344.0499999999</v>
      </c>
      <c r="C4" s="66">
        <v>525105.91</v>
      </c>
      <c r="D4" s="66">
        <v>2564.75</v>
      </c>
      <c r="E4" s="66">
        <v>239137.37</v>
      </c>
      <c r="F4" s="36">
        <f t="shared" ref="F4:F7" si="1">B4+C4-D4-E4</f>
        <v>940747.84</v>
      </c>
      <c r="G4" s="37"/>
    </row>
    <row r="5">
      <c r="A5" s="34" t="s">
        <v>74</v>
      </c>
      <c r="B5" s="35">
        <v>423191.11</v>
      </c>
      <c r="C5" s="66">
        <v>202402.29</v>
      </c>
      <c r="D5" s="66">
        <v>0.0</v>
      </c>
      <c r="E5" s="66">
        <v>0.0</v>
      </c>
      <c r="F5" s="36">
        <f t="shared" si="1"/>
        <v>625593.4</v>
      </c>
      <c r="G5" s="37"/>
    </row>
    <row r="6">
      <c r="A6" s="34" t="s">
        <v>76</v>
      </c>
      <c r="B6" s="35">
        <v>653579.5800000001</v>
      </c>
      <c r="C6" s="66">
        <v>369640.72</v>
      </c>
      <c r="D6" s="66">
        <v>373.75</v>
      </c>
      <c r="E6" s="67">
        <v>900000.0</v>
      </c>
      <c r="F6" s="36">
        <f t="shared" si="1"/>
        <v>122846.55</v>
      </c>
      <c r="G6" s="37"/>
    </row>
    <row r="7">
      <c r="A7" s="34" t="s">
        <v>97</v>
      </c>
      <c r="B7" s="35">
        <v>524310.0299999999</v>
      </c>
      <c r="C7" s="66">
        <v>1481307.0</v>
      </c>
      <c r="D7" s="66">
        <v>0.0</v>
      </c>
      <c r="E7" s="66">
        <v>1975557.4</v>
      </c>
      <c r="F7" s="36">
        <f t="shared" si="1"/>
        <v>30059.63</v>
      </c>
      <c r="G7" s="37"/>
    </row>
    <row r="8">
      <c r="A8" s="37"/>
      <c r="B8" s="36"/>
      <c r="C8" s="79"/>
      <c r="D8" s="79"/>
      <c r="E8" s="79"/>
      <c r="F8" s="36"/>
      <c r="G8" s="37"/>
    </row>
    <row r="9">
      <c r="A9" s="38" t="s">
        <v>98</v>
      </c>
      <c r="B9" s="39">
        <f t="shared" ref="B9:F9" si="2">SUM(B4:B7)</f>
        <v>2258424.77</v>
      </c>
      <c r="C9" s="39">
        <f t="shared" si="2"/>
        <v>2578455.92</v>
      </c>
      <c r="D9" s="39">
        <f t="shared" si="2"/>
        <v>2938.5</v>
      </c>
      <c r="E9" s="39">
        <f t="shared" si="2"/>
        <v>3114694.77</v>
      </c>
      <c r="F9" s="39">
        <f t="shared" si="2"/>
        <v>1719247.42</v>
      </c>
      <c r="G9" s="40"/>
    </row>
    <row r="10">
      <c r="B10" s="6"/>
      <c r="C10" s="6"/>
      <c r="D10" s="6"/>
      <c r="E10" s="6"/>
      <c r="F10" s="6"/>
    </row>
    <row r="11">
      <c r="A11" s="28" t="s">
        <v>99</v>
      </c>
    </row>
    <row r="12">
      <c r="A12" s="41" t="s">
        <v>95</v>
      </c>
      <c r="B12" s="42" t="s">
        <v>100</v>
      </c>
      <c r="C12" s="42" t="s">
        <v>101</v>
      </c>
      <c r="D12" s="42" t="s">
        <v>102</v>
      </c>
      <c r="E12" s="42" t="s">
        <v>103</v>
      </c>
      <c r="F12" s="42" t="s">
        <v>104</v>
      </c>
      <c r="G12" s="41" t="s">
        <v>96</v>
      </c>
    </row>
    <row r="13">
      <c r="A13" s="34" t="s">
        <v>78</v>
      </c>
      <c r="B13" s="35">
        <v>605.36</v>
      </c>
      <c r="C13" s="66">
        <v>434612.1</v>
      </c>
      <c r="D13" s="66">
        <v>0.0</v>
      </c>
      <c r="E13" s="66">
        <v>434302.82</v>
      </c>
      <c r="F13" s="36">
        <f>B13+C13-D13-E13</f>
        <v>914.64</v>
      </c>
      <c r="G13" s="37"/>
    </row>
    <row r="14">
      <c r="A14" s="37"/>
      <c r="B14" s="36"/>
      <c r="C14" s="36"/>
      <c r="D14" s="36"/>
      <c r="E14" s="36"/>
      <c r="F14" s="36"/>
      <c r="G14" s="37"/>
    </row>
    <row r="15">
      <c r="A15" s="38" t="s">
        <v>105</v>
      </c>
      <c r="B15" s="39">
        <f t="shared" ref="B15:F15" si="3">SUM(B13)</f>
        <v>605.36</v>
      </c>
      <c r="C15" s="39">
        <f t="shared" si="3"/>
        <v>434612.1</v>
      </c>
      <c r="D15" s="39">
        <f t="shared" si="3"/>
        <v>0</v>
      </c>
      <c r="E15" s="39">
        <f t="shared" si="3"/>
        <v>434302.82</v>
      </c>
      <c r="F15" s="39">
        <f t="shared" si="3"/>
        <v>914.64</v>
      </c>
      <c r="G15" s="40"/>
    </row>
    <row r="16">
      <c r="B16" s="6"/>
      <c r="C16" s="6"/>
      <c r="D16" s="6"/>
      <c r="E16" s="6"/>
      <c r="F16" s="6"/>
    </row>
    <row r="17">
      <c r="A17" s="43" t="s">
        <v>106</v>
      </c>
      <c r="B17" s="44">
        <f t="shared" ref="B17:F17" si="4">B9+B15*3.75</f>
        <v>2260694.87</v>
      </c>
      <c r="C17" s="44">
        <f t="shared" si="4"/>
        <v>4208251.295</v>
      </c>
      <c r="D17" s="44">
        <f t="shared" si="4"/>
        <v>2938.5</v>
      </c>
      <c r="E17" s="44">
        <f t="shared" si="4"/>
        <v>4743330.345</v>
      </c>
      <c r="F17" s="44">
        <f t="shared" si="4"/>
        <v>1722677.32</v>
      </c>
      <c r="G17" s="45"/>
    </row>
    <row r="19">
      <c r="A19" s="46" t="s">
        <v>107</v>
      </c>
      <c r="B19" s="47"/>
      <c r="C19" s="48"/>
    </row>
    <row r="20">
      <c r="A20" s="34" t="s">
        <v>108</v>
      </c>
      <c r="B20" s="37"/>
      <c r="C20" s="49">
        <f>F17</f>
        <v>1722677.32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81.38"/>
    <col customWidth="1" min="4" max="4" width="18.88"/>
    <col customWidth="1" min="5" max="7" width="15.13"/>
  </cols>
  <sheetData>
    <row r="1">
      <c r="A1" s="22" t="s">
        <v>2065</v>
      </c>
    </row>
    <row r="3">
      <c r="A3" s="50" t="s">
        <v>110</v>
      </c>
      <c r="B3" s="51">
        <f>'Advances_FEB-2025'!E3</f>
        <v>489038.28</v>
      </c>
      <c r="D3" s="50" t="s">
        <v>111</v>
      </c>
      <c r="E3" s="52">
        <f>164800.84+SUM(E7:E101)</f>
        <v>491564.28</v>
      </c>
    </row>
    <row r="5">
      <c r="A5" s="7" t="s">
        <v>112</v>
      </c>
    </row>
    <row r="6">
      <c r="A6" s="41" t="s">
        <v>113</v>
      </c>
      <c r="B6" s="41" t="s">
        <v>114</v>
      </c>
      <c r="C6" s="41" t="s">
        <v>115</v>
      </c>
      <c r="D6" s="41" t="s">
        <v>116</v>
      </c>
      <c r="E6" s="41" t="s">
        <v>117</v>
      </c>
      <c r="F6" s="41" t="s">
        <v>118</v>
      </c>
      <c r="G6" s="41" t="s">
        <v>119</v>
      </c>
    </row>
    <row r="7">
      <c r="A7" s="80">
        <v>45447.0</v>
      </c>
      <c r="B7" s="60" t="s">
        <v>1679</v>
      </c>
      <c r="C7" s="60" t="s">
        <v>1680</v>
      </c>
      <c r="D7" s="37"/>
      <c r="E7" s="68">
        <v>3000.0</v>
      </c>
      <c r="F7" s="36"/>
      <c r="G7" s="36">
        <f>IF(E7="","",B$3+IF(H7="C/F",0,E7)-F7)</f>
        <v>489038.28</v>
      </c>
      <c r="H7" s="5" t="str">
        <f>IF(B7="","",IF(IFERROR(MATCH(B7,'Advances_FEB-2025'!B:B,0),0)&gt;0,"C/F","NEW"))</f>
        <v>C/F</v>
      </c>
    </row>
    <row r="8">
      <c r="A8" s="60" t="s">
        <v>1022</v>
      </c>
      <c r="B8" s="60" t="s">
        <v>1681</v>
      </c>
      <c r="C8" s="60" t="s">
        <v>1682</v>
      </c>
      <c r="D8" s="37"/>
      <c r="E8" s="68">
        <v>8625.0</v>
      </c>
      <c r="F8" s="36"/>
      <c r="G8" s="36">
        <f t="shared" ref="G8:G100" si="1">IF(E8="","",G7+IF(H8="C/F",0,E8)-F8)</f>
        <v>489038.28</v>
      </c>
      <c r="H8" s="5" t="str">
        <f>IF(B8="","",IF(IFERROR(MATCH(B8,'Advances_FEB-2025'!B:B,0),0)&gt;0,"C/F","NEW"))</f>
        <v>C/F</v>
      </c>
    </row>
    <row r="9">
      <c r="A9" s="60" t="s">
        <v>1022</v>
      </c>
      <c r="B9" s="60" t="s">
        <v>1023</v>
      </c>
      <c r="C9" s="60" t="s">
        <v>1024</v>
      </c>
      <c r="D9" s="37"/>
      <c r="E9" s="68">
        <v>1500.0</v>
      </c>
      <c r="F9" s="36"/>
      <c r="G9" s="36">
        <f t="shared" si="1"/>
        <v>489038.28</v>
      </c>
      <c r="H9" s="5" t="str">
        <f>IF(B9="","",IF(IFERROR(MATCH(B9,'Advances_FEB-2025'!B:B,0),0)&gt;0,"C/F","NEW"))</f>
        <v>C/F</v>
      </c>
    </row>
    <row r="10">
      <c r="A10" s="60" t="s">
        <v>1683</v>
      </c>
      <c r="B10" s="60" t="s">
        <v>1684</v>
      </c>
      <c r="C10" s="60" t="s">
        <v>1685</v>
      </c>
      <c r="D10" s="37"/>
      <c r="E10" s="68">
        <v>20.0</v>
      </c>
      <c r="F10" s="36"/>
      <c r="G10" s="36">
        <f t="shared" si="1"/>
        <v>489038.28</v>
      </c>
      <c r="H10" s="5" t="str">
        <f>IF(B10="","",IF(IFERROR(MATCH(B10,'Advances_FEB-2025'!B:B,0),0)&gt;0,"C/F","NEW"))</f>
        <v>C/F</v>
      </c>
    </row>
    <row r="11">
      <c r="A11" s="60" t="s">
        <v>1025</v>
      </c>
      <c r="B11" s="60" t="s">
        <v>1026</v>
      </c>
      <c r="C11" s="60" t="s">
        <v>1027</v>
      </c>
      <c r="D11" s="37"/>
      <c r="E11" s="68">
        <v>350.0</v>
      </c>
      <c r="F11" s="36"/>
      <c r="G11" s="36">
        <f t="shared" si="1"/>
        <v>489038.28</v>
      </c>
      <c r="H11" s="5" t="str">
        <f>IF(B11="","",IF(IFERROR(MATCH(B11,'Advances_FEB-2025'!B:B,0),0)&gt;0,"C/F","NEW"))</f>
        <v>C/F</v>
      </c>
    </row>
    <row r="12">
      <c r="A12" s="60" t="s">
        <v>1025</v>
      </c>
      <c r="B12" s="60" t="s">
        <v>1026</v>
      </c>
      <c r="C12" s="60" t="s">
        <v>1028</v>
      </c>
      <c r="D12" s="37"/>
      <c r="E12" s="68">
        <v>143.48</v>
      </c>
      <c r="F12" s="36"/>
      <c r="G12" s="36">
        <f t="shared" si="1"/>
        <v>489038.28</v>
      </c>
      <c r="H12" s="5" t="str">
        <f>IF(B12="","",IF(IFERROR(MATCH(B12,'Advances_FEB-2025'!B:B,0),0)&gt;0,"C/F","NEW"))</f>
        <v>C/F</v>
      </c>
    </row>
    <row r="13">
      <c r="A13" s="60" t="s">
        <v>1025</v>
      </c>
      <c r="B13" s="60" t="s">
        <v>1026</v>
      </c>
      <c r="C13" s="60" t="s">
        <v>1028</v>
      </c>
      <c r="D13" s="37"/>
      <c r="E13" s="68">
        <v>600.0</v>
      </c>
      <c r="F13" s="36"/>
      <c r="G13" s="36">
        <f t="shared" si="1"/>
        <v>489038.28</v>
      </c>
      <c r="H13" s="5" t="str">
        <f>IF(B13="","",IF(IFERROR(MATCH(B13,'Advances_FEB-2025'!B:B,0),0)&gt;0,"C/F","NEW"))</f>
        <v>C/F</v>
      </c>
    </row>
    <row r="14">
      <c r="A14" s="69">
        <v>45602.0</v>
      </c>
      <c r="B14" s="60" t="s">
        <v>1686</v>
      </c>
      <c r="C14" s="60" t="s">
        <v>1687</v>
      </c>
      <c r="D14" s="37"/>
      <c r="E14" s="68">
        <v>15.0</v>
      </c>
      <c r="F14" s="36"/>
      <c r="G14" s="36">
        <f t="shared" si="1"/>
        <v>489038.28</v>
      </c>
      <c r="H14" s="5" t="str">
        <f>IF(B14="","",IF(IFERROR(MATCH(B14,'Advances_FEB-2025'!B:B,0),0)&gt;0,"C/F","NEW"))</f>
        <v>C/F</v>
      </c>
    </row>
    <row r="15">
      <c r="A15" s="60" t="s">
        <v>1029</v>
      </c>
      <c r="B15" s="60" t="s">
        <v>1688</v>
      </c>
      <c r="C15" s="60" t="s">
        <v>1689</v>
      </c>
      <c r="D15" s="37"/>
      <c r="E15" s="68">
        <v>2730.0</v>
      </c>
      <c r="F15" s="36"/>
      <c r="G15" s="36">
        <f t="shared" si="1"/>
        <v>489038.28</v>
      </c>
      <c r="H15" s="5" t="str">
        <f>IF(B15="","",IF(IFERROR(MATCH(B15,'Advances_FEB-2025'!B:B,0),0)&gt;0,"C/F","NEW"))</f>
        <v>C/F</v>
      </c>
    </row>
    <row r="16">
      <c r="A16" s="60" t="s">
        <v>1029</v>
      </c>
      <c r="B16" s="60" t="s">
        <v>1030</v>
      </c>
      <c r="C16" s="60" t="s">
        <v>1031</v>
      </c>
      <c r="D16" s="37"/>
      <c r="E16" s="68">
        <v>34000.0</v>
      </c>
      <c r="F16" s="36"/>
      <c r="G16" s="36">
        <f t="shared" si="1"/>
        <v>489038.28</v>
      </c>
      <c r="H16" s="5" t="str">
        <f>IF(B16="","",IF(IFERROR(MATCH(B16,'Advances_FEB-2025'!B:B,0),0)&gt;0,"C/F","NEW"))</f>
        <v>C/F</v>
      </c>
    </row>
    <row r="17">
      <c r="A17" s="60" t="s">
        <v>1032</v>
      </c>
      <c r="B17" s="60" t="s">
        <v>1033</v>
      </c>
      <c r="C17" s="60" t="s">
        <v>1034</v>
      </c>
      <c r="D17" s="37"/>
      <c r="E17" s="68">
        <v>500.0</v>
      </c>
      <c r="F17" s="36"/>
      <c r="G17" s="36">
        <f t="shared" si="1"/>
        <v>489038.28</v>
      </c>
      <c r="H17" s="5" t="str">
        <f>IF(B17="","",IF(IFERROR(MATCH(B17,'Advances_FEB-2025'!B:B,0),0)&gt;0,"C/F","NEW"))</f>
        <v>C/F</v>
      </c>
    </row>
    <row r="18">
      <c r="A18" s="69">
        <v>45298.0</v>
      </c>
      <c r="B18" s="60" t="s">
        <v>1035</v>
      </c>
      <c r="C18" s="60" t="s">
        <v>1036</v>
      </c>
      <c r="D18" s="37"/>
      <c r="E18" s="68">
        <v>4000.0</v>
      </c>
      <c r="F18" s="36"/>
      <c r="G18" s="36">
        <f t="shared" si="1"/>
        <v>489038.28</v>
      </c>
      <c r="H18" s="5" t="str">
        <f>IF(B18="","",IF(IFERROR(MATCH(B18,'Advances_FEB-2025'!B:B,0),0)&gt;0,"C/F","NEW"))</f>
        <v>C/F</v>
      </c>
    </row>
    <row r="19">
      <c r="A19" s="69">
        <v>45358.0</v>
      </c>
      <c r="B19" s="60" t="s">
        <v>1690</v>
      </c>
      <c r="C19" s="60" t="s">
        <v>1691</v>
      </c>
      <c r="D19" s="37"/>
      <c r="E19" s="68">
        <v>2000.0</v>
      </c>
      <c r="F19" s="36"/>
      <c r="G19" s="36">
        <f t="shared" si="1"/>
        <v>489038.28</v>
      </c>
      <c r="H19" s="5" t="str">
        <f>IF(B19="","",IF(IFERROR(MATCH(B19,'Advances_FEB-2025'!B:B,0),0)&gt;0,"C/F","NEW"))</f>
        <v>C/F</v>
      </c>
    </row>
    <row r="20">
      <c r="A20" s="69">
        <v>45450.0</v>
      </c>
      <c r="B20" s="60" t="s">
        <v>1037</v>
      </c>
      <c r="C20" s="60" t="s">
        <v>1038</v>
      </c>
      <c r="D20" s="37"/>
      <c r="E20" s="68">
        <v>2790.0</v>
      </c>
      <c r="F20" s="36"/>
      <c r="G20" s="36">
        <f t="shared" si="1"/>
        <v>489038.28</v>
      </c>
      <c r="H20" s="5" t="str">
        <f>IF(B20="","",IF(IFERROR(MATCH(B20,'Advances_FEB-2025'!B:B,0),0)&gt;0,"C/F","NEW"))</f>
        <v>C/F</v>
      </c>
    </row>
    <row r="21">
      <c r="A21" s="69">
        <v>45603.0</v>
      </c>
      <c r="B21" s="60" t="s">
        <v>1692</v>
      </c>
      <c r="C21" s="60" t="s">
        <v>1693</v>
      </c>
      <c r="D21" s="37"/>
      <c r="E21" s="68">
        <v>50.0</v>
      </c>
      <c r="F21" s="36"/>
      <c r="G21" s="36">
        <f t="shared" si="1"/>
        <v>489038.28</v>
      </c>
      <c r="H21" s="5" t="str">
        <f>IF(B21="","",IF(IFERROR(MATCH(B21,'Advances_FEB-2025'!B:B,0),0)&gt;0,"C/F","NEW"))</f>
        <v>C/F</v>
      </c>
    </row>
    <row r="22">
      <c r="A22" s="60" t="s">
        <v>1694</v>
      </c>
      <c r="B22" s="60" t="s">
        <v>1695</v>
      </c>
      <c r="C22" s="60" t="s">
        <v>1696</v>
      </c>
      <c r="D22" s="37"/>
      <c r="E22" s="68">
        <v>113.0</v>
      </c>
      <c r="F22" s="36"/>
      <c r="G22" s="36">
        <f t="shared" si="1"/>
        <v>489038.28</v>
      </c>
      <c r="H22" s="5" t="str">
        <f>IF(B22="","",IF(IFERROR(MATCH(B22,'Advances_FEB-2025'!B:B,0),0)&gt;0,"C/F","NEW"))</f>
        <v>C/F</v>
      </c>
    </row>
    <row r="23">
      <c r="A23" s="60" t="s">
        <v>1697</v>
      </c>
      <c r="B23" s="60" t="s">
        <v>1698</v>
      </c>
      <c r="C23" s="60" t="s">
        <v>1699</v>
      </c>
      <c r="D23" s="37"/>
      <c r="E23" s="68">
        <v>100.0</v>
      </c>
      <c r="F23" s="36"/>
      <c r="G23" s="36">
        <f t="shared" si="1"/>
        <v>489038.28</v>
      </c>
      <c r="H23" s="5" t="str">
        <f>IF(B23="","",IF(IFERROR(MATCH(B23,'Advances_FEB-2025'!B:B,0),0)&gt;0,"C/F","NEW"))</f>
        <v>C/F</v>
      </c>
    </row>
    <row r="24">
      <c r="A24" s="69">
        <v>45573.0</v>
      </c>
      <c r="B24" s="60" t="s">
        <v>1700</v>
      </c>
      <c r="C24" s="60" t="s">
        <v>1701</v>
      </c>
      <c r="D24" s="37"/>
      <c r="E24" s="68">
        <v>60.0</v>
      </c>
      <c r="F24" s="36"/>
      <c r="G24" s="36">
        <f t="shared" si="1"/>
        <v>489038.28</v>
      </c>
      <c r="H24" s="5" t="str">
        <f>IF(B24="","",IF(IFERROR(MATCH(B24,'Advances_FEB-2025'!B:B,0),0)&gt;0,"C/F","NEW"))</f>
        <v>C/F</v>
      </c>
    </row>
    <row r="25">
      <c r="A25" s="60" t="s">
        <v>1039</v>
      </c>
      <c r="B25" s="60" t="s">
        <v>1040</v>
      </c>
      <c r="C25" s="60" t="s">
        <v>1041</v>
      </c>
      <c r="D25" s="37"/>
      <c r="E25" s="68">
        <v>74656.7</v>
      </c>
      <c r="F25" s="36"/>
      <c r="G25" s="36">
        <f t="shared" si="1"/>
        <v>489038.28</v>
      </c>
      <c r="H25" s="5" t="str">
        <f>IF(B25="","",IF(IFERROR(MATCH(B25,'Advances_FEB-2025'!B:B,0),0)&gt;0,"C/F","NEW"))</f>
        <v>C/F</v>
      </c>
    </row>
    <row r="26">
      <c r="A26" s="60" t="s">
        <v>1039</v>
      </c>
      <c r="B26" s="60" t="s">
        <v>1042</v>
      </c>
      <c r="C26" s="60" t="s">
        <v>1043</v>
      </c>
      <c r="D26" s="37"/>
      <c r="E26" s="68">
        <v>25655.23</v>
      </c>
      <c r="F26" s="36"/>
      <c r="G26" s="36">
        <f t="shared" si="1"/>
        <v>489038.28</v>
      </c>
      <c r="H26" s="5" t="str">
        <f>IF(B26="","",IF(IFERROR(MATCH(B26,'Advances_FEB-2025'!B:B,0),0)&gt;0,"C/F","NEW"))</f>
        <v>C/F</v>
      </c>
    </row>
    <row r="27">
      <c r="A27" s="60" t="s">
        <v>1044</v>
      </c>
      <c r="B27" s="60" t="s">
        <v>1045</v>
      </c>
      <c r="C27" s="60" t="s">
        <v>1046</v>
      </c>
      <c r="D27" s="37"/>
      <c r="E27" s="68">
        <v>5000.0</v>
      </c>
      <c r="F27" s="36"/>
      <c r="G27" s="36">
        <f t="shared" si="1"/>
        <v>489038.28</v>
      </c>
      <c r="H27" s="5" t="str">
        <f>IF(B27="","",IF(IFERROR(MATCH(B27,'Advances_FEB-2025'!B:B,0),0)&gt;0,"C/F","NEW"))</f>
        <v>C/F</v>
      </c>
    </row>
    <row r="28">
      <c r="A28" s="60" t="s">
        <v>1702</v>
      </c>
      <c r="B28" s="60" t="s">
        <v>1703</v>
      </c>
      <c r="C28" s="60" t="s">
        <v>1704</v>
      </c>
      <c r="D28" s="37"/>
      <c r="E28" s="68">
        <v>45.0</v>
      </c>
      <c r="F28" s="36"/>
      <c r="G28" s="36">
        <f t="shared" si="1"/>
        <v>489038.28</v>
      </c>
      <c r="H28" s="5" t="str">
        <f>IF(B28="","",IF(IFERROR(MATCH(B28,'Advances_FEB-2025'!B:B,0),0)&gt;0,"C/F","NEW"))</f>
        <v>C/F</v>
      </c>
    </row>
    <row r="29">
      <c r="A29" s="87">
        <v>45326.0</v>
      </c>
      <c r="B29" s="82" t="s">
        <v>1705</v>
      </c>
      <c r="C29" s="82" t="s">
        <v>1706</v>
      </c>
      <c r="D29" s="37"/>
      <c r="E29" s="88">
        <v>30.0</v>
      </c>
      <c r="F29" s="36"/>
      <c r="G29" s="36">
        <f t="shared" si="1"/>
        <v>489038.28</v>
      </c>
      <c r="H29" s="5" t="str">
        <f>IF(B29="","",IF(IFERROR(MATCH(B29,'Advances_FEB-2025'!B:B,0),0)&gt;0,"C/F","NEW"))</f>
        <v>C/F</v>
      </c>
    </row>
    <row r="30">
      <c r="A30" s="69">
        <v>45605.0</v>
      </c>
      <c r="B30" s="60" t="s">
        <v>1707</v>
      </c>
      <c r="C30" s="60" t="s">
        <v>1708</v>
      </c>
      <c r="D30" s="37"/>
      <c r="E30" s="68">
        <v>613.5</v>
      </c>
      <c r="F30" s="36"/>
      <c r="G30" s="36">
        <f t="shared" si="1"/>
        <v>489038.28</v>
      </c>
      <c r="H30" s="5" t="str">
        <f>IF(B30="","",IF(IFERROR(MATCH(B30,'Advances_FEB-2025'!B:B,0),0)&gt;0,"C/F","NEW"))</f>
        <v>C/F</v>
      </c>
    </row>
    <row r="31">
      <c r="A31" s="60" t="s">
        <v>1709</v>
      </c>
      <c r="B31" s="60" t="s">
        <v>1710</v>
      </c>
      <c r="C31" s="60" t="s">
        <v>1711</v>
      </c>
      <c r="D31" s="37"/>
      <c r="E31" s="68">
        <v>113.0</v>
      </c>
      <c r="F31" s="36"/>
      <c r="G31" s="36">
        <f t="shared" si="1"/>
        <v>489038.28</v>
      </c>
      <c r="H31" s="5" t="str">
        <f>IF(B31="","",IF(IFERROR(MATCH(B31,'Advances_FEB-2025'!B:B,0),0)&gt;0,"C/F","NEW"))</f>
        <v>C/F</v>
      </c>
    </row>
    <row r="32">
      <c r="A32" s="60" t="s">
        <v>1709</v>
      </c>
      <c r="B32" s="60" t="s">
        <v>1710</v>
      </c>
      <c r="C32" s="60" t="s">
        <v>1711</v>
      </c>
      <c r="D32" s="37"/>
      <c r="E32" s="68">
        <v>75.0</v>
      </c>
      <c r="F32" s="36"/>
      <c r="G32" s="36">
        <f t="shared" si="1"/>
        <v>489038.28</v>
      </c>
      <c r="H32" s="5" t="str">
        <f>IF(B32="","",IF(IFERROR(MATCH(B32,'Advances_FEB-2025'!B:B,0),0)&gt;0,"C/F","NEW"))</f>
        <v>C/F</v>
      </c>
    </row>
    <row r="33">
      <c r="A33" s="60" t="s">
        <v>1047</v>
      </c>
      <c r="B33" s="60" t="s">
        <v>1048</v>
      </c>
      <c r="C33" s="60" t="s">
        <v>1049</v>
      </c>
      <c r="D33" s="37"/>
      <c r="E33" s="68">
        <v>4650.0</v>
      </c>
      <c r="F33" s="36"/>
      <c r="G33" s="36">
        <f t="shared" si="1"/>
        <v>489038.28</v>
      </c>
      <c r="H33" s="5" t="str">
        <f>IF(B33="","",IF(IFERROR(MATCH(B33,'Advances_FEB-2025'!B:B,0),0)&gt;0,"C/F","NEW"))</f>
        <v>C/F</v>
      </c>
    </row>
    <row r="34">
      <c r="A34" s="60" t="s">
        <v>1050</v>
      </c>
      <c r="B34" s="60" t="s">
        <v>1051</v>
      </c>
      <c r="C34" s="60" t="s">
        <v>1052</v>
      </c>
      <c r="D34" s="37"/>
      <c r="E34" s="68">
        <v>500.0</v>
      </c>
      <c r="F34" s="36"/>
      <c r="G34" s="36">
        <f t="shared" si="1"/>
        <v>489038.28</v>
      </c>
      <c r="H34" s="5" t="str">
        <f>IF(B34="","",IF(IFERROR(MATCH(B34,'Advances_FEB-2025'!B:B,0),0)&gt;0,"C/F","NEW"))</f>
        <v>C/F</v>
      </c>
    </row>
    <row r="35">
      <c r="A35" s="60" t="s">
        <v>1712</v>
      </c>
      <c r="B35" s="60" t="s">
        <v>1713</v>
      </c>
      <c r="C35" s="60" t="s">
        <v>1714</v>
      </c>
      <c r="D35" s="37"/>
      <c r="E35" s="68">
        <v>2000.0</v>
      </c>
      <c r="F35" s="36"/>
      <c r="G35" s="36">
        <f t="shared" si="1"/>
        <v>489038.28</v>
      </c>
      <c r="H35" s="5" t="str">
        <f>IF(B35="","",IF(IFERROR(MATCH(B35,'Advances_FEB-2025'!B:B,0),0)&gt;0,"C/F","NEW"))</f>
        <v>C/F</v>
      </c>
    </row>
    <row r="36">
      <c r="A36" s="63" t="s">
        <v>1053</v>
      </c>
      <c r="B36" s="70"/>
      <c r="C36" s="60" t="s">
        <v>1054</v>
      </c>
      <c r="D36" s="37"/>
      <c r="E36" s="68">
        <v>16857.45</v>
      </c>
      <c r="F36" s="36"/>
      <c r="G36" s="36">
        <f t="shared" si="1"/>
        <v>505895.73</v>
      </c>
      <c r="H36" s="5" t="str">
        <f>IF(B36="","",IF(IFERROR(MATCH(B36,'Advances_FEB-2025'!B:B,0),0)&gt;0,"C/F","NEW"))</f>
        <v/>
      </c>
    </row>
    <row r="37">
      <c r="A37" s="60" t="s">
        <v>1053</v>
      </c>
      <c r="B37" s="60" t="s">
        <v>1715</v>
      </c>
      <c r="C37" s="60" t="s">
        <v>1716</v>
      </c>
      <c r="D37" s="37"/>
      <c r="E37" s="68">
        <v>2000.0</v>
      </c>
      <c r="F37" s="36"/>
      <c r="G37" s="36">
        <f t="shared" si="1"/>
        <v>505895.73</v>
      </c>
      <c r="H37" s="5" t="str">
        <f>IF(B37="","",IF(IFERROR(MATCH(B37,'Advances_FEB-2025'!B:B,0),0)&gt;0,"C/F","NEW"))</f>
        <v>C/F</v>
      </c>
    </row>
    <row r="38">
      <c r="A38" s="69">
        <v>45546.0</v>
      </c>
      <c r="B38" s="60" t="s">
        <v>1055</v>
      </c>
      <c r="C38" s="60" t="s">
        <v>1056</v>
      </c>
      <c r="D38" s="37"/>
      <c r="E38" s="68">
        <v>4450.0</v>
      </c>
      <c r="F38" s="36"/>
      <c r="G38" s="36">
        <f t="shared" si="1"/>
        <v>505895.73</v>
      </c>
      <c r="H38" s="5" t="str">
        <f>IF(B38="","",IF(IFERROR(MATCH(B38,'Advances_FEB-2025'!B:B,0),0)&gt;0,"C/F","NEW"))</f>
        <v>C/F</v>
      </c>
    </row>
    <row r="39">
      <c r="A39" s="71">
        <v>45637.0</v>
      </c>
      <c r="B39" s="60" t="s">
        <v>1057</v>
      </c>
      <c r="C39" s="60" t="s">
        <v>1058</v>
      </c>
      <c r="D39" s="37"/>
      <c r="E39" s="68">
        <v>80.0</v>
      </c>
      <c r="F39" s="36"/>
      <c r="G39" s="36">
        <f t="shared" si="1"/>
        <v>505895.73</v>
      </c>
      <c r="H39" s="5" t="str">
        <f>IF(B39="","",IF(IFERROR(MATCH(B39,'Advances_FEB-2025'!B:B,0),0)&gt;0,"C/F","NEW"))</f>
        <v>C/F</v>
      </c>
    </row>
    <row r="40">
      <c r="A40" s="60" t="s">
        <v>1717</v>
      </c>
      <c r="B40" s="60" t="s">
        <v>1718</v>
      </c>
      <c r="C40" s="60" t="s">
        <v>1704</v>
      </c>
      <c r="D40" s="37"/>
      <c r="E40" s="68">
        <v>20.0</v>
      </c>
      <c r="F40" s="36"/>
      <c r="G40" s="36">
        <f t="shared" si="1"/>
        <v>505895.73</v>
      </c>
      <c r="H40" s="5" t="str">
        <f>IF(B40="","",IF(IFERROR(MATCH(B40,'Advances_FEB-2025'!B:B,0),0)&gt;0,"C/F","NEW"))</f>
        <v>C/F</v>
      </c>
    </row>
    <row r="41">
      <c r="A41" s="69">
        <v>45303.0</v>
      </c>
      <c r="B41" s="60" t="s">
        <v>1719</v>
      </c>
      <c r="C41" s="60" t="s">
        <v>1720</v>
      </c>
      <c r="D41" s="37"/>
      <c r="E41" s="68">
        <v>20.87</v>
      </c>
      <c r="F41" s="36"/>
      <c r="G41" s="36">
        <f t="shared" si="1"/>
        <v>505895.73</v>
      </c>
      <c r="H41" s="5" t="str">
        <f>IF(B41="","",IF(IFERROR(MATCH(B41,'Advances_FEB-2025'!B:B,0),0)&gt;0,"C/F","NEW"))</f>
        <v>C/F</v>
      </c>
    </row>
    <row r="42">
      <c r="A42" s="69">
        <v>45303.0</v>
      </c>
      <c r="B42" s="60" t="s">
        <v>1719</v>
      </c>
      <c r="C42" s="60" t="s">
        <v>1721</v>
      </c>
      <c r="D42" s="37"/>
      <c r="E42" s="68">
        <v>34.78</v>
      </c>
      <c r="F42" s="36"/>
      <c r="G42" s="36">
        <f t="shared" si="1"/>
        <v>505895.73</v>
      </c>
      <c r="H42" s="5" t="str">
        <f>IF(B42="","",IF(IFERROR(MATCH(B42,'Advances_FEB-2025'!B:B,0),0)&gt;0,"C/F","NEW"))</f>
        <v>C/F</v>
      </c>
    </row>
    <row r="43">
      <c r="A43" s="69">
        <v>45303.0</v>
      </c>
      <c r="B43" s="60" t="s">
        <v>1719</v>
      </c>
      <c r="C43" s="60" t="s">
        <v>1722</v>
      </c>
      <c r="D43" s="37"/>
      <c r="E43" s="68">
        <v>60.87</v>
      </c>
      <c r="F43" s="36"/>
      <c r="G43" s="36">
        <f t="shared" si="1"/>
        <v>505895.73</v>
      </c>
      <c r="H43" s="5" t="str">
        <f>IF(B43="","",IF(IFERROR(MATCH(B43,'Advances_FEB-2025'!B:B,0),0)&gt;0,"C/F","NEW"))</f>
        <v>C/F</v>
      </c>
    </row>
    <row r="44">
      <c r="A44" s="69">
        <v>45394.0</v>
      </c>
      <c r="B44" s="60" t="s">
        <v>1723</v>
      </c>
      <c r="C44" s="60" t="s">
        <v>1724</v>
      </c>
      <c r="D44" s="37"/>
      <c r="E44" s="68">
        <v>80.5</v>
      </c>
      <c r="F44" s="36"/>
      <c r="G44" s="36">
        <f t="shared" si="1"/>
        <v>505895.73</v>
      </c>
      <c r="H44" s="5" t="str">
        <f>IF(B44="","",IF(IFERROR(MATCH(B44,'Advances_FEB-2025'!B:B,0),0)&gt;0,"C/F","NEW"))</f>
        <v>C/F</v>
      </c>
    </row>
    <row r="45">
      <c r="A45" s="69">
        <v>45394.0</v>
      </c>
      <c r="B45" s="60" t="s">
        <v>1723</v>
      </c>
      <c r="C45" s="60" t="s">
        <v>1725</v>
      </c>
      <c r="D45" s="37"/>
      <c r="E45" s="68">
        <v>11.5</v>
      </c>
      <c r="F45" s="36"/>
      <c r="G45" s="36">
        <f t="shared" si="1"/>
        <v>505895.73</v>
      </c>
      <c r="H45" s="5" t="str">
        <f>IF(B45="","",IF(IFERROR(MATCH(B45,'Advances_FEB-2025'!B:B,0),0)&gt;0,"C/F","NEW"))</f>
        <v>C/F</v>
      </c>
    </row>
    <row r="46">
      <c r="A46" s="71">
        <v>45577.0</v>
      </c>
      <c r="B46" s="60" t="s">
        <v>1059</v>
      </c>
      <c r="C46" s="60" t="s">
        <v>1043</v>
      </c>
      <c r="D46" s="37"/>
      <c r="E46" s="68">
        <v>49001.48</v>
      </c>
      <c r="F46" s="36"/>
      <c r="G46" s="36">
        <f t="shared" si="1"/>
        <v>505895.73</v>
      </c>
      <c r="H46" s="5" t="str">
        <f>IF(B46="","",IF(IFERROR(MATCH(B46,'Advances_FEB-2025'!B:B,0),0)&gt;0,"C/F","NEW"))</f>
        <v>C/F</v>
      </c>
    </row>
    <row r="47">
      <c r="A47" s="60" t="s">
        <v>1726</v>
      </c>
      <c r="B47" s="60" t="s">
        <v>1727</v>
      </c>
      <c r="C47" s="60" t="s">
        <v>1728</v>
      </c>
      <c r="D47" s="37"/>
      <c r="E47" s="68">
        <v>180.0</v>
      </c>
      <c r="F47" s="36"/>
      <c r="G47" s="36">
        <f t="shared" si="1"/>
        <v>505895.73</v>
      </c>
      <c r="H47" s="5" t="str">
        <f>IF(B47="","",IF(IFERROR(MATCH(B47,'Advances_FEB-2025'!B:B,0),0)&gt;0,"C/F","NEW"))</f>
        <v>C/F</v>
      </c>
    </row>
    <row r="48">
      <c r="A48" s="60" t="s">
        <v>1729</v>
      </c>
      <c r="B48" s="60" t="s">
        <v>1730</v>
      </c>
      <c r="C48" s="60" t="s">
        <v>1731</v>
      </c>
      <c r="D48" s="37"/>
      <c r="E48" s="68">
        <v>1337.87</v>
      </c>
      <c r="F48" s="36"/>
      <c r="G48" s="36">
        <f t="shared" si="1"/>
        <v>505895.73</v>
      </c>
      <c r="H48" s="5" t="str">
        <f>IF(B48="","",IF(IFERROR(MATCH(B48,'Advances_FEB-2025'!B:B,0),0)&gt;0,"C/F","NEW"))</f>
        <v>C/F</v>
      </c>
    </row>
    <row r="49">
      <c r="A49" s="60" t="s">
        <v>1729</v>
      </c>
      <c r="B49" s="60" t="s">
        <v>1732</v>
      </c>
      <c r="C49" s="60" t="s">
        <v>1733</v>
      </c>
      <c r="D49" s="37"/>
      <c r="E49" s="68">
        <v>7500.0</v>
      </c>
      <c r="F49" s="36"/>
      <c r="G49" s="36">
        <f t="shared" si="1"/>
        <v>505895.73</v>
      </c>
      <c r="H49" s="5" t="str">
        <f>IF(B49="","",IF(IFERROR(MATCH(B49,'Advances_FEB-2025'!B:B,0),0)&gt;0,"C/F","NEW"))</f>
        <v>C/F</v>
      </c>
    </row>
    <row r="50">
      <c r="A50" s="60" t="s">
        <v>1734</v>
      </c>
      <c r="B50" s="60" t="s">
        <v>1735</v>
      </c>
      <c r="C50" s="60" t="s">
        <v>1736</v>
      </c>
      <c r="D50" s="37"/>
      <c r="E50" s="68">
        <v>85.0</v>
      </c>
      <c r="F50" s="36"/>
      <c r="G50" s="36">
        <f t="shared" si="1"/>
        <v>505895.73</v>
      </c>
      <c r="H50" s="5" t="str">
        <f>IF(B50="","",IF(IFERROR(MATCH(B50,'Advances_FEB-2025'!B:B,0),0)&gt;0,"C/F","NEW"))</f>
        <v>C/F</v>
      </c>
    </row>
    <row r="51">
      <c r="A51" s="60" t="s">
        <v>1060</v>
      </c>
      <c r="B51" s="60" t="s">
        <v>1061</v>
      </c>
      <c r="C51" s="60" t="s">
        <v>1062</v>
      </c>
      <c r="D51" s="37"/>
      <c r="E51" s="68">
        <v>300.0</v>
      </c>
      <c r="F51" s="36"/>
      <c r="G51" s="36">
        <f t="shared" si="1"/>
        <v>505895.73</v>
      </c>
      <c r="H51" s="5" t="str">
        <f>IF(B51="","",IF(IFERROR(MATCH(B51,'Advances_FEB-2025'!B:B,0),0)&gt;0,"C/F","NEW"))</f>
        <v>C/F</v>
      </c>
    </row>
    <row r="52">
      <c r="A52" s="60" t="s">
        <v>1063</v>
      </c>
      <c r="B52" s="60" t="s">
        <v>1064</v>
      </c>
      <c r="C52" s="60" t="s">
        <v>1065</v>
      </c>
      <c r="D52" s="37"/>
      <c r="E52" s="68">
        <v>150.0</v>
      </c>
      <c r="F52" s="36"/>
      <c r="G52" s="36">
        <f t="shared" si="1"/>
        <v>505895.73</v>
      </c>
      <c r="H52" s="5" t="str">
        <f>IF(B52="","",IF(IFERROR(MATCH(B52,'Advances_FEB-2025'!B:B,0),0)&gt;0,"C/F","NEW"))</f>
        <v>C/F</v>
      </c>
    </row>
    <row r="53">
      <c r="A53" s="69">
        <v>45901.0</v>
      </c>
      <c r="B53" s="60" t="s">
        <v>1739</v>
      </c>
      <c r="C53" s="60" t="s">
        <v>1740</v>
      </c>
      <c r="D53" s="37"/>
      <c r="E53" s="68">
        <v>450.0</v>
      </c>
      <c r="F53" s="36"/>
      <c r="G53" s="36">
        <f t="shared" si="1"/>
        <v>505895.73</v>
      </c>
      <c r="H53" s="5" t="str">
        <f>IF(B53="","",IF(IFERROR(MATCH(B53,'Advances_FEB-2025'!B:B,0),0)&gt;0,"C/F","NEW"))</f>
        <v>C/F</v>
      </c>
    </row>
    <row r="54">
      <c r="A54" s="60" t="s">
        <v>1066</v>
      </c>
      <c r="B54" s="60" t="s">
        <v>1067</v>
      </c>
      <c r="C54" s="60" t="s">
        <v>1068</v>
      </c>
      <c r="D54" s="37"/>
      <c r="E54" s="68">
        <v>51310.45</v>
      </c>
      <c r="F54" s="36"/>
      <c r="G54" s="36">
        <f t="shared" si="1"/>
        <v>505895.73</v>
      </c>
      <c r="H54" s="5" t="str">
        <f>IF(B54="","",IF(IFERROR(MATCH(B54,'Advances_FEB-2025'!B:B,0),0)&gt;0,"C/F","NEW"))</f>
        <v>C/F</v>
      </c>
    </row>
    <row r="55">
      <c r="A55" s="60" t="s">
        <v>1741</v>
      </c>
      <c r="B55" s="60" t="s">
        <v>1742</v>
      </c>
      <c r="C55" s="60" t="s">
        <v>1471</v>
      </c>
      <c r="D55" s="37"/>
      <c r="E55" s="68">
        <v>400.0</v>
      </c>
      <c r="F55" s="36"/>
      <c r="G55" s="36">
        <f t="shared" si="1"/>
        <v>505895.73</v>
      </c>
      <c r="H55" s="5" t="str">
        <f>IF(B55="","",IF(IFERROR(MATCH(B55,'Advances_FEB-2025'!B:B,0),0)&gt;0,"C/F","NEW"))</f>
        <v>C/F</v>
      </c>
    </row>
    <row r="56">
      <c r="A56" s="69">
        <v>45749.0</v>
      </c>
      <c r="B56" s="60" t="s">
        <v>1069</v>
      </c>
      <c r="C56" s="60" t="s">
        <v>1070</v>
      </c>
      <c r="D56" s="37"/>
      <c r="E56" s="68">
        <v>200.0</v>
      </c>
      <c r="F56" s="36"/>
      <c r="G56" s="36">
        <f t="shared" si="1"/>
        <v>505895.73</v>
      </c>
      <c r="H56" s="5" t="str">
        <f>IF(B56="","",IF(IFERROR(MATCH(B56,'Advances_FEB-2025'!B:B,0),0)&gt;0,"C/F","NEW"))</f>
        <v>C/F</v>
      </c>
    </row>
    <row r="57">
      <c r="A57" s="69">
        <v>45810.0</v>
      </c>
      <c r="B57" s="60" t="s">
        <v>1972</v>
      </c>
      <c r="C57" s="60" t="s">
        <v>1973</v>
      </c>
      <c r="D57" s="37"/>
      <c r="E57" s="68">
        <v>1617.41</v>
      </c>
      <c r="F57" s="36"/>
      <c r="G57" s="36">
        <f t="shared" si="1"/>
        <v>505895.73</v>
      </c>
      <c r="H57" s="5" t="str">
        <f>IF(B57="","",IF(IFERROR(MATCH(B57,'Advances_FEB-2025'!B:B,0),0)&gt;0,"C/F","NEW"))</f>
        <v>C/F</v>
      </c>
    </row>
    <row r="58">
      <c r="A58" s="69">
        <v>45963.0</v>
      </c>
      <c r="B58" s="60" t="s">
        <v>1974</v>
      </c>
      <c r="C58" s="60" t="s">
        <v>1975</v>
      </c>
      <c r="D58" s="37"/>
      <c r="E58" s="68">
        <v>1949.55</v>
      </c>
      <c r="F58" s="36"/>
      <c r="G58" s="36">
        <f t="shared" si="1"/>
        <v>505895.73</v>
      </c>
      <c r="H58" s="5" t="str">
        <f>IF(B58="","",IF(IFERROR(MATCH(B58,'Advances_FEB-2025'!B:B,0),0)&gt;0,"C/F","NEW"))</f>
        <v>C/F</v>
      </c>
    </row>
    <row r="59">
      <c r="A59" s="60" t="s">
        <v>1976</v>
      </c>
      <c r="B59" s="60" t="s">
        <v>1977</v>
      </c>
      <c r="C59" s="60" t="s">
        <v>1978</v>
      </c>
      <c r="D59" s="37"/>
      <c r="E59" s="68">
        <v>180.0</v>
      </c>
      <c r="F59" s="36"/>
      <c r="G59" s="36">
        <f t="shared" si="1"/>
        <v>505895.73</v>
      </c>
      <c r="H59" s="5" t="str">
        <f>IF(B59="","",IF(IFERROR(MATCH(B59,'Advances_FEB-2025'!B:B,0),0)&gt;0,"C/F","NEW"))</f>
        <v>C/F</v>
      </c>
    </row>
    <row r="60">
      <c r="A60" s="60" t="s">
        <v>1071</v>
      </c>
      <c r="B60" s="60" t="s">
        <v>1072</v>
      </c>
      <c r="C60" s="60" t="s">
        <v>1073</v>
      </c>
      <c r="D60" s="37"/>
      <c r="E60" s="68">
        <v>334.8</v>
      </c>
      <c r="F60" s="36"/>
      <c r="G60" s="36">
        <f t="shared" si="1"/>
        <v>505895.73</v>
      </c>
      <c r="H60" s="5" t="str">
        <f>IF(B60="","",IF(IFERROR(MATCH(B60,'Advances_FEB-2025'!B:B,0),0)&gt;0,"C/F","NEW"))</f>
        <v>C/F</v>
      </c>
    </row>
    <row r="61">
      <c r="A61" s="60" t="s">
        <v>1071</v>
      </c>
      <c r="B61" s="60" t="s">
        <v>1072</v>
      </c>
      <c r="C61" s="60" t="s">
        <v>1074</v>
      </c>
      <c r="D61" s="37"/>
      <c r="E61" s="68">
        <v>300.0</v>
      </c>
      <c r="F61" s="36"/>
      <c r="G61" s="36">
        <f t="shared" si="1"/>
        <v>505895.73</v>
      </c>
      <c r="H61" s="5" t="str">
        <f>IF(B61="","",IF(IFERROR(MATCH(B61,'Advances_FEB-2025'!B:B,0),0)&gt;0,"C/F","NEW"))</f>
        <v>C/F</v>
      </c>
    </row>
    <row r="62">
      <c r="A62" s="60" t="s">
        <v>1071</v>
      </c>
      <c r="B62" s="60" t="s">
        <v>1072</v>
      </c>
      <c r="C62" s="60" t="s">
        <v>1073</v>
      </c>
      <c r="D62" s="37"/>
      <c r="E62" s="68">
        <v>350.0</v>
      </c>
      <c r="F62" s="36"/>
      <c r="G62" s="36">
        <f t="shared" si="1"/>
        <v>505895.73</v>
      </c>
      <c r="H62" s="5" t="str">
        <f>IF(B62="","",IF(IFERROR(MATCH(B62,'Advances_FEB-2025'!B:B,0),0)&gt;0,"C/F","NEW"))</f>
        <v>C/F</v>
      </c>
    </row>
    <row r="63">
      <c r="A63" s="60" t="s">
        <v>1979</v>
      </c>
      <c r="B63" s="60" t="s">
        <v>1980</v>
      </c>
      <c r="C63" s="60" t="s">
        <v>1076</v>
      </c>
      <c r="D63" s="37"/>
      <c r="E63" s="68">
        <v>50.0</v>
      </c>
      <c r="F63" s="36"/>
      <c r="G63" s="36">
        <f t="shared" si="1"/>
        <v>505895.73</v>
      </c>
      <c r="H63" s="5" t="str">
        <f>IF(B63="","",IF(IFERROR(MATCH(B63,'Advances_FEB-2025'!B:B,0),0)&gt;0,"C/F","NEW"))</f>
        <v>C/F</v>
      </c>
    </row>
    <row r="64">
      <c r="A64" s="69">
        <v>45872.0</v>
      </c>
      <c r="B64" s="60" t="s">
        <v>2066</v>
      </c>
      <c r="C64" s="60" t="s">
        <v>2067</v>
      </c>
      <c r="D64" s="37"/>
      <c r="E64" s="68">
        <v>11.0</v>
      </c>
      <c r="F64" s="36"/>
      <c r="G64" s="36">
        <f t="shared" si="1"/>
        <v>505906.73</v>
      </c>
      <c r="H64" s="5" t="str">
        <f>IF(B64="","",IF(IFERROR(MATCH(B64,'Advances_FEB-2025'!B:B,0),0)&gt;0,"C/F","NEW"))</f>
        <v>NEW</v>
      </c>
    </row>
    <row r="65">
      <c r="A65" s="60" t="s">
        <v>2068</v>
      </c>
      <c r="B65" s="60" t="s">
        <v>2069</v>
      </c>
      <c r="C65" s="60" t="s">
        <v>2070</v>
      </c>
      <c r="D65" s="37"/>
      <c r="E65" s="68">
        <v>10000.0</v>
      </c>
      <c r="F65" s="36"/>
      <c r="G65" s="36">
        <f t="shared" si="1"/>
        <v>515906.73</v>
      </c>
      <c r="H65" s="5" t="str">
        <f>IF(B65="","",IF(IFERROR(MATCH(B65,'Advances_FEB-2025'!B:B,0),0)&gt;0,"C/F","NEW"))</f>
        <v>NEW</v>
      </c>
    </row>
    <row r="66">
      <c r="A66" s="60" t="s">
        <v>2071</v>
      </c>
      <c r="B66" s="60" t="s">
        <v>2072</v>
      </c>
      <c r="C66" s="60" t="s">
        <v>1752</v>
      </c>
      <c r="D66" s="37"/>
      <c r="E66" s="68">
        <v>70.0</v>
      </c>
      <c r="F66" s="36"/>
      <c r="G66" s="36">
        <f t="shared" si="1"/>
        <v>515976.73</v>
      </c>
      <c r="H66" s="5" t="str">
        <f>IF(B66="","",IF(IFERROR(MATCH(B66,'Advances_FEB-2025'!B:B,0),0)&gt;0,"C/F","NEW"))</f>
        <v>NEW</v>
      </c>
    </row>
    <row r="67">
      <c r="A67" s="60" t="s">
        <v>2073</v>
      </c>
      <c r="B67" s="60" t="s">
        <v>2074</v>
      </c>
      <c r="C67" s="60" t="s">
        <v>2075</v>
      </c>
      <c r="D67" s="37"/>
      <c r="E67" s="68">
        <v>900.0</v>
      </c>
      <c r="F67" s="36"/>
      <c r="G67" s="36">
        <f t="shared" si="1"/>
        <v>516876.73</v>
      </c>
      <c r="H67" s="5" t="str">
        <f>IF(B67="","",IF(IFERROR(MATCH(B67,'Advances_FEB-2025'!B:B,0),0)&gt;0,"C/F","NEW"))</f>
        <v>NEW</v>
      </c>
    </row>
    <row r="68">
      <c r="A68" s="60" t="s">
        <v>2076</v>
      </c>
      <c r="B68" s="60" t="s">
        <v>2077</v>
      </c>
      <c r="C68" s="60" t="s">
        <v>1076</v>
      </c>
      <c r="D68" s="37"/>
      <c r="E68" s="68">
        <v>500.0</v>
      </c>
      <c r="F68" s="36"/>
      <c r="G68" s="36">
        <f t="shared" si="1"/>
        <v>517376.73</v>
      </c>
      <c r="H68" s="5" t="str">
        <f>IF(B68="","",IF(IFERROR(MATCH(B68,'Advances_FEB-2025'!B:B,0),0)&gt;0,"C/F","NEW"))</f>
        <v>NEW</v>
      </c>
    </row>
    <row r="69">
      <c r="A69" s="60" t="s">
        <v>2078</v>
      </c>
      <c r="B69" s="60" t="s">
        <v>2079</v>
      </c>
      <c r="C69" s="60" t="s">
        <v>1649</v>
      </c>
      <c r="D69" s="37"/>
      <c r="E69" s="68">
        <v>1035.0</v>
      </c>
      <c r="F69" s="36"/>
      <c r="G69" s="36">
        <f t="shared" si="1"/>
        <v>518411.73</v>
      </c>
      <c r="H69" s="5" t="str">
        <f>IF(B69="","",IF(IFERROR(MATCH(B69,'Advances_FEB-2025'!B:B,0),0)&gt;0,"C/F","NEW"))</f>
        <v>NEW</v>
      </c>
    </row>
    <row r="70">
      <c r="A70" s="60" t="s">
        <v>2078</v>
      </c>
      <c r="B70" s="60" t="s">
        <v>2079</v>
      </c>
      <c r="C70" s="60" t="s">
        <v>2080</v>
      </c>
      <c r="D70" s="37"/>
      <c r="E70" s="68">
        <v>1000.0</v>
      </c>
      <c r="F70" s="36"/>
      <c r="G70" s="36">
        <f t="shared" si="1"/>
        <v>519411.73</v>
      </c>
      <c r="H70" s="5" t="str">
        <f>IF(B70="","",IF(IFERROR(MATCH(B70,'Advances_FEB-2025'!B:B,0),0)&gt;0,"C/F","NEW"))</f>
        <v>NEW</v>
      </c>
    </row>
    <row r="71">
      <c r="A71" s="37"/>
      <c r="B71" s="37"/>
      <c r="C71" s="37"/>
      <c r="D71" s="37"/>
      <c r="E71" s="36"/>
      <c r="F71" s="36"/>
      <c r="G71" s="36" t="str">
        <f t="shared" si="1"/>
        <v/>
      </c>
      <c r="H71" s="5" t="str">
        <f>IF(B71="","",IF(IFERROR(MATCH(B71,'Advances_FEB-2025'!B:B,0),0)&gt;0,"C/F","NEW"))</f>
        <v/>
      </c>
    </row>
    <row r="72">
      <c r="A72" s="37"/>
      <c r="B72" s="37"/>
      <c r="C72" s="37"/>
      <c r="D72" s="37"/>
      <c r="E72" s="36"/>
      <c r="F72" s="36"/>
      <c r="G72" s="36" t="str">
        <f t="shared" si="1"/>
        <v/>
      </c>
      <c r="H72" s="5" t="str">
        <f>IF(B72="","",IF(IFERROR(MATCH(B72,'Advances_FEB-2025'!B:B,0),0)&gt;0,"C/F","NEW"))</f>
        <v/>
      </c>
    </row>
    <row r="73">
      <c r="A73" s="37"/>
      <c r="B73" s="37"/>
      <c r="C73" s="37"/>
      <c r="D73" s="37"/>
      <c r="E73" s="36"/>
      <c r="F73" s="36"/>
      <c r="G73" s="36" t="str">
        <f t="shared" si="1"/>
        <v/>
      </c>
      <c r="H73" s="5" t="str">
        <f>IF(B73="","",IF(IFERROR(MATCH(B73,'Advances_FEB-2025'!B:B,0),0)&gt;0,"C/F","NEW"))</f>
        <v/>
      </c>
    </row>
    <row r="74">
      <c r="A74" s="37"/>
      <c r="B74" s="37"/>
      <c r="C74" s="37"/>
      <c r="D74" s="37"/>
      <c r="E74" s="36"/>
      <c r="F74" s="36"/>
      <c r="G74" s="36" t="str">
        <f t="shared" si="1"/>
        <v/>
      </c>
      <c r="H74" s="5" t="str">
        <f>IF(B74="","",IF(IFERROR(MATCH(B74,'Advances_FEB-2025'!B:B,0),0)&gt;0,"C/F","NEW"))</f>
        <v/>
      </c>
    </row>
    <row r="75">
      <c r="A75" s="37"/>
      <c r="B75" s="37"/>
      <c r="C75" s="37"/>
      <c r="D75" s="37"/>
      <c r="E75" s="36"/>
      <c r="F75" s="36"/>
      <c r="G75" s="36" t="str">
        <f t="shared" si="1"/>
        <v/>
      </c>
      <c r="H75" s="5" t="str">
        <f>IF(B75="","",IF(IFERROR(MATCH(B75,'Advances_FEB-2025'!B:B,0),0)&gt;0,"C/F","NEW"))</f>
        <v/>
      </c>
    </row>
    <row r="76">
      <c r="A76" s="37"/>
      <c r="B76" s="37"/>
      <c r="C76" s="37"/>
      <c r="D76" s="37"/>
      <c r="E76" s="36"/>
      <c r="F76" s="36"/>
      <c r="G76" s="36" t="str">
        <f t="shared" si="1"/>
        <v/>
      </c>
      <c r="H76" s="5" t="str">
        <f>IF(B76="","",IF(IFERROR(MATCH(B76,'Advances_FEB-2025'!B:B,0),0)&gt;0,"C/F","NEW"))</f>
        <v/>
      </c>
    </row>
    <row r="77">
      <c r="A77" s="37"/>
      <c r="B77" s="37"/>
      <c r="C77" s="37"/>
      <c r="D77" s="37"/>
      <c r="E77" s="36"/>
      <c r="F77" s="36"/>
      <c r="G77" s="36" t="str">
        <f t="shared" si="1"/>
        <v/>
      </c>
      <c r="H77" s="5" t="str">
        <f>IF(B77="","",IF(IFERROR(MATCH(B77,'Advances_FEB-2025'!B:B,0),0)&gt;0,"C/F","NEW"))</f>
        <v/>
      </c>
    </row>
    <row r="78">
      <c r="A78" s="37"/>
      <c r="B78" s="37"/>
      <c r="C78" s="37"/>
      <c r="D78" s="37"/>
      <c r="E78" s="36"/>
      <c r="F78" s="36"/>
      <c r="G78" s="36" t="str">
        <f t="shared" si="1"/>
        <v/>
      </c>
      <c r="H78" s="5" t="str">
        <f>IF(B78="","",IF(IFERROR(MATCH(B78,'Advances_FEB-2025'!B:B,0),0)&gt;0,"C/F","NEW"))</f>
        <v/>
      </c>
    </row>
    <row r="79">
      <c r="A79" s="37"/>
      <c r="B79" s="37"/>
      <c r="C79" s="37"/>
      <c r="D79" s="37"/>
      <c r="E79" s="36"/>
      <c r="F79" s="36"/>
      <c r="G79" s="36" t="str">
        <f t="shared" si="1"/>
        <v/>
      </c>
      <c r="H79" s="5" t="str">
        <f>IF(B79="","",IF(IFERROR(MATCH(B79,'Advances_FEB-2025'!B:B,0),0)&gt;0,"C/F","NEW"))</f>
        <v/>
      </c>
    </row>
    <row r="80">
      <c r="A80" s="37"/>
      <c r="B80" s="37"/>
      <c r="C80" s="37"/>
      <c r="D80" s="37"/>
      <c r="E80" s="36"/>
      <c r="F80" s="36"/>
      <c r="G80" s="36" t="str">
        <f t="shared" si="1"/>
        <v/>
      </c>
      <c r="H80" s="5" t="str">
        <f>IF(B80="","",IF(IFERROR(MATCH(B80,'Advances_FEB-2025'!B:B,0),0)&gt;0,"C/F","NEW"))</f>
        <v/>
      </c>
    </row>
    <row r="81">
      <c r="A81" s="37"/>
      <c r="B81" s="37"/>
      <c r="C81" s="37"/>
      <c r="D81" s="37"/>
      <c r="E81" s="36"/>
      <c r="F81" s="36"/>
      <c r="G81" s="36" t="str">
        <f t="shared" si="1"/>
        <v/>
      </c>
      <c r="H81" s="5" t="str">
        <f>IF(B81="","",IF(IFERROR(MATCH(B81,'Advances_FEB-2025'!B:B,0),0)&gt;0,"C/F","NEW"))</f>
        <v/>
      </c>
    </row>
    <row r="82">
      <c r="A82" s="37"/>
      <c r="B82" s="37"/>
      <c r="C82" s="37"/>
      <c r="D82" s="37"/>
      <c r="E82" s="36"/>
      <c r="F82" s="36"/>
      <c r="G82" s="36" t="str">
        <f t="shared" si="1"/>
        <v/>
      </c>
      <c r="H82" s="5" t="str">
        <f>IF(B82="","",IF(IFERROR(MATCH(B82,'Advances_FEB-2025'!B:B,0),0)&gt;0,"C/F","NEW"))</f>
        <v/>
      </c>
    </row>
    <row r="83">
      <c r="A83" s="37"/>
      <c r="B83" s="37"/>
      <c r="C83" s="37"/>
      <c r="D83" s="37"/>
      <c r="E83" s="36"/>
      <c r="F83" s="36"/>
      <c r="G83" s="36" t="str">
        <f t="shared" si="1"/>
        <v/>
      </c>
      <c r="H83" s="5" t="str">
        <f>IF(B83="","",IF(IFERROR(MATCH(B83,'Advances_FEB-2025'!B:B,0),0)&gt;0,"C/F","NEW"))</f>
        <v/>
      </c>
    </row>
    <row r="84">
      <c r="A84" s="37"/>
      <c r="B84" s="37"/>
      <c r="C84" s="37"/>
      <c r="D84" s="37"/>
      <c r="E84" s="36"/>
      <c r="F84" s="36"/>
      <c r="G84" s="36" t="str">
        <f t="shared" si="1"/>
        <v/>
      </c>
      <c r="H84" s="5" t="str">
        <f>IF(B84="","",IF(IFERROR(MATCH(B84,'Advances_FEB-2025'!B:B,0),0)&gt;0,"C/F","NEW"))</f>
        <v/>
      </c>
    </row>
    <row r="85">
      <c r="A85" s="37"/>
      <c r="B85" s="37"/>
      <c r="C85" s="37"/>
      <c r="D85" s="37"/>
      <c r="E85" s="36"/>
      <c r="F85" s="36"/>
      <c r="G85" s="36" t="str">
        <f t="shared" si="1"/>
        <v/>
      </c>
      <c r="H85" s="5" t="str">
        <f>IF(B85="","",IF(IFERROR(MATCH(B85,'Advances_FEB-2025'!B:B,0),0)&gt;0,"C/F","NEW"))</f>
        <v/>
      </c>
    </row>
    <row r="86">
      <c r="A86" s="37"/>
      <c r="B86" s="37"/>
      <c r="C86" s="37"/>
      <c r="D86" s="37"/>
      <c r="E86" s="36"/>
      <c r="F86" s="36"/>
      <c r="G86" s="36" t="str">
        <f t="shared" si="1"/>
        <v/>
      </c>
      <c r="H86" s="5" t="str">
        <f>IF(B86="","",IF(IFERROR(MATCH(B86,'Advances_FEB-2025'!B:B,0),0)&gt;0,"C/F","NEW"))</f>
        <v/>
      </c>
    </row>
    <row r="87">
      <c r="A87" s="37"/>
      <c r="B87" s="37"/>
      <c r="C87" s="37"/>
      <c r="D87" s="37"/>
      <c r="E87" s="36"/>
      <c r="F87" s="36"/>
      <c r="G87" s="36" t="str">
        <f t="shared" si="1"/>
        <v/>
      </c>
      <c r="H87" s="5" t="str">
        <f>IF(B87="","",IF(IFERROR(MATCH(B87,'Advances_FEB-2025'!B:B,0),0)&gt;0,"C/F","NEW"))</f>
        <v/>
      </c>
    </row>
    <row r="88">
      <c r="A88" s="37"/>
      <c r="B88" s="37"/>
      <c r="C88" s="37"/>
      <c r="D88" s="37"/>
      <c r="E88" s="36"/>
      <c r="F88" s="36"/>
      <c r="G88" s="36" t="str">
        <f t="shared" si="1"/>
        <v/>
      </c>
      <c r="H88" s="5" t="str">
        <f>IF(B88="","",IF(IFERROR(MATCH(B88,'Advances_FEB-2025'!B:B,0),0)&gt;0,"C/F","NEW"))</f>
        <v/>
      </c>
    </row>
    <row r="89">
      <c r="A89" s="37"/>
      <c r="B89" s="37"/>
      <c r="C89" s="37"/>
      <c r="D89" s="37"/>
      <c r="E89" s="36"/>
      <c r="F89" s="36"/>
      <c r="G89" s="36" t="str">
        <f t="shared" si="1"/>
        <v/>
      </c>
      <c r="H89" s="5" t="str">
        <f>IF(B89="","",IF(IFERROR(MATCH(B89,'Advances_FEB-2025'!B:B,0),0)&gt;0,"C/F","NEW"))</f>
        <v/>
      </c>
    </row>
    <row r="90">
      <c r="A90" s="37"/>
      <c r="B90" s="37"/>
      <c r="C90" s="37"/>
      <c r="D90" s="37"/>
      <c r="E90" s="36"/>
      <c r="F90" s="36"/>
      <c r="G90" s="36" t="str">
        <f t="shared" si="1"/>
        <v/>
      </c>
      <c r="H90" s="5" t="str">
        <f>IF(B90="","",IF(IFERROR(MATCH(B90,'Advances_FEB-2025'!B:B,0),0)&gt;0,"C/F","NEW"))</f>
        <v/>
      </c>
    </row>
    <row r="91">
      <c r="A91" s="37"/>
      <c r="B91" s="37"/>
      <c r="C91" s="37"/>
      <c r="D91" s="37"/>
      <c r="E91" s="36"/>
      <c r="F91" s="36"/>
      <c r="G91" s="36" t="str">
        <f t="shared" si="1"/>
        <v/>
      </c>
      <c r="H91" s="5" t="str">
        <f>IF(B91="","",IF(IFERROR(MATCH(B91,'Advances_FEB-2025'!B:B,0),0)&gt;0,"C/F","NEW"))</f>
        <v/>
      </c>
    </row>
    <row r="92">
      <c r="A92" s="37"/>
      <c r="B92" s="37"/>
      <c r="C92" s="37"/>
      <c r="D92" s="37"/>
      <c r="E92" s="36"/>
      <c r="F92" s="36"/>
      <c r="G92" s="36" t="str">
        <f t="shared" si="1"/>
        <v/>
      </c>
      <c r="H92" s="5" t="str">
        <f>IF(B92="","",IF(IFERROR(MATCH(B92,'Advances_FEB-2025'!B:B,0),0)&gt;0,"C/F","NEW"))</f>
        <v/>
      </c>
    </row>
    <row r="93">
      <c r="A93" s="37"/>
      <c r="B93" s="37"/>
      <c r="C93" s="37"/>
      <c r="D93" s="37"/>
      <c r="E93" s="36"/>
      <c r="F93" s="36"/>
      <c r="G93" s="36" t="str">
        <f t="shared" si="1"/>
        <v/>
      </c>
      <c r="H93" s="5" t="str">
        <f>IF(B93="","",IF(IFERROR(MATCH(B93,'Advances_FEB-2025'!B:B,0),0)&gt;0,"C/F","NEW"))</f>
        <v/>
      </c>
    </row>
    <row r="94">
      <c r="A94" s="37"/>
      <c r="B94" s="37"/>
      <c r="C94" s="37"/>
      <c r="D94" s="37"/>
      <c r="E94" s="36"/>
      <c r="F94" s="36"/>
      <c r="G94" s="36" t="str">
        <f t="shared" si="1"/>
        <v/>
      </c>
      <c r="H94" s="5" t="str">
        <f>IF(B94="","",IF(IFERROR(MATCH(B94,'Advances_FEB-2025'!B:B,0),0)&gt;0,"C/F","NEW"))</f>
        <v/>
      </c>
    </row>
    <row r="95">
      <c r="A95" s="37"/>
      <c r="B95" s="37"/>
      <c r="C95" s="37"/>
      <c r="D95" s="37"/>
      <c r="E95" s="36"/>
      <c r="F95" s="36"/>
      <c r="G95" s="36" t="str">
        <f t="shared" si="1"/>
        <v/>
      </c>
      <c r="H95" s="5" t="str">
        <f>IF(B95="","",IF(IFERROR(MATCH(B95,'Advances_FEB-2025'!B:B,0),0)&gt;0,"C/F","NEW"))</f>
        <v/>
      </c>
    </row>
    <row r="96">
      <c r="A96" s="37"/>
      <c r="B96" s="37"/>
      <c r="C96" s="37"/>
      <c r="D96" s="37"/>
      <c r="E96" s="36"/>
      <c r="F96" s="36"/>
      <c r="G96" s="36" t="str">
        <f t="shared" si="1"/>
        <v/>
      </c>
      <c r="H96" s="5" t="str">
        <f>IF(B96="","",IF(IFERROR(MATCH(B96,'Advances_FEB-2025'!B:B,0),0)&gt;0,"C/F","NEW"))</f>
        <v/>
      </c>
    </row>
    <row r="97">
      <c r="A97" s="37"/>
      <c r="B97" s="37"/>
      <c r="C97" s="37"/>
      <c r="D97" s="37"/>
      <c r="E97" s="36"/>
      <c r="F97" s="36"/>
      <c r="G97" s="36" t="str">
        <f t="shared" si="1"/>
        <v/>
      </c>
      <c r="H97" s="5" t="str">
        <f>IF(B97="","",IF(IFERROR(MATCH(B97,'Advances_FEB-2025'!B:B,0),0)&gt;0,"C/F","NEW"))</f>
        <v/>
      </c>
    </row>
    <row r="98">
      <c r="A98" s="37"/>
      <c r="B98" s="37"/>
      <c r="C98" s="37"/>
      <c r="D98" s="37"/>
      <c r="E98" s="36"/>
      <c r="F98" s="36"/>
      <c r="G98" s="36" t="str">
        <f t="shared" si="1"/>
        <v/>
      </c>
      <c r="H98" s="5" t="str">
        <f>IF(B98="","",IF(IFERROR(MATCH(B98,'Advances_FEB-2025'!B:B,0),0)&gt;0,"C/F","NEW"))</f>
        <v/>
      </c>
    </row>
    <row r="99">
      <c r="A99" s="37"/>
      <c r="B99" s="37"/>
      <c r="C99" s="37"/>
      <c r="D99" s="37"/>
      <c r="E99" s="36"/>
      <c r="F99" s="36"/>
      <c r="G99" s="36" t="str">
        <f t="shared" si="1"/>
        <v/>
      </c>
      <c r="H99" s="5" t="str">
        <f>IF(B99="","",IF(IFERROR(MATCH(B99,'Advances_FEB-2025'!B:B,0),0)&gt;0,"C/F","NEW"))</f>
        <v/>
      </c>
    </row>
    <row r="100">
      <c r="A100" s="37"/>
      <c r="B100" s="37"/>
      <c r="C100" s="37"/>
      <c r="D100" s="37"/>
      <c r="E100" s="36"/>
      <c r="F100" s="36"/>
      <c r="G100" s="36" t="str">
        <f t="shared" si="1"/>
        <v/>
      </c>
      <c r="H100" s="5" t="str">
        <f>IF(B100="","",IF(IFERROR(MATCH(B100,'Advances_FEB-2025'!B:B,0),0)&gt;0,"C/F","NEW"))</f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>
        <f t="shared" ref="E102:F102" si="2">SUM(E7:E101)</f>
        <v>326763.44</v>
      </c>
      <c r="F102" s="55">
        <f t="shared" si="2"/>
        <v>0</v>
      </c>
      <c r="G102" s="56"/>
    </row>
  </sheetData>
  <mergeCells count="2">
    <mergeCell ref="A1:G1"/>
    <mergeCell ref="A5:G5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2081</v>
      </c>
    </row>
    <row r="3">
      <c r="A3" s="57" t="s">
        <v>110</v>
      </c>
      <c r="B3" s="58">
        <f>'Suspense_FEB-2025'!E3</f>
        <v>-162101.8</v>
      </c>
      <c r="D3" s="57" t="s">
        <v>111</v>
      </c>
      <c r="E3" s="59">
        <f>-17267.64+SUM(E7:E1000)-SUM(F7:F1000)</f>
        <v>-113303.06</v>
      </c>
    </row>
    <row r="5">
      <c r="A5" s="7" t="s">
        <v>121</v>
      </c>
    </row>
    <row r="6">
      <c r="A6" s="41" t="s">
        <v>113</v>
      </c>
      <c r="B6" s="41" t="s">
        <v>122</v>
      </c>
      <c r="C6" s="41" t="s">
        <v>115</v>
      </c>
      <c r="D6" s="41" t="s">
        <v>123</v>
      </c>
      <c r="E6" s="41" t="s">
        <v>124</v>
      </c>
      <c r="F6" s="41" t="s">
        <v>125</v>
      </c>
      <c r="G6" s="41" t="s">
        <v>119</v>
      </c>
    </row>
    <row r="7">
      <c r="A7" s="60" t="s">
        <v>1066</v>
      </c>
      <c r="B7" s="60" t="s">
        <v>1164</v>
      </c>
      <c r="C7" s="60" t="s">
        <v>1165</v>
      </c>
      <c r="D7" s="37"/>
      <c r="E7" s="68">
        <v>0.0</v>
      </c>
      <c r="F7" s="68">
        <v>1.0</v>
      </c>
      <c r="G7" s="36">
        <f>IF(AND(E7="",F7=""),"",B3+E7-F7)</f>
        <v>-162102.8</v>
      </c>
    </row>
    <row r="8">
      <c r="A8" s="60" t="s">
        <v>1166</v>
      </c>
      <c r="B8" s="60" t="s">
        <v>1167</v>
      </c>
      <c r="C8" s="60" t="s">
        <v>1168</v>
      </c>
      <c r="D8" s="37"/>
      <c r="E8" s="68">
        <v>0.0</v>
      </c>
      <c r="F8" s="68">
        <v>2550.0</v>
      </c>
      <c r="G8" s="36">
        <f t="shared" ref="G8:G100" si="1">IF(AND(E8="",F8=""),"",G7+E8-F8)</f>
        <v>-164652.8</v>
      </c>
    </row>
    <row r="9">
      <c r="A9" s="69">
        <v>45690.0</v>
      </c>
      <c r="B9" s="60" t="s">
        <v>1169</v>
      </c>
      <c r="C9" s="60" t="s">
        <v>1160</v>
      </c>
      <c r="D9" s="37"/>
      <c r="E9" s="68">
        <v>0.0</v>
      </c>
      <c r="F9" s="68">
        <v>2500.0</v>
      </c>
      <c r="G9" s="36">
        <f t="shared" si="1"/>
        <v>-167152.8</v>
      </c>
    </row>
    <row r="10">
      <c r="A10" s="60" t="s">
        <v>2029</v>
      </c>
      <c r="B10" s="60" t="s">
        <v>2034</v>
      </c>
      <c r="C10" s="60" t="s">
        <v>2035</v>
      </c>
      <c r="D10" s="37"/>
      <c r="E10" s="68">
        <v>4308.03</v>
      </c>
      <c r="F10" s="68">
        <v>0.0</v>
      </c>
      <c r="G10" s="36">
        <f t="shared" si="1"/>
        <v>-162844.77</v>
      </c>
    </row>
    <row r="11">
      <c r="A11" s="60" t="s">
        <v>2029</v>
      </c>
      <c r="B11" s="60" t="s">
        <v>2034</v>
      </c>
      <c r="C11" s="60" t="s">
        <v>2035</v>
      </c>
      <c r="D11" s="37"/>
      <c r="E11" s="68">
        <v>4308.03</v>
      </c>
      <c r="F11" s="68">
        <v>0.0</v>
      </c>
      <c r="G11" s="36">
        <f t="shared" si="1"/>
        <v>-158536.74</v>
      </c>
    </row>
    <row r="12">
      <c r="A12" s="60" t="s">
        <v>2029</v>
      </c>
      <c r="B12" s="60" t="s">
        <v>2034</v>
      </c>
      <c r="C12" s="60" t="s">
        <v>2035</v>
      </c>
      <c r="D12" s="37"/>
      <c r="E12" s="68">
        <v>4308.03</v>
      </c>
      <c r="F12" s="68">
        <v>0.0</v>
      </c>
      <c r="G12" s="36">
        <f t="shared" si="1"/>
        <v>-154228.71</v>
      </c>
    </row>
    <row r="13">
      <c r="A13" s="69">
        <v>45659.0</v>
      </c>
      <c r="B13" s="60" t="s">
        <v>2036</v>
      </c>
      <c r="C13" s="60" t="s">
        <v>2037</v>
      </c>
      <c r="D13" s="37"/>
      <c r="E13" s="68">
        <v>183.98</v>
      </c>
      <c r="F13" s="79"/>
      <c r="G13" s="36">
        <f t="shared" si="1"/>
        <v>-154044.73</v>
      </c>
    </row>
    <row r="14">
      <c r="A14" s="69">
        <v>45750.0</v>
      </c>
      <c r="B14" s="60" t="s">
        <v>1170</v>
      </c>
      <c r="C14" s="60" t="s">
        <v>1160</v>
      </c>
      <c r="D14" s="37"/>
      <c r="E14" s="68">
        <v>0.0</v>
      </c>
      <c r="F14" s="68">
        <v>2000.0</v>
      </c>
      <c r="G14" s="36">
        <f t="shared" si="1"/>
        <v>-156044.73</v>
      </c>
    </row>
    <row r="15">
      <c r="A15" s="69">
        <v>45903.0</v>
      </c>
      <c r="B15" s="60" t="s">
        <v>2082</v>
      </c>
      <c r="C15" s="60" t="s">
        <v>2083</v>
      </c>
      <c r="D15" s="37"/>
      <c r="E15" s="68">
        <v>1788.76</v>
      </c>
      <c r="F15" s="68">
        <v>0.0</v>
      </c>
      <c r="G15" s="36">
        <f t="shared" si="1"/>
        <v>-154255.97</v>
      </c>
    </row>
    <row r="16">
      <c r="A16" s="69">
        <v>45903.0</v>
      </c>
      <c r="B16" s="60" t="s">
        <v>2082</v>
      </c>
      <c r="C16" s="60" t="s">
        <v>2083</v>
      </c>
      <c r="D16" s="37"/>
      <c r="E16" s="68">
        <v>3402.52</v>
      </c>
      <c r="F16" s="68">
        <v>0.0</v>
      </c>
      <c r="G16" s="36">
        <f t="shared" si="1"/>
        <v>-150853.45</v>
      </c>
    </row>
    <row r="17">
      <c r="A17" s="69">
        <v>45964.0</v>
      </c>
      <c r="B17" s="60" t="s">
        <v>2084</v>
      </c>
      <c r="C17" s="60" t="s">
        <v>1495</v>
      </c>
      <c r="D17" s="37"/>
      <c r="E17" s="68">
        <v>0.0</v>
      </c>
      <c r="F17" s="68">
        <v>5508.0</v>
      </c>
      <c r="G17" s="36">
        <f t="shared" si="1"/>
        <v>-156361.45</v>
      </c>
    </row>
    <row r="18">
      <c r="A18" s="69">
        <v>45964.0</v>
      </c>
      <c r="B18" s="60" t="s">
        <v>2085</v>
      </c>
      <c r="C18" s="60" t="s">
        <v>1226</v>
      </c>
      <c r="D18" s="37"/>
      <c r="E18" s="68">
        <v>0.0</v>
      </c>
      <c r="F18" s="68">
        <v>10000.0</v>
      </c>
      <c r="G18" s="36">
        <f t="shared" si="1"/>
        <v>-166361.45</v>
      </c>
      <c r="J18" s="6">
        <v>101387.94</v>
      </c>
    </row>
    <row r="19">
      <c r="A19" s="63" t="s">
        <v>1171</v>
      </c>
      <c r="B19" s="85"/>
      <c r="C19" s="60" t="s">
        <v>1172</v>
      </c>
      <c r="D19" s="37"/>
      <c r="E19" s="68">
        <v>201.0</v>
      </c>
      <c r="F19" s="68">
        <v>0.0</v>
      </c>
      <c r="G19" s="36">
        <f t="shared" si="1"/>
        <v>-166160.45</v>
      </c>
    </row>
    <row r="20">
      <c r="A20" s="60" t="s">
        <v>2086</v>
      </c>
      <c r="B20" s="60" t="s">
        <v>2087</v>
      </c>
      <c r="C20" s="60" t="s">
        <v>1191</v>
      </c>
      <c r="D20" s="37"/>
      <c r="E20" s="68">
        <v>0.0</v>
      </c>
      <c r="F20" s="68">
        <v>562.0</v>
      </c>
      <c r="G20" s="36">
        <f t="shared" si="1"/>
        <v>-166722.45</v>
      </c>
    </row>
    <row r="21">
      <c r="A21" s="60" t="s">
        <v>2088</v>
      </c>
      <c r="B21" s="60" t="s">
        <v>2089</v>
      </c>
      <c r="C21" s="60" t="s">
        <v>1191</v>
      </c>
      <c r="D21" s="37"/>
      <c r="E21" s="68">
        <v>0.0</v>
      </c>
      <c r="F21" s="68">
        <v>460.0</v>
      </c>
      <c r="G21" s="36">
        <f t="shared" si="1"/>
        <v>-167182.45</v>
      </c>
    </row>
    <row r="22">
      <c r="A22" s="60" t="s">
        <v>2090</v>
      </c>
      <c r="B22" s="60" t="s">
        <v>2091</v>
      </c>
      <c r="C22" s="60" t="s">
        <v>1579</v>
      </c>
      <c r="D22" s="37"/>
      <c r="E22" s="68">
        <v>0.0</v>
      </c>
      <c r="F22" s="68">
        <v>425.0</v>
      </c>
      <c r="G22" s="36">
        <f t="shared" si="1"/>
        <v>-167607.45</v>
      </c>
    </row>
    <row r="23">
      <c r="A23" s="60" t="s">
        <v>2090</v>
      </c>
      <c r="B23" s="60" t="s">
        <v>2092</v>
      </c>
      <c r="C23" s="60" t="s">
        <v>1191</v>
      </c>
      <c r="D23" s="37"/>
      <c r="E23" s="68">
        <v>0.0</v>
      </c>
      <c r="F23" s="68">
        <v>112.65</v>
      </c>
      <c r="G23" s="36">
        <f t="shared" si="1"/>
        <v>-167720.1</v>
      </c>
    </row>
    <row r="24">
      <c r="A24" s="60" t="s">
        <v>2090</v>
      </c>
      <c r="B24" s="60" t="s">
        <v>2093</v>
      </c>
      <c r="C24" s="60" t="s">
        <v>1191</v>
      </c>
      <c r="D24" s="37"/>
      <c r="E24" s="68">
        <v>0.0</v>
      </c>
      <c r="F24" s="68">
        <v>57.99</v>
      </c>
      <c r="G24" s="36">
        <f t="shared" si="1"/>
        <v>-167778.09</v>
      </c>
    </row>
    <row r="25">
      <c r="A25" s="60" t="s">
        <v>2094</v>
      </c>
      <c r="B25" s="60" t="s">
        <v>2095</v>
      </c>
      <c r="C25" s="60" t="s">
        <v>1191</v>
      </c>
      <c r="D25" s="37"/>
      <c r="E25" s="68">
        <v>0.0</v>
      </c>
      <c r="F25" s="68">
        <v>200.98</v>
      </c>
      <c r="G25" s="36">
        <f t="shared" si="1"/>
        <v>-167979.07</v>
      </c>
    </row>
    <row r="26">
      <c r="A26" s="60" t="s">
        <v>2068</v>
      </c>
      <c r="B26" s="60" t="s">
        <v>2096</v>
      </c>
      <c r="C26" s="60" t="s">
        <v>1223</v>
      </c>
      <c r="D26" s="37"/>
      <c r="E26" s="68">
        <v>0.0</v>
      </c>
      <c r="F26" s="68">
        <v>108.0</v>
      </c>
      <c r="G26" s="36">
        <f t="shared" si="1"/>
        <v>-168087.07</v>
      </c>
    </row>
    <row r="27">
      <c r="A27" s="60" t="s">
        <v>2068</v>
      </c>
      <c r="B27" s="60" t="s">
        <v>2097</v>
      </c>
      <c r="C27" s="60" t="s">
        <v>1863</v>
      </c>
      <c r="D27" s="37"/>
      <c r="E27" s="68">
        <v>0.0</v>
      </c>
      <c r="F27" s="68">
        <v>145.5</v>
      </c>
      <c r="G27" s="36">
        <f t="shared" si="1"/>
        <v>-168232.57</v>
      </c>
    </row>
    <row r="28">
      <c r="A28" s="60" t="s">
        <v>2068</v>
      </c>
      <c r="B28" s="60" t="s">
        <v>2098</v>
      </c>
      <c r="C28" s="60" t="s">
        <v>1475</v>
      </c>
      <c r="D28" s="37"/>
      <c r="E28" s="68">
        <v>0.0</v>
      </c>
      <c r="F28" s="68">
        <v>204.0</v>
      </c>
      <c r="G28" s="36">
        <f t="shared" si="1"/>
        <v>-168436.57</v>
      </c>
    </row>
    <row r="29">
      <c r="A29" s="60" t="s">
        <v>2071</v>
      </c>
      <c r="B29" s="60" t="s">
        <v>2099</v>
      </c>
      <c r="C29" s="60" t="s">
        <v>1191</v>
      </c>
      <c r="D29" s="37"/>
      <c r="E29" s="68">
        <v>0.0</v>
      </c>
      <c r="F29" s="68">
        <v>2349.98</v>
      </c>
      <c r="G29" s="36">
        <f t="shared" si="1"/>
        <v>-170786.55</v>
      </c>
    </row>
    <row r="30">
      <c r="A30" s="60" t="s">
        <v>2100</v>
      </c>
      <c r="B30" s="60" t="s">
        <v>2101</v>
      </c>
      <c r="C30" s="60" t="s">
        <v>1495</v>
      </c>
      <c r="D30" s="37"/>
      <c r="E30" s="68">
        <v>0.0</v>
      </c>
      <c r="F30" s="68">
        <v>150.0</v>
      </c>
      <c r="G30" s="36">
        <f t="shared" si="1"/>
        <v>-170936.55</v>
      </c>
    </row>
    <row r="31">
      <c r="A31" s="60" t="s">
        <v>2100</v>
      </c>
      <c r="B31" s="60" t="s">
        <v>2102</v>
      </c>
      <c r="C31" s="60" t="s">
        <v>2103</v>
      </c>
      <c r="D31" s="37"/>
      <c r="E31" s="68">
        <v>0.0</v>
      </c>
      <c r="F31" s="68">
        <v>1920.0</v>
      </c>
      <c r="G31" s="36">
        <f t="shared" si="1"/>
        <v>-172856.55</v>
      </c>
    </row>
    <row r="32">
      <c r="A32" s="60" t="s">
        <v>2104</v>
      </c>
      <c r="B32" s="60" t="s">
        <v>2105</v>
      </c>
      <c r="C32" s="60" t="s">
        <v>1863</v>
      </c>
      <c r="D32" s="37"/>
      <c r="E32" s="68">
        <v>3000.0</v>
      </c>
      <c r="F32" s="68">
        <v>0.0</v>
      </c>
      <c r="G32" s="36">
        <f t="shared" si="1"/>
        <v>-169856.55</v>
      </c>
    </row>
    <row r="33">
      <c r="A33" s="60" t="s">
        <v>2104</v>
      </c>
      <c r="B33" s="60" t="s">
        <v>2106</v>
      </c>
      <c r="C33" s="60" t="s">
        <v>1223</v>
      </c>
      <c r="D33" s="37"/>
      <c r="E33" s="68">
        <v>0.0</v>
      </c>
      <c r="F33" s="68">
        <v>218.0</v>
      </c>
      <c r="G33" s="36">
        <f t="shared" si="1"/>
        <v>-170074.55</v>
      </c>
    </row>
    <row r="34">
      <c r="A34" s="60" t="s">
        <v>2107</v>
      </c>
      <c r="B34" s="60" t="s">
        <v>2108</v>
      </c>
      <c r="C34" s="60" t="s">
        <v>1191</v>
      </c>
      <c r="D34" s="37"/>
      <c r="E34" s="68">
        <v>0.0</v>
      </c>
      <c r="F34" s="68">
        <v>57.99</v>
      </c>
      <c r="G34" s="36">
        <f t="shared" si="1"/>
        <v>-170132.54</v>
      </c>
    </row>
    <row r="35">
      <c r="A35" s="60" t="s">
        <v>2109</v>
      </c>
      <c r="B35" s="60" t="s">
        <v>2110</v>
      </c>
      <c r="C35" s="60" t="s">
        <v>2111</v>
      </c>
      <c r="D35" s="37"/>
      <c r="E35" s="68">
        <v>0.0</v>
      </c>
      <c r="F35" s="68">
        <v>89.33</v>
      </c>
      <c r="G35" s="36">
        <f t="shared" si="1"/>
        <v>-170221.87</v>
      </c>
    </row>
    <row r="36">
      <c r="A36" s="60" t="s">
        <v>2112</v>
      </c>
      <c r="B36" s="60" t="s">
        <v>2113</v>
      </c>
      <c r="C36" s="60" t="s">
        <v>1223</v>
      </c>
      <c r="D36" s="37"/>
      <c r="E36" s="68">
        <v>0.0</v>
      </c>
      <c r="F36" s="68">
        <v>235.0</v>
      </c>
      <c r="G36" s="36">
        <f t="shared" si="1"/>
        <v>-170456.87</v>
      </c>
    </row>
    <row r="37">
      <c r="A37" s="60" t="s">
        <v>2073</v>
      </c>
      <c r="B37" s="60" t="s">
        <v>2114</v>
      </c>
      <c r="C37" s="60" t="s">
        <v>1475</v>
      </c>
      <c r="D37" s="37"/>
      <c r="E37" s="68">
        <v>0.0</v>
      </c>
      <c r="F37" s="68">
        <v>782.88</v>
      </c>
      <c r="G37" s="36">
        <f t="shared" si="1"/>
        <v>-171239.75</v>
      </c>
    </row>
    <row r="38">
      <c r="A38" s="60" t="s">
        <v>2073</v>
      </c>
      <c r="B38" s="60" t="s">
        <v>2115</v>
      </c>
      <c r="C38" s="60" t="s">
        <v>2116</v>
      </c>
      <c r="D38" s="37"/>
      <c r="E38" s="68">
        <v>0.0</v>
      </c>
      <c r="F38" s="68">
        <v>263.0</v>
      </c>
      <c r="G38" s="36">
        <f t="shared" si="1"/>
        <v>-171502.75</v>
      </c>
    </row>
    <row r="39">
      <c r="A39" s="60" t="s">
        <v>2076</v>
      </c>
      <c r="B39" s="60" t="s">
        <v>2117</v>
      </c>
      <c r="C39" s="60" t="s">
        <v>1191</v>
      </c>
      <c r="D39" s="37"/>
      <c r="E39" s="68">
        <v>0.0</v>
      </c>
      <c r="F39" s="68">
        <v>1955.96</v>
      </c>
      <c r="G39" s="36">
        <f t="shared" si="1"/>
        <v>-173458.71</v>
      </c>
    </row>
    <row r="40">
      <c r="A40" s="60" t="s">
        <v>2076</v>
      </c>
      <c r="B40" s="60" t="s">
        <v>2118</v>
      </c>
      <c r="C40" s="60" t="s">
        <v>1495</v>
      </c>
      <c r="D40" s="37"/>
      <c r="E40" s="68">
        <v>0.0</v>
      </c>
      <c r="F40" s="68">
        <v>368.0</v>
      </c>
      <c r="G40" s="36">
        <f t="shared" si="1"/>
        <v>-173826.71</v>
      </c>
    </row>
    <row r="41">
      <c r="A41" s="60" t="s">
        <v>2076</v>
      </c>
      <c r="B41" s="60" t="s">
        <v>2119</v>
      </c>
      <c r="C41" s="60" t="s">
        <v>2103</v>
      </c>
      <c r="D41" s="37"/>
      <c r="E41" s="68">
        <v>0.0</v>
      </c>
      <c r="F41" s="68">
        <v>2402.11</v>
      </c>
      <c r="G41" s="36">
        <f t="shared" si="1"/>
        <v>-176228.82</v>
      </c>
    </row>
    <row r="42">
      <c r="A42" s="60" t="s">
        <v>2076</v>
      </c>
      <c r="B42" s="60" t="s">
        <v>2120</v>
      </c>
      <c r="C42" s="60" t="s">
        <v>2103</v>
      </c>
      <c r="D42" s="37"/>
      <c r="E42" s="68">
        <v>0.0</v>
      </c>
      <c r="F42" s="68">
        <v>1822.0</v>
      </c>
      <c r="G42" s="36">
        <f t="shared" si="1"/>
        <v>-178050.82</v>
      </c>
    </row>
    <row r="43">
      <c r="A43" s="60" t="s">
        <v>2076</v>
      </c>
      <c r="B43" s="60" t="s">
        <v>2121</v>
      </c>
      <c r="C43" s="60" t="s">
        <v>1506</v>
      </c>
      <c r="D43" s="37"/>
      <c r="E43" s="68">
        <v>0.0</v>
      </c>
      <c r="F43" s="68">
        <v>14870.32</v>
      </c>
      <c r="G43" s="36">
        <f t="shared" si="1"/>
        <v>-192921.14</v>
      </c>
    </row>
    <row r="44">
      <c r="A44" s="60" t="s">
        <v>2076</v>
      </c>
      <c r="B44" s="60" t="s">
        <v>2122</v>
      </c>
      <c r="C44" s="60" t="s">
        <v>1583</v>
      </c>
      <c r="D44" s="37"/>
      <c r="E44" s="68">
        <v>2169.0</v>
      </c>
      <c r="F44" s="68">
        <v>0.0</v>
      </c>
      <c r="G44" s="36">
        <f t="shared" si="1"/>
        <v>-190752.14</v>
      </c>
    </row>
    <row r="45">
      <c r="A45" s="60" t="s">
        <v>2123</v>
      </c>
      <c r="B45" s="60" t="s">
        <v>2124</v>
      </c>
      <c r="C45" s="60" t="s">
        <v>1863</v>
      </c>
      <c r="D45" s="37"/>
      <c r="E45" s="68">
        <v>0.0</v>
      </c>
      <c r="F45" s="68">
        <v>1845.0</v>
      </c>
      <c r="G45" s="36">
        <f t="shared" si="1"/>
        <v>-192597.14</v>
      </c>
    </row>
    <row r="46">
      <c r="A46" s="60" t="s">
        <v>2123</v>
      </c>
      <c r="B46" s="60" t="s">
        <v>2125</v>
      </c>
      <c r="C46" s="60" t="s">
        <v>1797</v>
      </c>
      <c r="D46" s="37"/>
      <c r="E46" s="68">
        <v>0.0</v>
      </c>
      <c r="F46" s="68">
        <v>1430.81</v>
      </c>
      <c r="G46" s="36">
        <f t="shared" si="1"/>
        <v>-194027.95</v>
      </c>
    </row>
    <row r="47">
      <c r="A47" s="60" t="s">
        <v>2123</v>
      </c>
      <c r="B47" s="60" t="s">
        <v>2126</v>
      </c>
      <c r="C47" s="60" t="s">
        <v>2103</v>
      </c>
      <c r="D47" s="37"/>
      <c r="E47" s="68">
        <v>0.0</v>
      </c>
      <c r="F47" s="68">
        <v>2044.0</v>
      </c>
      <c r="G47" s="36">
        <f t="shared" si="1"/>
        <v>-196071.95</v>
      </c>
    </row>
    <row r="48">
      <c r="A48" s="60" t="s">
        <v>2123</v>
      </c>
      <c r="B48" s="60" t="s">
        <v>2127</v>
      </c>
      <c r="C48" s="60" t="s">
        <v>2128</v>
      </c>
      <c r="D48" s="37"/>
      <c r="E48" s="68">
        <v>4308.03</v>
      </c>
      <c r="F48" s="68">
        <v>0.0</v>
      </c>
      <c r="G48" s="36">
        <f t="shared" si="1"/>
        <v>-191763.92</v>
      </c>
    </row>
    <row r="49">
      <c r="A49" s="60" t="s">
        <v>2123</v>
      </c>
      <c r="B49" s="60" t="s">
        <v>2127</v>
      </c>
      <c r="C49" s="60" t="s">
        <v>2129</v>
      </c>
      <c r="D49" s="37"/>
      <c r="E49" s="68">
        <v>4308.03</v>
      </c>
      <c r="F49" s="68">
        <v>0.0</v>
      </c>
      <c r="G49" s="36">
        <f t="shared" si="1"/>
        <v>-187455.89</v>
      </c>
    </row>
    <row r="50">
      <c r="A50" s="60" t="s">
        <v>2123</v>
      </c>
      <c r="B50" s="60" t="s">
        <v>2127</v>
      </c>
      <c r="C50" s="60" t="s">
        <v>2128</v>
      </c>
      <c r="D50" s="37"/>
      <c r="E50" s="68">
        <v>4308.03</v>
      </c>
      <c r="F50" s="68">
        <v>0.0</v>
      </c>
      <c r="G50" s="36">
        <f t="shared" si="1"/>
        <v>-183147.86</v>
      </c>
    </row>
    <row r="51">
      <c r="A51" s="60" t="s">
        <v>2123</v>
      </c>
      <c r="B51" s="60" t="s">
        <v>2130</v>
      </c>
      <c r="C51" s="60" t="s">
        <v>1223</v>
      </c>
      <c r="D51" s="37"/>
      <c r="E51" s="68">
        <v>0.0</v>
      </c>
      <c r="F51" s="68">
        <v>732.0</v>
      </c>
      <c r="G51" s="36">
        <f t="shared" si="1"/>
        <v>-183879.86</v>
      </c>
    </row>
    <row r="52">
      <c r="A52" s="60" t="s">
        <v>2078</v>
      </c>
      <c r="B52" s="60" t="s">
        <v>2131</v>
      </c>
      <c r="C52" s="60" t="s">
        <v>2116</v>
      </c>
      <c r="D52" s="37"/>
      <c r="E52" s="68">
        <v>0.0</v>
      </c>
      <c r="F52" s="68">
        <v>971.0</v>
      </c>
      <c r="G52" s="36">
        <f t="shared" si="1"/>
        <v>-184850.86</v>
      </c>
    </row>
    <row r="53">
      <c r="A53" s="60" t="s">
        <v>2078</v>
      </c>
      <c r="B53" s="60" t="s">
        <v>2132</v>
      </c>
      <c r="C53" s="60" t="s">
        <v>2133</v>
      </c>
      <c r="D53" s="37"/>
      <c r="E53" s="68">
        <v>0.0</v>
      </c>
      <c r="F53" s="68">
        <v>1031.86</v>
      </c>
      <c r="G53" s="36">
        <f t="shared" si="1"/>
        <v>-185882.72</v>
      </c>
    </row>
    <row r="54">
      <c r="A54" s="60" t="s">
        <v>2078</v>
      </c>
      <c r="B54" s="60" t="s">
        <v>2134</v>
      </c>
      <c r="C54" s="60" t="s">
        <v>1495</v>
      </c>
      <c r="D54" s="37"/>
      <c r="E54" s="68">
        <v>0.0</v>
      </c>
      <c r="F54" s="68">
        <v>293.0</v>
      </c>
      <c r="G54" s="36">
        <f t="shared" si="1"/>
        <v>-186175.72</v>
      </c>
    </row>
    <row r="55">
      <c r="A55" s="60" t="s">
        <v>2078</v>
      </c>
      <c r="B55" s="60" t="s">
        <v>2135</v>
      </c>
      <c r="C55" s="60" t="s">
        <v>2136</v>
      </c>
      <c r="D55" s="37"/>
      <c r="E55" s="68">
        <v>0.0</v>
      </c>
      <c r="F55" s="68">
        <v>1041.86</v>
      </c>
      <c r="G55" s="36">
        <f t="shared" si="1"/>
        <v>-187217.58</v>
      </c>
    </row>
    <row r="56">
      <c r="A56" s="60" t="s">
        <v>2137</v>
      </c>
      <c r="B56" s="60" t="s">
        <v>2138</v>
      </c>
      <c r="C56" s="60" t="s">
        <v>1583</v>
      </c>
      <c r="D56" s="37"/>
      <c r="E56" s="68">
        <v>0.0</v>
      </c>
      <c r="F56" s="68">
        <v>7097.79</v>
      </c>
      <c r="G56" s="36">
        <f t="shared" si="1"/>
        <v>-194315.37</v>
      </c>
    </row>
    <row r="57">
      <c r="A57" s="60" t="s">
        <v>2137</v>
      </c>
      <c r="B57" s="60" t="s">
        <v>2139</v>
      </c>
      <c r="C57" s="60" t="s">
        <v>1369</v>
      </c>
      <c r="D57" s="37"/>
      <c r="E57" s="68">
        <v>0.0</v>
      </c>
      <c r="F57" s="68">
        <v>4300.67</v>
      </c>
      <c r="G57" s="36">
        <f t="shared" si="1"/>
        <v>-198616.04</v>
      </c>
    </row>
    <row r="58">
      <c r="A58" s="60" t="s">
        <v>2137</v>
      </c>
      <c r="B58" s="60" t="s">
        <v>2140</v>
      </c>
      <c r="C58" s="60" t="s">
        <v>1569</v>
      </c>
      <c r="D58" s="37"/>
      <c r="E58" s="68">
        <v>0.0</v>
      </c>
      <c r="F58" s="68">
        <v>1463.79</v>
      </c>
      <c r="G58" s="36">
        <f t="shared" si="1"/>
        <v>-200079.83</v>
      </c>
    </row>
    <row r="59">
      <c r="A59" s="60" t="s">
        <v>2141</v>
      </c>
      <c r="B59" s="60" t="s">
        <v>2142</v>
      </c>
      <c r="C59" s="60" t="s">
        <v>1369</v>
      </c>
      <c r="D59" s="37"/>
      <c r="E59" s="68">
        <v>0.0</v>
      </c>
      <c r="F59" s="68">
        <v>6238.6</v>
      </c>
      <c r="G59" s="36">
        <f t="shared" si="1"/>
        <v>-206318.43</v>
      </c>
    </row>
    <row r="60">
      <c r="A60" s="60" t="s">
        <v>2141</v>
      </c>
      <c r="B60" s="60" t="s">
        <v>2143</v>
      </c>
      <c r="C60" s="60" t="s">
        <v>2144</v>
      </c>
      <c r="D60" s="37"/>
      <c r="E60" s="68">
        <v>0.0</v>
      </c>
      <c r="F60" s="68">
        <v>1327.8</v>
      </c>
      <c r="G60" s="36">
        <f t="shared" si="1"/>
        <v>-207646.23</v>
      </c>
    </row>
    <row r="61">
      <c r="A61" s="60" t="s">
        <v>2141</v>
      </c>
      <c r="B61" s="60" t="s">
        <v>2145</v>
      </c>
      <c r="C61" s="60" t="s">
        <v>1579</v>
      </c>
      <c r="D61" s="37"/>
      <c r="E61" s="68">
        <v>0.0</v>
      </c>
      <c r="F61" s="68">
        <v>1021.85</v>
      </c>
      <c r="G61" s="36">
        <f t="shared" si="1"/>
        <v>-208668.08</v>
      </c>
    </row>
    <row r="62">
      <c r="A62" s="60" t="s">
        <v>2141</v>
      </c>
      <c r="B62" s="60" t="s">
        <v>2146</v>
      </c>
      <c r="C62" s="60" t="s">
        <v>1579</v>
      </c>
      <c r="D62" s="37"/>
      <c r="E62" s="68">
        <v>0.0</v>
      </c>
      <c r="F62" s="68">
        <v>1500.0</v>
      </c>
      <c r="G62" s="36">
        <f t="shared" si="1"/>
        <v>-210168.08</v>
      </c>
    </row>
    <row r="63">
      <c r="A63" s="85"/>
      <c r="B63" s="85"/>
      <c r="C63" s="60" t="s">
        <v>2147</v>
      </c>
      <c r="D63" s="37"/>
      <c r="E63" s="68">
        <v>48.57</v>
      </c>
      <c r="F63" s="68">
        <v>0.0</v>
      </c>
      <c r="G63" s="36">
        <f t="shared" si="1"/>
        <v>-210119.51</v>
      </c>
    </row>
    <row r="64">
      <c r="A64" s="60"/>
      <c r="B64" s="60"/>
      <c r="C64" s="60"/>
      <c r="D64" s="37"/>
      <c r="E64" s="68"/>
      <c r="F64" s="68"/>
      <c r="G64" s="36" t="str">
        <f t="shared" si="1"/>
        <v/>
      </c>
    </row>
    <row r="65">
      <c r="A65" s="60"/>
      <c r="B65" s="60"/>
      <c r="C65" s="60"/>
      <c r="D65" s="37"/>
      <c r="E65" s="68"/>
      <c r="F65" s="68"/>
      <c r="G65" s="36" t="str">
        <f t="shared" si="1"/>
        <v/>
      </c>
    </row>
    <row r="66">
      <c r="A66" s="60"/>
      <c r="B66" s="60"/>
      <c r="C66" s="60"/>
      <c r="D66" s="37"/>
      <c r="E66" s="68"/>
      <c r="F66" s="68"/>
      <c r="G66" s="36" t="str">
        <f t="shared" si="1"/>
        <v/>
      </c>
    </row>
    <row r="67">
      <c r="A67" s="60"/>
      <c r="B67" s="60"/>
      <c r="C67" s="60"/>
      <c r="D67" s="37"/>
      <c r="E67" s="68"/>
      <c r="F67" s="68"/>
      <c r="G67" s="36" t="str">
        <f t="shared" si="1"/>
        <v/>
      </c>
      <c r="K67" s="95">
        <v>-42884.47</v>
      </c>
    </row>
    <row r="68">
      <c r="A68" s="60"/>
      <c r="B68" s="60"/>
      <c r="C68" s="60"/>
      <c r="D68" s="37"/>
      <c r="E68" s="68"/>
      <c r="F68" s="68"/>
      <c r="G68" s="36" t="str">
        <f t="shared" si="1"/>
        <v/>
      </c>
      <c r="K68" s="6">
        <v>-92898.77999999997</v>
      </c>
    </row>
    <row r="69">
      <c r="A69" s="60"/>
      <c r="B69" s="60"/>
      <c r="C69" s="60"/>
      <c r="D69" s="37"/>
      <c r="E69" s="68"/>
      <c r="F69" s="68"/>
      <c r="G69" s="36" t="str">
        <f t="shared" si="1"/>
        <v/>
      </c>
      <c r="K69" s="62">
        <f>K67-K68</f>
        <v>50014.31</v>
      </c>
    </row>
    <row r="70">
      <c r="A70" s="60"/>
      <c r="B70" s="60"/>
      <c r="C70" s="60"/>
      <c r="D70" s="37"/>
      <c r="E70" s="68"/>
      <c r="F70" s="68"/>
      <c r="G70" s="36" t="str">
        <f t="shared" si="1"/>
        <v/>
      </c>
    </row>
    <row r="71">
      <c r="A71" s="60"/>
      <c r="B71" s="60"/>
      <c r="C71" s="60"/>
      <c r="D71" s="37"/>
      <c r="E71" s="68"/>
      <c r="F71" s="68"/>
      <c r="G71" s="36" t="str">
        <f t="shared" si="1"/>
        <v/>
      </c>
    </row>
    <row r="72">
      <c r="A72" s="60"/>
      <c r="B72" s="60"/>
      <c r="C72" s="60"/>
      <c r="D72" s="37"/>
      <c r="E72" s="68"/>
      <c r="F72" s="68"/>
      <c r="G72" s="36" t="str">
        <f t="shared" si="1"/>
        <v/>
      </c>
    </row>
    <row r="73">
      <c r="A73" s="60"/>
      <c r="B73" s="60"/>
      <c r="C73" s="60"/>
      <c r="D73" s="37"/>
      <c r="E73" s="68"/>
      <c r="F73" s="68"/>
      <c r="G73" s="36" t="str">
        <f t="shared" si="1"/>
        <v/>
      </c>
    </row>
    <row r="74">
      <c r="A74" s="60"/>
      <c r="B74" s="60"/>
      <c r="C74" s="60"/>
      <c r="D74" s="37"/>
      <c r="E74" s="68"/>
      <c r="F74" s="68"/>
      <c r="G74" s="36" t="str">
        <f t="shared" si="1"/>
        <v/>
      </c>
    </row>
    <row r="75">
      <c r="A75" s="60"/>
      <c r="B75" s="60"/>
      <c r="C75" s="60"/>
      <c r="D75" s="37"/>
      <c r="E75" s="68"/>
      <c r="F75" s="68"/>
      <c r="G75" s="36" t="str">
        <f t="shared" si="1"/>
        <v/>
      </c>
    </row>
    <row r="76">
      <c r="A76" s="60"/>
      <c r="B76" s="60"/>
      <c r="C76" s="60"/>
      <c r="D76" s="37"/>
      <c r="E76" s="68"/>
      <c r="F76" s="68"/>
      <c r="G76" s="36" t="str">
        <f t="shared" si="1"/>
        <v/>
      </c>
    </row>
    <row r="77">
      <c r="A77" s="60"/>
      <c r="B77" s="60"/>
      <c r="C77" s="60"/>
      <c r="D77" s="37"/>
      <c r="E77" s="68"/>
      <c r="F77" s="68"/>
      <c r="G77" s="36" t="str">
        <f t="shared" si="1"/>
        <v/>
      </c>
    </row>
    <row r="78">
      <c r="A78" s="60"/>
      <c r="B78" s="60"/>
      <c r="C78" s="60"/>
      <c r="D78" s="37"/>
      <c r="E78" s="68"/>
      <c r="F78" s="68"/>
      <c r="G78" s="36" t="str">
        <f t="shared" si="1"/>
        <v/>
      </c>
      <c r="L78" s="32"/>
    </row>
    <row r="79">
      <c r="A79" s="60"/>
      <c r="B79" s="60"/>
      <c r="C79" s="60"/>
      <c r="D79" s="37"/>
      <c r="E79" s="68"/>
      <c r="F79" s="68"/>
      <c r="G79" s="36" t="str">
        <f t="shared" si="1"/>
        <v/>
      </c>
    </row>
    <row r="80">
      <c r="A80" s="60"/>
      <c r="B80" s="60"/>
      <c r="C80" s="60"/>
      <c r="D80" s="37"/>
      <c r="E80" s="68"/>
      <c r="F80" s="68"/>
      <c r="G80" s="36" t="str">
        <f t="shared" si="1"/>
        <v/>
      </c>
    </row>
    <row r="81">
      <c r="A81" s="70"/>
      <c r="B81" s="70"/>
      <c r="C81" s="60"/>
      <c r="D81" s="37"/>
      <c r="E81" s="68"/>
      <c r="F81" s="68"/>
      <c r="G81" s="36" t="str">
        <f t="shared" si="1"/>
        <v/>
      </c>
    </row>
    <row r="82">
      <c r="A82" s="37"/>
      <c r="B82" s="37"/>
      <c r="C82" s="37"/>
      <c r="D82" s="37"/>
      <c r="E82" s="101"/>
      <c r="F82" s="68"/>
      <c r="G82" s="36" t="str">
        <f t="shared" si="1"/>
        <v/>
      </c>
      <c r="I82" s="6">
        <f>B3+F82-E82</f>
        <v>-162101.8</v>
      </c>
      <c r="J82" s="95">
        <v>-42884.47</v>
      </c>
      <c r="K82" s="62">
        <f>J82+J92</f>
        <v>-38675.94</v>
      </c>
    </row>
    <row r="83">
      <c r="A83" s="37"/>
      <c r="B83" s="37"/>
      <c r="C83" s="37"/>
      <c r="D83" s="37"/>
      <c r="E83" s="36"/>
      <c r="F83" s="68"/>
      <c r="G83" s="36" t="str">
        <f t="shared" si="1"/>
        <v/>
      </c>
      <c r="J83" s="62">
        <f>J82-I82</f>
        <v>119217.33</v>
      </c>
    </row>
    <row r="84">
      <c r="A84" s="37"/>
      <c r="B84" s="37"/>
      <c r="C84" s="37"/>
      <c r="D84" s="37"/>
      <c r="E84" s="36"/>
      <c r="F84" s="68"/>
      <c r="G84" s="36" t="str">
        <f t="shared" si="1"/>
        <v/>
      </c>
      <c r="J84" s="62">
        <f>K82-E102+F102</f>
        <v>9341.77</v>
      </c>
    </row>
    <row r="85">
      <c r="A85" s="37"/>
      <c r="B85" s="37"/>
      <c r="C85" s="37"/>
      <c r="D85" s="37"/>
      <c r="E85" s="36"/>
      <c r="F85" s="36"/>
      <c r="G85" s="36" t="str">
        <f t="shared" si="1"/>
        <v/>
      </c>
    </row>
    <row r="86">
      <c r="A86" s="37"/>
      <c r="B86" s="37"/>
      <c r="C86" s="37"/>
      <c r="D86" s="37"/>
      <c r="E86" s="36"/>
      <c r="F86" s="36"/>
      <c r="G86" s="36" t="str">
        <f t="shared" si="1"/>
        <v/>
      </c>
    </row>
    <row r="87">
      <c r="A87" s="37"/>
      <c r="B87" s="37"/>
      <c r="C87" s="37"/>
      <c r="D87" s="37"/>
      <c r="E87" s="36"/>
      <c r="F87" s="36"/>
      <c r="G87" s="36" t="str">
        <f t="shared" si="1"/>
        <v/>
      </c>
      <c r="J87" s="31">
        <v>68569.17</v>
      </c>
    </row>
    <row r="88">
      <c r="A88" s="37"/>
      <c r="B88" s="37"/>
      <c r="C88" s="37"/>
      <c r="D88" s="37"/>
      <c r="E88" s="36"/>
      <c r="F88" s="36"/>
      <c r="G88" s="36" t="str">
        <f t="shared" si="1"/>
        <v/>
      </c>
    </row>
    <row r="89">
      <c r="A89" s="37"/>
      <c r="B89" s="37"/>
      <c r="C89" s="37"/>
      <c r="D89" s="37"/>
      <c r="E89" s="36"/>
      <c r="F89" s="36"/>
      <c r="G89" s="36" t="str">
        <f t="shared" si="1"/>
        <v/>
      </c>
    </row>
    <row r="90">
      <c r="A90" s="37"/>
      <c r="B90" s="37"/>
      <c r="C90" s="37"/>
      <c r="D90" s="37"/>
      <c r="E90" s="36"/>
      <c r="F90" s="36"/>
      <c r="G90" s="36" t="str">
        <f t="shared" si="1"/>
        <v/>
      </c>
    </row>
    <row r="91">
      <c r="A91" s="37"/>
      <c r="B91" s="37"/>
      <c r="C91" s="37"/>
      <c r="D91" s="37"/>
      <c r="E91" s="36"/>
      <c r="F91" s="36"/>
      <c r="G91" s="36" t="str">
        <f t="shared" si="1"/>
        <v/>
      </c>
    </row>
    <row r="92">
      <c r="A92" s="37"/>
      <c r="B92" s="37"/>
      <c r="C92" s="37"/>
      <c r="D92" s="37"/>
      <c r="E92" s="36"/>
      <c r="F92" s="36"/>
      <c r="G92" s="36" t="str">
        <f t="shared" si="1"/>
        <v/>
      </c>
      <c r="J92" s="102">
        <v>4208.53</v>
      </c>
    </row>
    <row r="93">
      <c r="A93" s="37"/>
      <c r="B93" s="37"/>
      <c r="C93" s="37"/>
      <c r="D93" s="37"/>
      <c r="E93" s="36"/>
      <c r="F93" s="36"/>
      <c r="G93" s="36" t="str">
        <f t="shared" si="1"/>
        <v/>
      </c>
      <c r="J93" s="62">
        <f>J92+F102-E102</f>
        <v>52226.24</v>
      </c>
    </row>
    <row r="94">
      <c r="A94" s="37"/>
      <c r="B94" s="37"/>
      <c r="C94" s="37"/>
      <c r="D94" s="37"/>
      <c r="E94" s="36"/>
      <c r="F94" s="36"/>
      <c r="G94" s="36" t="str">
        <f t="shared" si="1"/>
        <v/>
      </c>
    </row>
    <row r="95">
      <c r="A95" s="37"/>
      <c r="B95" s="37"/>
      <c r="C95" s="37"/>
      <c r="D95" s="37"/>
      <c r="E95" s="36"/>
      <c r="F95" s="36"/>
      <c r="G95" s="36" t="str">
        <f t="shared" si="1"/>
        <v/>
      </c>
    </row>
    <row r="96">
      <c r="A96" s="37"/>
      <c r="B96" s="37"/>
      <c r="C96" s="37"/>
      <c r="D96" s="37"/>
      <c r="E96" s="36"/>
      <c r="F96" s="36"/>
      <c r="G96" s="36" t="str">
        <f t="shared" si="1"/>
        <v/>
      </c>
    </row>
    <row r="97">
      <c r="A97" s="37"/>
      <c r="B97" s="37"/>
      <c r="C97" s="37"/>
      <c r="D97" s="37"/>
      <c r="E97" s="36"/>
      <c r="F97" s="36"/>
      <c r="G97" s="36" t="str">
        <f t="shared" si="1"/>
        <v/>
      </c>
    </row>
    <row r="98">
      <c r="A98" s="37"/>
      <c r="B98" s="37"/>
      <c r="C98" s="37"/>
      <c r="D98" s="37"/>
      <c r="E98" s="36"/>
      <c r="F98" s="36"/>
      <c r="G98" s="36" t="str">
        <f t="shared" si="1"/>
        <v/>
      </c>
    </row>
    <row r="99">
      <c r="A99" s="37"/>
      <c r="B99" s="37"/>
      <c r="C99" s="37"/>
      <c r="D99" s="37"/>
      <c r="E99" s="36"/>
      <c r="F99" s="36"/>
      <c r="G99" s="36" t="str">
        <f t="shared" si="1"/>
        <v/>
      </c>
    </row>
    <row r="100">
      <c r="A100" s="37"/>
      <c r="B100" s="37"/>
      <c r="C100" s="37"/>
      <c r="D100" s="37"/>
      <c r="E100" s="36"/>
      <c r="F100" s="36"/>
      <c r="G100" s="36" t="str">
        <f t="shared" si="1"/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>
        <f t="shared" ref="E102:F102" si="2">SUM(E7:E101)</f>
        <v>36642.01</v>
      </c>
      <c r="F102" s="55">
        <f t="shared" si="2"/>
        <v>84659.72</v>
      </c>
      <c r="G102" s="56"/>
    </row>
  </sheetData>
  <mergeCells count="2">
    <mergeCell ref="A1:G1"/>
    <mergeCell ref="A5:G5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4" width="12.63"/>
    <col customWidth="1" min="5" max="7" width="15.13"/>
    <col customWidth="1" min="8" max="8" width="7.63"/>
  </cols>
  <sheetData>
    <row r="1">
      <c r="A1" s="24" t="s">
        <v>2148</v>
      </c>
    </row>
    <row r="3">
      <c r="A3" s="15" t="s">
        <v>41</v>
      </c>
    </row>
    <row r="4">
      <c r="A4" s="41" t="s">
        <v>1391</v>
      </c>
      <c r="B4" s="90">
        <f t="shared" ref="B4:B16" si="1">SUMIF($D$21:$D$504,A4,$G$21:$G$504)</f>
        <v>57982.29</v>
      </c>
      <c r="C4" s="42">
        <f t="shared" ref="C4:C16" si="2">COUNTIF($D$21:$D$504,A4)</f>
        <v>44</v>
      </c>
      <c r="D4" s="42">
        <f t="shared" ref="D4:D8" si="3">IFERROR(B4/C4,0)</f>
        <v>1317.779318</v>
      </c>
    </row>
    <row r="5">
      <c r="A5" s="34" t="s">
        <v>1392</v>
      </c>
      <c r="B5" s="36">
        <f t="shared" si="1"/>
        <v>23396.73</v>
      </c>
      <c r="C5" s="36">
        <f t="shared" si="2"/>
        <v>18</v>
      </c>
      <c r="D5" s="36">
        <f t="shared" si="3"/>
        <v>1299.818333</v>
      </c>
    </row>
    <row r="6">
      <c r="A6" s="34" t="s">
        <v>1393</v>
      </c>
      <c r="B6" s="36">
        <f t="shared" si="1"/>
        <v>15534.5</v>
      </c>
      <c r="C6" s="36">
        <f t="shared" si="2"/>
        <v>12</v>
      </c>
      <c r="D6" s="36">
        <f t="shared" si="3"/>
        <v>1294.541667</v>
      </c>
    </row>
    <row r="7">
      <c r="A7" s="34" t="s">
        <v>46</v>
      </c>
      <c r="B7" s="36">
        <f t="shared" si="1"/>
        <v>15595.44</v>
      </c>
      <c r="C7" s="36">
        <f t="shared" si="2"/>
        <v>6</v>
      </c>
      <c r="D7" s="36">
        <f t="shared" si="3"/>
        <v>2599.24</v>
      </c>
    </row>
    <row r="8">
      <c r="A8" s="34" t="s">
        <v>47</v>
      </c>
      <c r="B8" s="36">
        <f t="shared" si="1"/>
        <v>408441.36</v>
      </c>
      <c r="C8" s="36">
        <f t="shared" si="2"/>
        <v>24</v>
      </c>
      <c r="D8" s="36">
        <f t="shared" si="3"/>
        <v>17018.39</v>
      </c>
    </row>
    <row r="9">
      <c r="A9" s="34" t="s">
        <v>48</v>
      </c>
      <c r="B9" s="36">
        <f t="shared" si="1"/>
        <v>45671.06</v>
      </c>
      <c r="C9" s="36">
        <f t="shared" si="2"/>
        <v>28</v>
      </c>
      <c r="D9" s="36">
        <f t="shared" ref="D9:D13" si="4">IFERROR(B9/C9,0)</f>
        <v>1631.109286</v>
      </c>
    </row>
    <row r="10">
      <c r="A10" s="34" t="s">
        <v>49</v>
      </c>
      <c r="B10" s="36">
        <f t="shared" si="1"/>
        <v>650384.77</v>
      </c>
      <c r="C10" s="36">
        <f t="shared" si="2"/>
        <v>15</v>
      </c>
      <c r="D10" s="36">
        <f t="shared" si="4"/>
        <v>43358.98467</v>
      </c>
    </row>
    <row r="11">
      <c r="A11" s="34" t="s">
        <v>50</v>
      </c>
      <c r="B11" s="36">
        <f t="shared" si="1"/>
        <v>779.99</v>
      </c>
      <c r="C11" s="36">
        <f t="shared" si="2"/>
        <v>2</v>
      </c>
      <c r="D11" s="36">
        <f t="shared" si="4"/>
        <v>389.995</v>
      </c>
    </row>
    <row r="12">
      <c r="A12" s="91" t="s">
        <v>52</v>
      </c>
      <c r="B12" s="36">
        <f t="shared" si="1"/>
        <v>231169.37</v>
      </c>
      <c r="C12" s="36">
        <f t="shared" si="2"/>
        <v>18</v>
      </c>
      <c r="D12" s="36">
        <f t="shared" si="4"/>
        <v>12842.74278</v>
      </c>
    </row>
    <row r="13">
      <c r="A13" s="91" t="s">
        <v>58</v>
      </c>
      <c r="B13" s="36">
        <f t="shared" si="1"/>
        <v>6051.96</v>
      </c>
      <c r="C13" s="36">
        <f t="shared" si="2"/>
        <v>9</v>
      </c>
      <c r="D13" s="36">
        <f t="shared" si="4"/>
        <v>672.44</v>
      </c>
    </row>
    <row r="14">
      <c r="A14" s="34" t="s">
        <v>1761</v>
      </c>
      <c r="B14" s="36">
        <f t="shared" si="1"/>
        <v>49421.1</v>
      </c>
      <c r="C14" s="36">
        <f t="shared" si="2"/>
        <v>102</v>
      </c>
      <c r="D14" s="36">
        <f>IFERROR(B14/C14,0)</f>
        <v>484.5205882</v>
      </c>
    </row>
    <row r="15">
      <c r="A15" s="34" t="s">
        <v>2040</v>
      </c>
      <c r="B15" s="98">
        <f t="shared" si="1"/>
        <v>3408.64</v>
      </c>
      <c r="C15" s="98">
        <f t="shared" si="2"/>
        <v>10</v>
      </c>
      <c r="D15" s="98">
        <f t="shared" ref="D15:D16" si="5">IFERROR(B15/C15,0)</f>
        <v>340.864</v>
      </c>
    </row>
    <row r="16">
      <c r="A16" s="34" t="s">
        <v>57</v>
      </c>
      <c r="B16" s="98">
        <f t="shared" si="1"/>
        <v>0</v>
      </c>
      <c r="C16" s="98">
        <f t="shared" si="2"/>
        <v>0</v>
      </c>
      <c r="D16" s="98">
        <f t="shared" si="5"/>
        <v>0</v>
      </c>
    </row>
    <row r="17">
      <c r="A17" s="38" t="s">
        <v>59</v>
      </c>
      <c r="B17" s="39">
        <f>SUM(B4:B16)</f>
        <v>1507837.21</v>
      </c>
      <c r="C17" s="39">
        <f>SUM(C4:C8)</f>
        <v>104</v>
      </c>
      <c r="D17" s="39">
        <f>IFERROR(B17/C17,0)</f>
        <v>14498.43471</v>
      </c>
    </row>
    <row r="19">
      <c r="A19" s="7" t="s">
        <v>1871</v>
      </c>
    </row>
    <row r="20">
      <c r="A20" s="41" t="s">
        <v>130</v>
      </c>
      <c r="B20" s="41" t="s">
        <v>131</v>
      </c>
      <c r="C20" s="41" t="s">
        <v>132</v>
      </c>
      <c r="D20" s="41" t="s">
        <v>41</v>
      </c>
      <c r="E20" s="41" t="s">
        <v>133</v>
      </c>
      <c r="F20" s="41" t="s">
        <v>134</v>
      </c>
      <c r="G20" s="41" t="s">
        <v>104</v>
      </c>
      <c r="H20" s="41" t="s">
        <v>135</v>
      </c>
    </row>
    <row r="21">
      <c r="A21" s="60" t="s">
        <v>2149</v>
      </c>
      <c r="B21" s="60" t="s">
        <v>2150</v>
      </c>
      <c r="C21" s="34" t="s">
        <v>81</v>
      </c>
      <c r="D21" s="34" t="s">
        <v>1391</v>
      </c>
      <c r="E21" s="68">
        <v>568.87</v>
      </c>
      <c r="F21" s="36"/>
      <c r="G21" s="36">
        <f t="shared" ref="G21:G504" si="6">IF(E21="","",E21-F21)</f>
        <v>568.87</v>
      </c>
      <c r="H21" s="37"/>
    </row>
    <row r="22">
      <c r="A22" s="60" t="s">
        <v>2041</v>
      </c>
      <c r="B22" s="60" t="s">
        <v>2042</v>
      </c>
      <c r="C22" s="34" t="s">
        <v>81</v>
      </c>
      <c r="D22" s="34" t="s">
        <v>1391</v>
      </c>
      <c r="E22" s="68">
        <v>553.94</v>
      </c>
      <c r="F22" s="36"/>
      <c r="G22" s="36">
        <f t="shared" si="6"/>
        <v>553.94</v>
      </c>
      <c r="H22" s="37"/>
    </row>
    <row r="23">
      <c r="A23" s="60" t="s">
        <v>170</v>
      </c>
      <c r="B23" s="60" t="s">
        <v>171</v>
      </c>
      <c r="C23" s="34" t="s">
        <v>81</v>
      </c>
      <c r="D23" s="34" t="s">
        <v>1391</v>
      </c>
      <c r="E23" s="68">
        <v>135.97</v>
      </c>
      <c r="F23" s="36"/>
      <c r="G23" s="36">
        <f t="shared" si="6"/>
        <v>135.97</v>
      </c>
      <c r="H23" s="37"/>
    </row>
    <row r="24">
      <c r="A24" s="60" t="s">
        <v>174</v>
      </c>
      <c r="B24" s="60" t="s">
        <v>175</v>
      </c>
      <c r="C24" s="34" t="s">
        <v>81</v>
      </c>
      <c r="D24" s="34" t="s">
        <v>1391</v>
      </c>
      <c r="E24" s="68">
        <v>302.95</v>
      </c>
      <c r="F24" s="36"/>
      <c r="G24" s="36">
        <f t="shared" si="6"/>
        <v>302.95</v>
      </c>
      <c r="H24" s="37"/>
    </row>
    <row r="25">
      <c r="A25" s="60" t="s">
        <v>176</v>
      </c>
      <c r="B25" s="60" t="s">
        <v>177</v>
      </c>
      <c r="C25" s="34" t="s">
        <v>81</v>
      </c>
      <c r="D25" s="34" t="s">
        <v>1391</v>
      </c>
      <c r="E25" s="68">
        <v>1536.83</v>
      </c>
      <c r="F25" s="36"/>
      <c r="G25" s="36">
        <f t="shared" si="6"/>
        <v>1536.83</v>
      </c>
      <c r="H25" s="37"/>
    </row>
    <row r="26">
      <c r="A26" s="60" t="s">
        <v>178</v>
      </c>
      <c r="B26" s="60" t="s">
        <v>179</v>
      </c>
      <c r="C26" s="34" t="s">
        <v>81</v>
      </c>
      <c r="D26" s="34" t="s">
        <v>1391</v>
      </c>
      <c r="E26" s="68">
        <v>1009.87</v>
      </c>
      <c r="F26" s="36"/>
      <c r="G26" s="36">
        <f t="shared" si="6"/>
        <v>1009.87</v>
      </c>
      <c r="H26" s="37"/>
    </row>
    <row r="27">
      <c r="A27" s="60" t="s">
        <v>182</v>
      </c>
      <c r="B27" s="60" t="s">
        <v>183</v>
      </c>
      <c r="C27" s="34" t="s">
        <v>81</v>
      </c>
      <c r="D27" s="34" t="s">
        <v>1391</v>
      </c>
      <c r="E27" s="68">
        <v>1191.83</v>
      </c>
      <c r="F27" s="36"/>
      <c r="G27" s="36">
        <f t="shared" si="6"/>
        <v>1191.83</v>
      </c>
      <c r="H27" s="37"/>
    </row>
    <row r="28">
      <c r="A28" s="60" t="s">
        <v>184</v>
      </c>
      <c r="B28" s="60" t="s">
        <v>185</v>
      </c>
      <c r="C28" s="34" t="s">
        <v>81</v>
      </c>
      <c r="D28" s="34" t="s">
        <v>1391</v>
      </c>
      <c r="E28" s="68">
        <v>1343.61</v>
      </c>
      <c r="F28" s="36"/>
      <c r="G28" s="36">
        <f t="shared" si="6"/>
        <v>1343.61</v>
      </c>
      <c r="H28" s="37"/>
    </row>
    <row r="29">
      <c r="A29" s="60" t="s">
        <v>186</v>
      </c>
      <c r="B29" s="60" t="s">
        <v>187</v>
      </c>
      <c r="C29" s="34" t="s">
        <v>81</v>
      </c>
      <c r="D29" s="34" t="s">
        <v>1391</v>
      </c>
      <c r="E29" s="68">
        <v>1701.73</v>
      </c>
      <c r="F29" s="36"/>
      <c r="G29" s="36">
        <f t="shared" si="6"/>
        <v>1701.73</v>
      </c>
      <c r="H29" s="37"/>
    </row>
    <row r="30">
      <c r="A30" s="60" t="s">
        <v>2151</v>
      </c>
      <c r="B30" s="60" t="s">
        <v>2152</v>
      </c>
      <c r="C30" s="34" t="s">
        <v>81</v>
      </c>
      <c r="D30" s="34" t="s">
        <v>1391</v>
      </c>
      <c r="E30" s="68">
        <v>319.95</v>
      </c>
      <c r="F30" s="36"/>
      <c r="G30" s="36">
        <f t="shared" si="6"/>
        <v>319.95</v>
      </c>
      <c r="H30" s="37"/>
    </row>
    <row r="31">
      <c r="A31" s="60" t="s">
        <v>190</v>
      </c>
      <c r="B31" s="60" t="s">
        <v>191</v>
      </c>
      <c r="C31" s="34" t="s">
        <v>81</v>
      </c>
      <c r="D31" s="34" t="s">
        <v>1391</v>
      </c>
      <c r="E31" s="68">
        <v>837.89</v>
      </c>
      <c r="F31" s="36"/>
      <c r="G31" s="36">
        <f t="shared" si="6"/>
        <v>837.89</v>
      </c>
      <c r="H31" s="37"/>
    </row>
    <row r="32">
      <c r="A32" s="60" t="s">
        <v>192</v>
      </c>
      <c r="B32" s="60" t="s">
        <v>193</v>
      </c>
      <c r="C32" s="34" t="s">
        <v>81</v>
      </c>
      <c r="D32" s="34" t="s">
        <v>1391</v>
      </c>
      <c r="E32" s="68">
        <v>512.94</v>
      </c>
      <c r="F32" s="36"/>
      <c r="G32" s="36">
        <f t="shared" si="6"/>
        <v>512.94</v>
      </c>
      <c r="H32" s="37"/>
    </row>
    <row r="33">
      <c r="A33" s="60" t="s">
        <v>1872</v>
      </c>
      <c r="B33" s="60" t="s">
        <v>1873</v>
      </c>
      <c r="C33" s="34" t="s">
        <v>81</v>
      </c>
      <c r="D33" s="34" t="s">
        <v>1391</v>
      </c>
      <c r="E33" s="68">
        <v>1034.85</v>
      </c>
      <c r="F33" s="36"/>
      <c r="G33" s="36">
        <f t="shared" si="6"/>
        <v>1034.85</v>
      </c>
      <c r="H33" s="37"/>
    </row>
    <row r="34">
      <c r="A34" s="60" t="s">
        <v>194</v>
      </c>
      <c r="B34" s="60" t="s">
        <v>195</v>
      </c>
      <c r="C34" s="34" t="s">
        <v>81</v>
      </c>
      <c r="D34" s="34" t="s">
        <v>1391</v>
      </c>
      <c r="E34" s="68">
        <v>1051.76</v>
      </c>
      <c r="F34" s="36"/>
      <c r="G34" s="36">
        <f t="shared" si="6"/>
        <v>1051.76</v>
      </c>
      <c r="H34" s="37"/>
    </row>
    <row r="35">
      <c r="A35" s="60" t="s">
        <v>196</v>
      </c>
      <c r="B35" s="60" t="s">
        <v>197</v>
      </c>
      <c r="C35" s="34" t="s">
        <v>81</v>
      </c>
      <c r="D35" s="34" t="s">
        <v>1391</v>
      </c>
      <c r="E35" s="68">
        <v>5131.41</v>
      </c>
      <c r="F35" s="36"/>
      <c r="G35" s="36">
        <f t="shared" si="6"/>
        <v>5131.41</v>
      </c>
      <c r="H35" s="37"/>
    </row>
    <row r="36">
      <c r="A36" s="60" t="s">
        <v>198</v>
      </c>
      <c r="B36" s="60" t="s">
        <v>199</v>
      </c>
      <c r="C36" s="34" t="s">
        <v>81</v>
      </c>
      <c r="D36" s="34" t="s">
        <v>1391</v>
      </c>
      <c r="E36" s="68">
        <v>5249.57</v>
      </c>
      <c r="F36" s="36"/>
      <c r="G36" s="36">
        <f t="shared" si="6"/>
        <v>5249.57</v>
      </c>
      <c r="H36" s="37"/>
    </row>
    <row r="37">
      <c r="A37" s="60" t="s">
        <v>200</v>
      </c>
      <c r="B37" s="60" t="s">
        <v>1876</v>
      </c>
      <c r="C37" s="34" t="s">
        <v>81</v>
      </c>
      <c r="D37" s="34" t="s">
        <v>1391</v>
      </c>
      <c r="E37" s="68">
        <v>1021.87</v>
      </c>
      <c r="F37" s="36"/>
      <c r="G37" s="36">
        <f t="shared" si="6"/>
        <v>1021.87</v>
      </c>
      <c r="H37" s="37"/>
    </row>
    <row r="38">
      <c r="A38" s="60" t="s">
        <v>202</v>
      </c>
      <c r="B38" s="60" t="s">
        <v>203</v>
      </c>
      <c r="C38" s="34" t="s">
        <v>81</v>
      </c>
      <c r="D38" s="34" t="s">
        <v>1391</v>
      </c>
      <c r="E38" s="68">
        <v>384.95</v>
      </c>
      <c r="F38" s="36"/>
      <c r="G38" s="36">
        <f t="shared" si="6"/>
        <v>384.95</v>
      </c>
      <c r="H38" s="37"/>
    </row>
    <row r="39">
      <c r="A39" s="60" t="s">
        <v>204</v>
      </c>
      <c r="B39" s="60" t="s">
        <v>205</v>
      </c>
      <c r="C39" s="34" t="s">
        <v>81</v>
      </c>
      <c r="D39" s="34" t="s">
        <v>1391</v>
      </c>
      <c r="E39" s="68">
        <v>1191.82</v>
      </c>
      <c r="F39" s="36"/>
      <c r="G39" s="36">
        <f t="shared" si="6"/>
        <v>1191.82</v>
      </c>
      <c r="H39" s="37"/>
    </row>
    <row r="40">
      <c r="A40" s="60" t="s">
        <v>206</v>
      </c>
      <c r="B40" s="60" t="s">
        <v>207</v>
      </c>
      <c r="C40" s="34" t="s">
        <v>81</v>
      </c>
      <c r="D40" s="34" t="s">
        <v>1391</v>
      </c>
      <c r="E40" s="68">
        <v>3105.7</v>
      </c>
      <c r="F40" s="36"/>
      <c r="G40" s="36">
        <f t="shared" si="6"/>
        <v>3105.7</v>
      </c>
      <c r="H40" s="37"/>
    </row>
    <row r="41">
      <c r="A41" s="60" t="s">
        <v>208</v>
      </c>
      <c r="B41" s="60" t="s">
        <v>209</v>
      </c>
      <c r="C41" s="34" t="s">
        <v>81</v>
      </c>
      <c r="D41" s="34" t="s">
        <v>1391</v>
      </c>
      <c r="E41" s="68">
        <v>2093.68</v>
      </c>
      <c r="F41" s="36"/>
      <c r="G41" s="36">
        <f t="shared" si="6"/>
        <v>2093.68</v>
      </c>
      <c r="H41" s="37"/>
    </row>
    <row r="42">
      <c r="A42" s="60" t="s">
        <v>210</v>
      </c>
      <c r="B42" s="60" t="s">
        <v>211</v>
      </c>
      <c r="C42" s="34" t="s">
        <v>81</v>
      </c>
      <c r="D42" s="34" t="s">
        <v>1391</v>
      </c>
      <c r="E42" s="68">
        <v>1344.86</v>
      </c>
      <c r="F42" s="36"/>
      <c r="G42" s="36">
        <f t="shared" si="6"/>
        <v>1344.86</v>
      </c>
      <c r="H42" s="37"/>
    </row>
    <row r="43">
      <c r="A43" s="60" t="s">
        <v>212</v>
      </c>
      <c r="B43" s="60" t="s">
        <v>2043</v>
      </c>
      <c r="C43" s="34" t="s">
        <v>81</v>
      </c>
      <c r="D43" s="34" t="s">
        <v>1391</v>
      </c>
      <c r="E43" s="68">
        <v>1633.77</v>
      </c>
      <c r="F43" s="36"/>
      <c r="G43" s="36">
        <f t="shared" si="6"/>
        <v>1633.77</v>
      </c>
      <c r="H43" s="37"/>
    </row>
    <row r="44">
      <c r="A44" s="60" t="s">
        <v>214</v>
      </c>
      <c r="B44" s="60" t="s">
        <v>215</v>
      </c>
      <c r="C44" s="34" t="s">
        <v>81</v>
      </c>
      <c r="D44" s="34" t="s">
        <v>1391</v>
      </c>
      <c r="E44" s="68">
        <v>234.97</v>
      </c>
      <c r="F44" s="36"/>
      <c r="G44" s="36">
        <f t="shared" si="6"/>
        <v>234.97</v>
      </c>
      <c r="H44" s="37"/>
    </row>
    <row r="45">
      <c r="A45" s="60" t="s">
        <v>218</v>
      </c>
      <c r="B45" s="60" t="s">
        <v>219</v>
      </c>
      <c r="C45" s="34" t="s">
        <v>81</v>
      </c>
      <c r="D45" s="34" t="s">
        <v>1391</v>
      </c>
      <c r="E45" s="68">
        <v>4575.42</v>
      </c>
      <c r="F45" s="36"/>
      <c r="G45" s="36">
        <f t="shared" si="6"/>
        <v>4575.42</v>
      </c>
      <c r="H45" s="37"/>
    </row>
    <row r="46">
      <c r="A46" s="60" t="s">
        <v>220</v>
      </c>
      <c r="B46" s="60" t="s">
        <v>221</v>
      </c>
      <c r="C46" s="34" t="s">
        <v>81</v>
      </c>
      <c r="D46" s="34" t="s">
        <v>1391</v>
      </c>
      <c r="E46" s="68">
        <v>409.98</v>
      </c>
      <c r="F46" s="36"/>
      <c r="G46" s="36">
        <f t="shared" si="6"/>
        <v>409.98</v>
      </c>
      <c r="H46" s="37"/>
    </row>
    <row r="47">
      <c r="A47" s="60" t="s">
        <v>226</v>
      </c>
      <c r="B47" s="60" t="s">
        <v>227</v>
      </c>
      <c r="C47" s="34" t="s">
        <v>81</v>
      </c>
      <c r="D47" s="34" t="s">
        <v>1391</v>
      </c>
      <c r="E47" s="68">
        <v>1549.8</v>
      </c>
      <c r="F47" s="36"/>
      <c r="G47" s="36">
        <f t="shared" si="6"/>
        <v>1549.8</v>
      </c>
      <c r="H47" s="37"/>
    </row>
    <row r="48">
      <c r="A48" s="60" t="s">
        <v>228</v>
      </c>
      <c r="B48" s="60" t="s">
        <v>229</v>
      </c>
      <c r="C48" s="34" t="s">
        <v>81</v>
      </c>
      <c r="D48" s="34" t="s">
        <v>1391</v>
      </c>
      <c r="E48" s="68">
        <v>725.67</v>
      </c>
      <c r="F48" s="36"/>
      <c r="G48" s="36">
        <f t="shared" si="6"/>
        <v>725.67</v>
      </c>
      <c r="H48" s="37"/>
    </row>
    <row r="49">
      <c r="A49" s="60" t="s">
        <v>1877</v>
      </c>
      <c r="B49" s="60" t="s">
        <v>1878</v>
      </c>
      <c r="C49" s="34" t="s">
        <v>81</v>
      </c>
      <c r="D49" s="34" t="s">
        <v>1391</v>
      </c>
      <c r="E49" s="68">
        <v>100.0</v>
      </c>
      <c r="F49" s="36"/>
      <c r="G49" s="36">
        <f t="shared" si="6"/>
        <v>100</v>
      </c>
      <c r="H49" s="37"/>
    </row>
    <row r="50">
      <c r="A50" s="60" t="s">
        <v>230</v>
      </c>
      <c r="B50" s="60" t="s">
        <v>231</v>
      </c>
      <c r="C50" s="34" t="s">
        <v>81</v>
      </c>
      <c r="D50" s="34" t="s">
        <v>1391</v>
      </c>
      <c r="E50" s="68">
        <v>1018.08</v>
      </c>
      <c r="F50" s="36"/>
      <c r="G50" s="36">
        <f t="shared" si="6"/>
        <v>1018.08</v>
      </c>
      <c r="H50" s="37"/>
    </row>
    <row r="51">
      <c r="A51" s="60" t="s">
        <v>232</v>
      </c>
      <c r="B51" s="60" t="s">
        <v>233</v>
      </c>
      <c r="C51" s="34" t="s">
        <v>81</v>
      </c>
      <c r="D51" s="34" t="s">
        <v>1391</v>
      </c>
      <c r="E51" s="68">
        <v>1530.75</v>
      </c>
      <c r="F51" s="36"/>
      <c r="G51" s="36">
        <f t="shared" si="6"/>
        <v>1530.75</v>
      </c>
      <c r="H51" s="37"/>
    </row>
    <row r="52">
      <c r="A52" s="60" t="s">
        <v>236</v>
      </c>
      <c r="B52" s="60" t="s">
        <v>237</v>
      </c>
      <c r="C52" s="34" t="s">
        <v>81</v>
      </c>
      <c r="D52" s="34" t="s">
        <v>1391</v>
      </c>
      <c r="E52" s="68">
        <v>292.95</v>
      </c>
      <c r="F52" s="36"/>
      <c r="G52" s="36">
        <f t="shared" si="6"/>
        <v>292.95</v>
      </c>
      <c r="H52" s="37"/>
    </row>
    <row r="53">
      <c r="A53" s="60" t="s">
        <v>238</v>
      </c>
      <c r="B53" s="60" t="s">
        <v>239</v>
      </c>
      <c r="C53" s="34" t="s">
        <v>81</v>
      </c>
      <c r="D53" s="34" t="s">
        <v>1391</v>
      </c>
      <c r="E53" s="68">
        <v>1191.83</v>
      </c>
      <c r="F53" s="36"/>
      <c r="G53" s="36">
        <f t="shared" si="6"/>
        <v>1191.83</v>
      </c>
      <c r="H53" s="37"/>
    </row>
    <row r="54">
      <c r="A54" s="60" t="s">
        <v>240</v>
      </c>
      <c r="B54" s="60" t="s">
        <v>241</v>
      </c>
      <c r="C54" s="34" t="s">
        <v>81</v>
      </c>
      <c r="D54" s="34" t="s">
        <v>1391</v>
      </c>
      <c r="E54" s="68">
        <v>4275.32</v>
      </c>
      <c r="F54" s="36"/>
      <c r="G54" s="36">
        <f t="shared" si="6"/>
        <v>4275.32</v>
      </c>
      <c r="H54" s="37"/>
    </row>
    <row r="55">
      <c r="A55" s="60" t="s">
        <v>244</v>
      </c>
      <c r="B55" s="60" t="s">
        <v>245</v>
      </c>
      <c r="C55" s="34" t="s">
        <v>81</v>
      </c>
      <c r="D55" s="34" t="s">
        <v>1391</v>
      </c>
      <c r="E55" s="68">
        <v>1295.86</v>
      </c>
      <c r="F55" s="36"/>
      <c r="G55" s="36">
        <f t="shared" si="6"/>
        <v>1295.86</v>
      </c>
      <c r="H55" s="37"/>
    </row>
    <row r="56">
      <c r="A56" s="60" t="s">
        <v>2153</v>
      </c>
      <c r="B56" s="60" t="s">
        <v>2154</v>
      </c>
      <c r="C56" s="34" t="s">
        <v>81</v>
      </c>
      <c r="D56" s="34" t="s">
        <v>1391</v>
      </c>
      <c r="E56" s="68">
        <v>1063.88</v>
      </c>
      <c r="F56" s="36"/>
      <c r="G56" s="36">
        <f t="shared" si="6"/>
        <v>1063.88</v>
      </c>
      <c r="H56" s="37"/>
    </row>
    <row r="57">
      <c r="A57" s="60" t="s">
        <v>250</v>
      </c>
      <c r="B57" s="60" t="s">
        <v>251</v>
      </c>
      <c r="C57" s="34" t="s">
        <v>81</v>
      </c>
      <c r="D57" s="34" t="s">
        <v>1391</v>
      </c>
      <c r="E57" s="68">
        <v>1021.86</v>
      </c>
      <c r="F57" s="36"/>
      <c r="G57" s="36">
        <f t="shared" si="6"/>
        <v>1021.86</v>
      </c>
      <c r="H57" s="37"/>
    </row>
    <row r="58">
      <c r="A58" s="60" t="s">
        <v>252</v>
      </c>
      <c r="B58" s="60" t="s">
        <v>253</v>
      </c>
      <c r="C58" s="34" t="s">
        <v>81</v>
      </c>
      <c r="D58" s="34" t="s">
        <v>1391</v>
      </c>
      <c r="E58" s="68">
        <v>387.93</v>
      </c>
      <c r="F58" s="36"/>
      <c r="G58" s="36">
        <f t="shared" si="6"/>
        <v>387.93</v>
      </c>
      <c r="H58" s="37"/>
    </row>
    <row r="59">
      <c r="A59" s="60" t="s">
        <v>254</v>
      </c>
      <c r="B59" s="60" t="s">
        <v>2155</v>
      </c>
      <c r="C59" s="34" t="s">
        <v>81</v>
      </c>
      <c r="D59" s="34" t="s">
        <v>1391</v>
      </c>
      <c r="E59" s="68">
        <v>1011.87</v>
      </c>
      <c r="F59" s="36"/>
      <c r="G59" s="36">
        <f t="shared" si="6"/>
        <v>1011.87</v>
      </c>
      <c r="H59" s="37"/>
    </row>
    <row r="60">
      <c r="A60" s="60" t="s">
        <v>256</v>
      </c>
      <c r="B60" s="60" t="s">
        <v>257</v>
      </c>
      <c r="C60" s="34" t="s">
        <v>81</v>
      </c>
      <c r="D60" s="34" t="s">
        <v>1391</v>
      </c>
      <c r="E60" s="68">
        <v>707.87</v>
      </c>
      <c r="F60" s="36"/>
      <c r="G60" s="36">
        <f t="shared" si="6"/>
        <v>707.87</v>
      </c>
      <c r="H60" s="37"/>
    </row>
    <row r="61">
      <c r="A61" s="60" t="s">
        <v>260</v>
      </c>
      <c r="B61" s="60" t="s">
        <v>261</v>
      </c>
      <c r="C61" s="34" t="s">
        <v>81</v>
      </c>
      <c r="D61" s="34" t="s">
        <v>1391</v>
      </c>
      <c r="E61" s="68">
        <v>360.0</v>
      </c>
      <c r="F61" s="36"/>
      <c r="G61" s="36">
        <f t="shared" si="6"/>
        <v>360</v>
      </c>
      <c r="H61" s="37"/>
    </row>
    <row r="62">
      <c r="A62" s="60" t="s">
        <v>1407</v>
      </c>
      <c r="B62" s="60" t="s">
        <v>1408</v>
      </c>
      <c r="C62" s="34" t="s">
        <v>81</v>
      </c>
      <c r="D62" s="34" t="s">
        <v>1391</v>
      </c>
      <c r="E62" s="68">
        <v>1463.77</v>
      </c>
      <c r="F62" s="36"/>
      <c r="G62" s="36">
        <f t="shared" si="6"/>
        <v>1463.77</v>
      </c>
      <c r="H62" s="37"/>
    </row>
    <row r="63">
      <c r="A63" s="60" t="s">
        <v>262</v>
      </c>
      <c r="B63" s="60" t="s">
        <v>263</v>
      </c>
      <c r="C63" s="34" t="s">
        <v>81</v>
      </c>
      <c r="D63" s="34" t="s">
        <v>1391</v>
      </c>
      <c r="E63" s="68">
        <v>500.0</v>
      </c>
      <c r="F63" s="36"/>
      <c r="G63" s="36">
        <f t="shared" si="6"/>
        <v>500</v>
      </c>
      <c r="H63" s="37"/>
    </row>
    <row r="64">
      <c r="A64" s="60" t="s">
        <v>264</v>
      </c>
      <c r="B64" s="60" t="s">
        <v>265</v>
      </c>
      <c r="C64" s="34" t="s">
        <v>81</v>
      </c>
      <c r="D64" s="34" t="s">
        <v>1391</v>
      </c>
      <c r="E64" s="68">
        <v>1003.86</v>
      </c>
      <c r="F64" s="36"/>
      <c r="G64" s="36">
        <f t="shared" si="6"/>
        <v>1003.86</v>
      </c>
      <c r="H64" s="37"/>
    </row>
    <row r="65">
      <c r="A65" s="60" t="s">
        <v>136</v>
      </c>
      <c r="B65" s="60" t="s">
        <v>137</v>
      </c>
      <c r="C65" s="34" t="s">
        <v>83</v>
      </c>
      <c r="D65" s="34" t="s">
        <v>1392</v>
      </c>
      <c r="E65" s="68">
        <v>2123.66</v>
      </c>
      <c r="F65" s="36"/>
      <c r="G65" s="36">
        <f t="shared" si="6"/>
        <v>2123.66</v>
      </c>
      <c r="H65" s="37"/>
    </row>
    <row r="66">
      <c r="A66" s="60" t="s">
        <v>138</v>
      </c>
      <c r="B66" s="60" t="s">
        <v>139</v>
      </c>
      <c r="C66" s="34" t="s">
        <v>83</v>
      </c>
      <c r="D66" s="34" t="s">
        <v>1392</v>
      </c>
      <c r="E66" s="68">
        <v>1719.77</v>
      </c>
      <c r="F66" s="36"/>
      <c r="G66" s="36">
        <f t="shared" si="6"/>
        <v>1719.77</v>
      </c>
      <c r="H66" s="37"/>
    </row>
    <row r="67">
      <c r="A67" s="60" t="s">
        <v>1879</v>
      </c>
      <c r="B67" s="60" t="s">
        <v>1880</v>
      </c>
      <c r="C67" s="34" t="s">
        <v>83</v>
      </c>
      <c r="D67" s="34" t="s">
        <v>1392</v>
      </c>
      <c r="E67" s="68">
        <v>1089.85</v>
      </c>
      <c r="F67" s="36"/>
      <c r="G67" s="36">
        <f t="shared" si="6"/>
        <v>1089.85</v>
      </c>
      <c r="H67" s="37"/>
    </row>
    <row r="68">
      <c r="A68" s="60" t="s">
        <v>1881</v>
      </c>
      <c r="B68" s="60" t="s">
        <v>1882</v>
      </c>
      <c r="C68" s="34" t="s">
        <v>83</v>
      </c>
      <c r="D68" s="34" t="s">
        <v>1392</v>
      </c>
      <c r="E68" s="68">
        <v>52.95</v>
      </c>
      <c r="F68" s="36"/>
      <c r="G68" s="36">
        <f t="shared" si="6"/>
        <v>52.95</v>
      </c>
      <c r="H68" s="37"/>
    </row>
    <row r="69">
      <c r="A69" s="60" t="s">
        <v>1883</v>
      </c>
      <c r="B69" s="60" t="s">
        <v>1884</v>
      </c>
      <c r="C69" s="34" t="s">
        <v>83</v>
      </c>
      <c r="D69" s="34" t="s">
        <v>1392</v>
      </c>
      <c r="E69" s="68">
        <v>1019.94</v>
      </c>
      <c r="F69" s="36"/>
      <c r="G69" s="36">
        <f t="shared" si="6"/>
        <v>1019.94</v>
      </c>
      <c r="H69" s="37"/>
    </row>
    <row r="70">
      <c r="A70" s="60" t="s">
        <v>142</v>
      </c>
      <c r="B70" s="60" t="s">
        <v>143</v>
      </c>
      <c r="C70" s="34" t="s">
        <v>83</v>
      </c>
      <c r="D70" s="34" t="s">
        <v>1392</v>
      </c>
      <c r="E70" s="68">
        <v>1460.78</v>
      </c>
      <c r="F70" s="36"/>
      <c r="G70" s="36">
        <f t="shared" si="6"/>
        <v>1460.78</v>
      </c>
      <c r="H70" s="37"/>
    </row>
    <row r="71">
      <c r="A71" s="60" t="s">
        <v>1885</v>
      </c>
      <c r="B71" s="60" t="s">
        <v>1886</v>
      </c>
      <c r="C71" s="34" t="s">
        <v>83</v>
      </c>
      <c r="D71" s="34" t="s">
        <v>1392</v>
      </c>
      <c r="E71" s="68">
        <v>1017.85</v>
      </c>
      <c r="F71" s="36"/>
      <c r="G71" s="36">
        <f t="shared" si="6"/>
        <v>1017.85</v>
      </c>
      <c r="H71" s="37"/>
    </row>
    <row r="72">
      <c r="A72" s="60" t="s">
        <v>1602</v>
      </c>
      <c r="B72" s="60" t="s">
        <v>1603</v>
      </c>
      <c r="C72" s="34" t="s">
        <v>83</v>
      </c>
      <c r="D72" s="34" t="s">
        <v>1392</v>
      </c>
      <c r="E72" s="68">
        <v>1003.85</v>
      </c>
      <c r="F72" s="36"/>
      <c r="G72" s="36">
        <f t="shared" si="6"/>
        <v>1003.85</v>
      </c>
      <c r="H72" s="37"/>
    </row>
    <row r="73">
      <c r="A73" s="60" t="s">
        <v>2156</v>
      </c>
      <c r="B73" s="60" t="s">
        <v>2157</v>
      </c>
      <c r="C73" s="34" t="s">
        <v>83</v>
      </c>
      <c r="D73" s="34" t="s">
        <v>1392</v>
      </c>
      <c r="E73" s="68">
        <v>108.98</v>
      </c>
      <c r="F73" s="36"/>
      <c r="G73" s="36">
        <f t="shared" si="6"/>
        <v>108.98</v>
      </c>
      <c r="H73" s="37"/>
    </row>
    <row r="74">
      <c r="A74" s="60" t="s">
        <v>146</v>
      </c>
      <c r="B74" s="60" t="s">
        <v>147</v>
      </c>
      <c r="C74" s="34" t="s">
        <v>83</v>
      </c>
      <c r="D74" s="34" t="s">
        <v>1392</v>
      </c>
      <c r="E74" s="68">
        <v>527.93</v>
      </c>
      <c r="F74" s="36"/>
      <c r="G74" s="36">
        <f t="shared" si="6"/>
        <v>527.93</v>
      </c>
      <c r="H74" s="37"/>
    </row>
    <row r="75">
      <c r="A75" s="60" t="s">
        <v>1893</v>
      </c>
      <c r="B75" s="60" t="s">
        <v>1894</v>
      </c>
      <c r="C75" s="34" t="s">
        <v>83</v>
      </c>
      <c r="D75" s="34" t="s">
        <v>1392</v>
      </c>
      <c r="E75" s="68">
        <v>387.93</v>
      </c>
      <c r="F75" s="36"/>
      <c r="G75" s="36">
        <f t="shared" si="6"/>
        <v>387.93</v>
      </c>
      <c r="H75" s="37"/>
    </row>
    <row r="76">
      <c r="A76" s="60" t="s">
        <v>148</v>
      </c>
      <c r="B76" s="60" t="s">
        <v>149</v>
      </c>
      <c r="C76" s="34" t="s">
        <v>83</v>
      </c>
      <c r="D76" s="34" t="s">
        <v>1392</v>
      </c>
      <c r="E76" s="68">
        <v>3805.65</v>
      </c>
      <c r="F76" s="36"/>
      <c r="G76" s="36">
        <f t="shared" si="6"/>
        <v>3805.65</v>
      </c>
      <c r="H76" s="37"/>
    </row>
    <row r="77">
      <c r="A77" s="60" t="s">
        <v>2158</v>
      </c>
      <c r="B77" s="60" t="s">
        <v>2159</v>
      </c>
      <c r="C77" s="34" t="s">
        <v>83</v>
      </c>
      <c r="D77" s="34" t="s">
        <v>1392</v>
      </c>
      <c r="E77" s="68">
        <v>108.98</v>
      </c>
      <c r="F77" s="36"/>
      <c r="G77" s="36">
        <f t="shared" si="6"/>
        <v>108.98</v>
      </c>
      <c r="H77" s="37"/>
    </row>
    <row r="78">
      <c r="A78" s="60" t="s">
        <v>150</v>
      </c>
      <c r="B78" s="60" t="s">
        <v>151</v>
      </c>
      <c r="C78" s="34" t="s">
        <v>83</v>
      </c>
      <c r="D78" s="34" t="s">
        <v>1392</v>
      </c>
      <c r="E78" s="68">
        <v>1545.82</v>
      </c>
      <c r="F78" s="36"/>
      <c r="G78" s="36">
        <f t="shared" si="6"/>
        <v>1545.82</v>
      </c>
      <c r="H78" s="37"/>
    </row>
    <row r="79">
      <c r="A79" s="60" t="s">
        <v>152</v>
      </c>
      <c r="B79" s="60" t="s">
        <v>153</v>
      </c>
      <c r="C79" s="34" t="s">
        <v>83</v>
      </c>
      <c r="D79" s="34" t="s">
        <v>1392</v>
      </c>
      <c r="E79" s="68">
        <v>4067.34</v>
      </c>
      <c r="F79" s="36"/>
      <c r="G79" s="36">
        <f t="shared" si="6"/>
        <v>4067.34</v>
      </c>
      <c r="H79" s="37"/>
    </row>
    <row r="80">
      <c r="A80" s="60" t="s">
        <v>1895</v>
      </c>
      <c r="B80" s="60" t="s">
        <v>1896</v>
      </c>
      <c r="C80" s="34" t="s">
        <v>83</v>
      </c>
      <c r="D80" s="34" t="s">
        <v>1392</v>
      </c>
      <c r="E80" s="68">
        <v>1021.86</v>
      </c>
      <c r="F80" s="36"/>
      <c r="G80" s="36">
        <f t="shared" si="6"/>
        <v>1021.86</v>
      </c>
      <c r="H80" s="37"/>
    </row>
    <row r="81">
      <c r="A81" s="60" t="s">
        <v>160</v>
      </c>
      <c r="B81" s="60" t="s">
        <v>161</v>
      </c>
      <c r="C81" s="34" t="s">
        <v>83</v>
      </c>
      <c r="D81" s="34" t="s">
        <v>1392</v>
      </c>
      <c r="E81" s="68">
        <v>1945.65</v>
      </c>
      <c r="F81" s="36"/>
      <c r="G81" s="36">
        <f t="shared" si="6"/>
        <v>1945.65</v>
      </c>
      <c r="H81" s="37"/>
    </row>
    <row r="82">
      <c r="A82" s="60" t="s">
        <v>1897</v>
      </c>
      <c r="B82" s="60" t="s">
        <v>1898</v>
      </c>
      <c r="C82" s="34" t="s">
        <v>83</v>
      </c>
      <c r="D82" s="34" t="s">
        <v>1392</v>
      </c>
      <c r="E82" s="68">
        <v>387.94</v>
      </c>
      <c r="F82" s="36"/>
      <c r="G82" s="36">
        <f t="shared" si="6"/>
        <v>387.94</v>
      </c>
      <c r="H82" s="37"/>
    </row>
    <row r="83">
      <c r="A83" s="60" t="s">
        <v>278</v>
      </c>
      <c r="B83" s="60" t="s">
        <v>279</v>
      </c>
      <c r="C83" s="34" t="s">
        <v>82</v>
      </c>
      <c r="D83" s="34" t="s">
        <v>1393</v>
      </c>
      <c r="E83" s="68">
        <v>1821.75</v>
      </c>
      <c r="F83" s="36"/>
      <c r="G83" s="36">
        <f t="shared" si="6"/>
        <v>1821.75</v>
      </c>
      <c r="H83" s="37"/>
    </row>
    <row r="84">
      <c r="A84" s="60" t="s">
        <v>980</v>
      </c>
      <c r="B84" s="60" t="s">
        <v>981</v>
      </c>
      <c r="C84" s="34" t="s">
        <v>82</v>
      </c>
      <c r="D84" s="34" t="s">
        <v>1393</v>
      </c>
      <c r="E84" s="68">
        <v>899.99</v>
      </c>
      <c r="F84" s="36"/>
      <c r="G84" s="36">
        <f t="shared" si="6"/>
        <v>899.99</v>
      </c>
      <c r="H84" s="37"/>
    </row>
    <row r="85">
      <c r="A85" s="60" t="s">
        <v>280</v>
      </c>
      <c r="B85" s="60" t="s">
        <v>281</v>
      </c>
      <c r="C85" s="34" t="s">
        <v>82</v>
      </c>
      <c r="D85" s="34" t="s">
        <v>1393</v>
      </c>
      <c r="E85" s="68">
        <v>1699.99</v>
      </c>
      <c r="F85" s="36"/>
      <c r="G85" s="36">
        <f t="shared" si="6"/>
        <v>1699.99</v>
      </c>
      <c r="H85" s="37"/>
    </row>
    <row r="86">
      <c r="A86" s="60" t="s">
        <v>282</v>
      </c>
      <c r="B86" s="60" t="s">
        <v>283</v>
      </c>
      <c r="C86" s="34" t="s">
        <v>82</v>
      </c>
      <c r="D86" s="34" t="s">
        <v>1393</v>
      </c>
      <c r="E86" s="68">
        <v>1087.76</v>
      </c>
      <c r="F86" s="36"/>
      <c r="G86" s="36">
        <f t="shared" si="6"/>
        <v>1087.76</v>
      </c>
      <c r="H86" s="37"/>
    </row>
    <row r="87">
      <c r="A87" s="60" t="s">
        <v>284</v>
      </c>
      <c r="B87" s="60" t="s">
        <v>285</v>
      </c>
      <c r="C87" s="34" t="s">
        <v>82</v>
      </c>
      <c r="D87" s="34" t="s">
        <v>1393</v>
      </c>
      <c r="E87" s="68">
        <v>1021.9</v>
      </c>
      <c r="F87" s="36"/>
      <c r="G87" s="36">
        <f t="shared" si="6"/>
        <v>1021.9</v>
      </c>
      <c r="H87" s="37"/>
    </row>
    <row r="88">
      <c r="A88" s="60" t="s">
        <v>286</v>
      </c>
      <c r="B88" s="60" t="s">
        <v>287</v>
      </c>
      <c r="C88" s="34" t="s">
        <v>82</v>
      </c>
      <c r="D88" s="34" t="s">
        <v>1393</v>
      </c>
      <c r="E88" s="68">
        <v>1235.82</v>
      </c>
      <c r="F88" s="36"/>
      <c r="G88" s="36">
        <f t="shared" si="6"/>
        <v>1235.82</v>
      </c>
      <c r="H88" s="37"/>
    </row>
    <row r="89">
      <c r="A89" s="60" t="s">
        <v>290</v>
      </c>
      <c r="B89" s="60" t="s">
        <v>291</v>
      </c>
      <c r="C89" s="34" t="s">
        <v>82</v>
      </c>
      <c r="D89" s="34" t="s">
        <v>1393</v>
      </c>
      <c r="E89" s="68">
        <v>1031.85</v>
      </c>
      <c r="F89" s="36"/>
      <c r="G89" s="36">
        <f t="shared" si="6"/>
        <v>1031.85</v>
      </c>
      <c r="H89" s="37"/>
    </row>
    <row r="90">
      <c r="A90" s="60" t="s">
        <v>1771</v>
      </c>
      <c r="B90" s="60" t="s">
        <v>1772</v>
      </c>
      <c r="C90" s="34" t="s">
        <v>82</v>
      </c>
      <c r="D90" s="34" t="s">
        <v>1393</v>
      </c>
      <c r="E90" s="68">
        <v>-0.02</v>
      </c>
      <c r="F90" s="36"/>
      <c r="G90" s="36">
        <f t="shared" si="6"/>
        <v>-0.02</v>
      </c>
      <c r="H90" s="37"/>
    </row>
    <row r="91">
      <c r="A91" s="60" t="s">
        <v>296</v>
      </c>
      <c r="B91" s="60" t="s">
        <v>297</v>
      </c>
      <c r="C91" s="34" t="s">
        <v>82</v>
      </c>
      <c r="D91" s="34" t="s">
        <v>1393</v>
      </c>
      <c r="E91" s="68">
        <v>1043.73</v>
      </c>
      <c r="F91" s="36"/>
      <c r="G91" s="36">
        <f t="shared" si="6"/>
        <v>1043.73</v>
      </c>
      <c r="H91" s="37"/>
    </row>
    <row r="92">
      <c r="A92" s="60" t="s">
        <v>1415</v>
      </c>
      <c r="B92" s="60" t="s">
        <v>1416</v>
      </c>
      <c r="C92" s="34" t="s">
        <v>82</v>
      </c>
      <c r="D92" s="34" t="s">
        <v>1393</v>
      </c>
      <c r="E92" s="68">
        <v>2580.11</v>
      </c>
      <c r="F92" s="36"/>
      <c r="G92" s="36">
        <f t="shared" si="6"/>
        <v>2580.11</v>
      </c>
      <c r="H92" s="37"/>
    </row>
    <row r="93">
      <c r="A93" s="60" t="s">
        <v>2160</v>
      </c>
      <c r="B93" s="60" t="s">
        <v>2161</v>
      </c>
      <c r="C93" s="34" t="s">
        <v>82</v>
      </c>
      <c r="D93" s="34" t="s">
        <v>1393</v>
      </c>
      <c r="E93" s="68">
        <v>1101.88</v>
      </c>
      <c r="F93" s="36"/>
      <c r="G93" s="36">
        <f t="shared" si="6"/>
        <v>1101.88</v>
      </c>
      <c r="H93" s="37"/>
    </row>
    <row r="94">
      <c r="A94" s="60" t="s">
        <v>2162</v>
      </c>
      <c r="B94" s="60" t="s">
        <v>2163</v>
      </c>
      <c r="C94" s="34" t="s">
        <v>82</v>
      </c>
      <c r="D94" s="34" t="s">
        <v>1393</v>
      </c>
      <c r="E94" s="68">
        <v>2009.74</v>
      </c>
      <c r="F94" s="36"/>
      <c r="G94" s="36">
        <f t="shared" si="6"/>
        <v>2009.74</v>
      </c>
      <c r="H94" s="37"/>
    </row>
    <row r="95">
      <c r="A95" s="60" t="s">
        <v>308</v>
      </c>
      <c r="B95" s="60" t="s">
        <v>309</v>
      </c>
      <c r="C95" s="34" t="s">
        <v>73</v>
      </c>
      <c r="D95" s="34" t="s">
        <v>52</v>
      </c>
      <c r="E95" s="68">
        <v>22564.83</v>
      </c>
      <c r="F95" s="36"/>
      <c r="G95" s="36">
        <f t="shared" si="6"/>
        <v>22564.83</v>
      </c>
      <c r="H95" s="37"/>
    </row>
    <row r="96">
      <c r="A96" s="60" t="s">
        <v>310</v>
      </c>
      <c r="B96" s="60" t="s">
        <v>311</v>
      </c>
      <c r="C96" s="34" t="s">
        <v>73</v>
      </c>
      <c r="D96" s="34" t="s">
        <v>52</v>
      </c>
      <c r="E96" s="68">
        <v>19329.37</v>
      </c>
      <c r="F96" s="36"/>
      <c r="G96" s="36">
        <f t="shared" si="6"/>
        <v>19329.37</v>
      </c>
      <c r="H96" s="37"/>
    </row>
    <row r="97">
      <c r="A97" s="60" t="s">
        <v>1905</v>
      </c>
      <c r="B97" s="60" t="s">
        <v>1906</v>
      </c>
      <c r="C97" s="34" t="s">
        <v>73</v>
      </c>
      <c r="D97" s="34" t="s">
        <v>52</v>
      </c>
      <c r="E97" s="68">
        <v>2773.33</v>
      </c>
      <c r="F97" s="36"/>
      <c r="G97" s="36">
        <f t="shared" si="6"/>
        <v>2773.33</v>
      </c>
      <c r="H97" s="37"/>
    </row>
    <row r="98">
      <c r="A98" s="60" t="s">
        <v>312</v>
      </c>
      <c r="B98" s="60" t="s">
        <v>313</v>
      </c>
      <c r="C98" s="34" t="s">
        <v>73</v>
      </c>
      <c r="D98" s="34" t="s">
        <v>52</v>
      </c>
      <c r="E98" s="68">
        <v>10920.86</v>
      </c>
      <c r="F98" s="36"/>
      <c r="G98" s="36">
        <f t="shared" si="6"/>
        <v>10920.86</v>
      </c>
      <c r="H98" s="37"/>
    </row>
    <row r="99">
      <c r="A99" s="60" t="s">
        <v>314</v>
      </c>
      <c r="B99" s="60" t="s">
        <v>315</v>
      </c>
      <c r="C99" s="34" t="s">
        <v>73</v>
      </c>
      <c r="D99" s="34" t="s">
        <v>52</v>
      </c>
      <c r="E99" s="68">
        <v>13744.26</v>
      </c>
      <c r="F99" s="36"/>
      <c r="G99" s="36">
        <f t="shared" si="6"/>
        <v>13744.26</v>
      </c>
      <c r="H99" s="37"/>
    </row>
    <row r="100">
      <c r="A100" s="60" t="s">
        <v>318</v>
      </c>
      <c r="B100" s="60" t="s">
        <v>1907</v>
      </c>
      <c r="C100" s="34" t="s">
        <v>73</v>
      </c>
      <c r="D100" s="34" t="s">
        <v>52</v>
      </c>
      <c r="E100" s="68">
        <v>11291.42</v>
      </c>
      <c r="F100" s="36"/>
      <c r="G100" s="36">
        <f t="shared" si="6"/>
        <v>11291.42</v>
      </c>
      <c r="H100" s="37"/>
    </row>
    <row r="101">
      <c r="A101" s="60" t="s">
        <v>320</v>
      </c>
      <c r="B101" s="60" t="s">
        <v>321</v>
      </c>
      <c r="C101" s="34" t="s">
        <v>73</v>
      </c>
      <c r="D101" s="34" t="s">
        <v>52</v>
      </c>
      <c r="E101" s="68">
        <v>3223.25</v>
      </c>
      <c r="F101" s="36"/>
      <c r="G101" s="36">
        <f t="shared" si="6"/>
        <v>3223.25</v>
      </c>
      <c r="H101" s="37"/>
    </row>
    <row r="102">
      <c r="A102" s="60" t="s">
        <v>322</v>
      </c>
      <c r="B102" s="60" t="s">
        <v>323</v>
      </c>
      <c r="C102" s="34" t="s">
        <v>73</v>
      </c>
      <c r="D102" s="34" t="s">
        <v>52</v>
      </c>
      <c r="E102" s="68">
        <v>9538.83</v>
      </c>
      <c r="F102" s="36"/>
      <c r="G102" s="36">
        <f t="shared" si="6"/>
        <v>9538.83</v>
      </c>
      <c r="H102" s="37"/>
    </row>
    <row r="103">
      <c r="A103" s="60" t="s">
        <v>326</v>
      </c>
      <c r="B103" s="60" t="s">
        <v>327</v>
      </c>
      <c r="C103" s="34" t="s">
        <v>73</v>
      </c>
      <c r="D103" s="34" t="s">
        <v>52</v>
      </c>
      <c r="E103" s="68">
        <v>1019.99</v>
      </c>
      <c r="F103" s="36"/>
      <c r="G103" s="36">
        <f t="shared" si="6"/>
        <v>1019.99</v>
      </c>
      <c r="H103" s="37"/>
    </row>
    <row r="104">
      <c r="A104" s="60" t="s">
        <v>328</v>
      </c>
      <c r="B104" s="60" t="s">
        <v>329</v>
      </c>
      <c r="C104" s="34" t="s">
        <v>73</v>
      </c>
      <c r="D104" s="34" t="s">
        <v>52</v>
      </c>
      <c r="E104" s="68">
        <v>7392.19</v>
      </c>
      <c r="F104" s="36"/>
      <c r="G104" s="36">
        <f t="shared" si="6"/>
        <v>7392.19</v>
      </c>
      <c r="H104" s="37"/>
    </row>
    <row r="105">
      <c r="A105" s="60" t="s">
        <v>330</v>
      </c>
      <c r="B105" s="60" t="s">
        <v>331</v>
      </c>
      <c r="C105" s="34" t="s">
        <v>73</v>
      </c>
      <c r="D105" s="34" t="s">
        <v>52</v>
      </c>
      <c r="E105" s="68">
        <v>3399.98</v>
      </c>
      <c r="F105" s="36"/>
      <c r="G105" s="36">
        <f t="shared" si="6"/>
        <v>3399.98</v>
      </c>
      <c r="H105" s="37"/>
    </row>
    <row r="106">
      <c r="A106" s="60" t="s">
        <v>332</v>
      </c>
      <c r="B106" s="60" t="s">
        <v>333</v>
      </c>
      <c r="C106" s="34" t="s">
        <v>73</v>
      </c>
      <c r="D106" s="34" t="s">
        <v>52</v>
      </c>
      <c r="E106" s="68">
        <v>550.75</v>
      </c>
      <c r="F106" s="36"/>
      <c r="G106" s="36">
        <f t="shared" si="6"/>
        <v>550.75</v>
      </c>
      <c r="H106" s="37"/>
    </row>
    <row r="107">
      <c r="A107" s="60" t="s">
        <v>334</v>
      </c>
      <c r="B107" s="60" t="s">
        <v>335</v>
      </c>
      <c r="C107" s="34" t="s">
        <v>73</v>
      </c>
      <c r="D107" s="34" t="s">
        <v>52</v>
      </c>
      <c r="E107" s="68">
        <v>106682.53</v>
      </c>
      <c r="F107" s="36"/>
      <c r="G107" s="36">
        <f t="shared" si="6"/>
        <v>106682.53</v>
      </c>
      <c r="H107" s="37"/>
    </row>
    <row r="108">
      <c r="A108" s="60" t="s">
        <v>336</v>
      </c>
      <c r="B108" s="60" t="s">
        <v>337</v>
      </c>
      <c r="C108" s="34" t="s">
        <v>73</v>
      </c>
      <c r="D108" s="34" t="s">
        <v>52</v>
      </c>
      <c r="E108" s="68">
        <v>1700.0</v>
      </c>
      <c r="F108" s="36"/>
      <c r="G108" s="36">
        <f t="shared" si="6"/>
        <v>1700</v>
      </c>
      <c r="H108" s="37"/>
    </row>
    <row r="109">
      <c r="A109" s="60" t="s">
        <v>338</v>
      </c>
      <c r="B109" s="60" t="s">
        <v>339</v>
      </c>
      <c r="C109" s="34" t="s">
        <v>73</v>
      </c>
      <c r="D109" s="34" t="s">
        <v>52</v>
      </c>
      <c r="E109" s="68">
        <v>5949.84</v>
      </c>
      <c r="F109" s="36"/>
      <c r="G109" s="36">
        <f t="shared" si="6"/>
        <v>5949.84</v>
      </c>
      <c r="H109" s="37"/>
    </row>
    <row r="110">
      <c r="A110" s="60" t="s">
        <v>340</v>
      </c>
      <c r="B110" s="60" t="s">
        <v>341</v>
      </c>
      <c r="C110" s="34" t="s">
        <v>73</v>
      </c>
      <c r="D110" s="34" t="s">
        <v>52</v>
      </c>
      <c r="E110" s="68">
        <v>4306.94</v>
      </c>
      <c r="F110" s="36"/>
      <c r="G110" s="36">
        <f t="shared" si="6"/>
        <v>4306.94</v>
      </c>
      <c r="H110" s="37"/>
    </row>
    <row r="111">
      <c r="A111" s="60" t="s">
        <v>342</v>
      </c>
      <c r="B111" s="60" t="s">
        <v>343</v>
      </c>
      <c r="C111" s="34" t="s">
        <v>73</v>
      </c>
      <c r="D111" s="34" t="s">
        <v>52</v>
      </c>
      <c r="E111" s="68">
        <v>6325.0</v>
      </c>
      <c r="F111" s="36"/>
      <c r="G111" s="36">
        <f t="shared" si="6"/>
        <v>6325</v>
      </c>
      <c r="H111" s="37"/>
    </row>
    <row r="112">
      <c r="A112" s="60" t="s">
        <v>1912</v>
      </c>
      <c r="B112" s="60" t="s">
        <v>1913</v>
      </c>
      <c r="C112" s="34" t="s">
        <v>73</v>
      </c>
      <c r="D112" s="34" t="s">
        <v>52</v>
      </c>
      <c r="E112" s="68">
        <v>456.0</v>
      </c>
      <c r="F112" s="36"/>
      <c r="G112" s="36">
        <f t="shared" si="6"/>
        <v>456</v>
      </c>
      <c r="H112" s="37"/>
    </row>
    <row r="113">
      <c r="A113" s="60" t="s">
        <v>426</v>
      </c>
      <c r="B113" s="60" t="s">
        <v>1914</v>
      </c>
      <c r="C113" s="34" t="s">
        <v>75</v>
      </c>
      <c r="D113" s="34" t="s">
        <v>48</v>
      </c>
      <c r="E113" s="68">
        <v>234.97</v>
      </c>
      <c r="F113" s="36"/>
      <c r="G113" s="36">
        <f t="shared" si="6"/>
        <v>234.97</v>
      </c>
      <c r="H113" s="37"/>
    </row>
    <row r="114">
      <c r="A114" s="60" t="s">
        <v>432</v>
      </c>
      <c r="B114" s="60" t="s">
        <v>433</v>
      </c>
      <c r="C114" s="34" t="s">
        <v>75</v>
      </c>
      <c r="D114" s="34" t="s">
        <v>48</v>
      </c>
      <c r="E114" s="68">
        <v>562.02</v>
      </c>
      <c r="F114" s="36"/>
      <c r="G114" s="36">
        <f t="shared" si="6"/>
        <v>562.02</v>
      </c>
      <c r="H114" s="37"/>
    </row>
    <row r="115">
      <c r="A115" s="60" t="s">
        <v>436</v>
      </c>
      <c r="B115" s="60" t="s">
        <v>437</v>
      </c>
      <c r="C115" s="34" t="s">
        <v>75</v>
      </c>
      <c r="D115" s="34" t="s">
        <v>48</v>
      </c>
      <c r="E115" s="68">
        <v>67.99</v>
      </c>
      <c r="F115" s="36"/>
      <c r="G115" s="36">
        <f t="shared" si="6"/>
        <v>67.99</v>
      </c>
      <c r="H115" s="37"/>
    </row>
    <row r="116">
      <c r="A116" s="60" t="s">
        <v>438</v>
      </c>
      <c r="B116" s="60" t="s">
        <v>439</v>
      </c>
      <c r="C116" s="34" t="s">
        <v>75</v>
      </c>
      <c r="D116" s="34" t="s">
        <v>48</v>
      </c>
      <c r="E116" s="68">
        <v>1022.04</v>
      </c>
      <c r="F116" s="36"/>
      <c r="G116" s="36">
        <f t="shared" si="6"/>
        <v>1022.04</v>
      </c>
      <c r="H116" s="37"/>
    </row>
    <row r="117">
      <c r="A117" s="60" t="s">
        <v>442</v>
      </c>
      <c r="B117" s="60" t="s">
        <v>443</v>
      </c>
      <c r="C117" s="34" t="s">
        <v>75</v>
      </c>
      <c r="D117" s="34" t="s">
        <v>48</v>
      </c>
      <c r="E117" s="68">
        <v>5045.16</v>
      </c>
      <c r="F117" s="36"/>
      <c r="G117" s="36">
        <f t="shared" si="6"/>
        <v>5045.16</v>
      </c>
      <c r="H117" s="37"/>
    </row>
    <row r="118">
      <c r="A118" s="60" t="s">
        <v>450</v>
      </c>
      <c r="B118" s="60" t="s">
        <v>451</v>
      </c>
      <c r="C118" s="34" t="s">
        <v>75</v>
      </c>
      <c r="D118" s="34" t="s">
        <v>48</v>
      </c>
      <c r="E118" s="68">
        <v>1723.8</v>
      </c>
      <c r="F118" s="36"/>
      <c r="G118" s="36">
        <f t="shared" si="6"/>
        <v>1723.8</v>
      </c>
      <c r="H118" s="37"/>
    </row>
    <row r="119">
      <c r="A119" s="60" t="s">
        <v>460</v>
      </c>
      <c r="B119" s="60" t="s">
        <v>461</v>
      </c>
      <c r="C119" s="34" t="s">
        <v>75</v>
      </c>
      <c r="D119" s="34" t="s">
        <v>48</v>
      </c>
      <c r="E119" s="68">
        <v>252.64</v>
      </c>
      <c r="F119" s="36"/>
      <c r="G119" s="36">
        <f t="shared" si="6"/>
        <v>252.64</v>
      </c>
      <c r="H119" s="37"/>
    </row>
    <row r="120">
      <c r="A120" s="60" t="s">
        <v>462</v>
      </c>
      <c r="B120" s="60" t="s">
        <v>463</v>
      </c>
      <c r="C120" s="34" t="s">
        <v>75</v>
      </c>
      <c r="D120" s="34" t="s">
        <v>48</v>
      </c>
      <c r="E120" s="68">
        <v>5419.67</v>
      </c>
      <c r="F120" s="36"/>
      <c r="G120" s="36">
        <f t="shared" si="6"/>
        <v>5419.67</v>
      </c>
      <c r="H120" s="37"/>
    </row>
    <row r="121">
      <c r="A121" s="60" t="s">
        <v>466</v>
      </c>
      <c r="B121" s="60" t="s">
        <v>467</v>
      </c>
      <c r="C121" s="34" t="s">
        <v>75</v>
      </c>
      <c r="D121" s="34" t="s">
        <v>48</v>
      </c>
      <c r="E121" s="68">
        <v>2282.0</v>
      </c>
      <c r="F121" s="36"/>
      <c r="G121" s="36">
        <f t="shared" si="6"/>
        <v>2282</v>
      </c>
      <c r="H121" s="37"/>
    </row>
    <row r="122">
      <c r="A122" s="60" t="s">
        <v>468</v>
      </c>
      <c r="B122" s="60" t="s">
        <v>469</v>
      </c>
      <c r="C122" s="34" t="s">
        <v>75</v>
      </c>
      <c r="D122" s="34" t="s">
        <v>48</v>
      </c>
      <c r="E122" s="68">
        <v>1472.03</v>
      </c>
      <c r="F122" s="36"/>
      <c r="G122" s="36">
        <f t="shared" si="6"/>
        <v>1472.03</v>
      </c>
      <c r="H122" s="37"/>
    </row>
    <row r="123">
      <c r="A123" s="60" t="s">
        <v>350</v>
      </c>
      <c r="B123" s="60" t="s">
        <v>351</v>
      </c>
      <c r="C123" s="34" t="s">
        <v>75</v>
      </c>
      <c r="D123" s="34" t="s">
        <v>48</v>
      </c>
      <c r="E123" s="68">
        <v>100.0</v>
      </c>
      <c r="F123" s="36"/>
      <c r="G123" s="36">
        <f t="shared" si="6"/>
        <v>100</v>
      </c>
      <c r="H123" s="37"/>
    </row>
    <row r="124">
      <c r="A124" s="60" t="s">
        <v>352</v>
      </c>
      <c r="B124" s="60" t="s">
        <v>353</v>
      </c>
      <c r="C124" s="34" t="s">
        <v>75</v>
      </c>
      <c r="D124" s="34" t="s">
        <v>48</v>
      </c>
      <c r="E124" s="68">
        <v>108.98</v>
      </c>
      <c r="F124" s="36"/>
      <c r="G124" s="36">
        <f t="shared" si="6"/>
        <v>108.98</v>
      </c>
      <c r="H124" s="37"/>
    </row>
    <row r="125">
      <c r="A125" s="60" t="s">
        <v>354</v>
      </c>
      <c r="B125" s="60" t="s">
        <v>355</v>
      </c>
      <c r="C125" s="34" t="s">
        <v>75</v>
      </c>
      <c r="D125" s="34" t="s">
        <v>48</v>
      </c>
      <c r="E125" s="68">
        <v>542.93</v>
      </c>
      <c r="F125" s="36"/>
      <c r="G125" s="36">
        <f t="shared" si="6"/>
        <v>542.93</v>
      </c>
      <c r="H125" s="37"/>
    </row>
    <row r="126">
      <c r="A126" s="60" t="s">
        <v>356</v>
      </c>
      <c r="B126" s="60" t="s">
        <v>357</v>
      </c>
      <c r="C126" s="34" t="s">
        <v>75</v>
      </c>
      <c r="D126" s="34" t="s">
        <v>48</v>
      </c>
      <c r="E126" s="68">
        <v>149.98</v>
      </c>
      <c r="F126" s="36"/>
      <c r="G126" s="36">
        <f t="shared" si="6"/>
        <v>149.98</v>
      </c>
      <c r="H126" s="37"/>
    </row>
    <row r="127">
      <c r="A127" s="60" t="s">
        <v>358</v>
      </c>
      <c r="B127" s="60" t="s">
        <v>359</v>
      </c>
      <c r="C127" s="34" t="s">
        <v>75</v>
      </c>
      <c r="D127" s="34" t="s">
        <v>48</v>
      </c>
      <c r="E127" s="68">
        <v>207.98</v>
      </c>
      <c r="F127" s="36"/>
      <c r="G127" s="36">
        <f t="shared" si="6"/>
        <v>207.98</v>
      </c>
      <c r="H127" s="37"/>
    </row>
    <row r="128">
      <c r="A128" s="60" t="s">
        <v>362</v>
      </c>
      <c r="B128" s="60" t="s">
        <v>363</v>
      </c>
      <c r="C128" s="34" t="s">
        <v>75</v>
      </c>
      <c r="D128" s="34" t="s">
        <v>48</v>
      </c>
      <c r="E128" s="68">
        <v>142.98</v>
      </c>
      <c r="F128" s="36"/>
      <c r="G128" s="36">
        <f t="shared" si="6"/>
        <v>142.98</v>
      </c>
      <c r="H128" s="37"/>
    </row>
    <row r="129">
      <c r="A129" s="60" t="s">
        <v>364</v>
      </c>
      <c r="B129" s="60" t="s">
        <v>365</v>
      </c>
      <c r="C129" s="34" t="s">
        <v>75</v>
      </c>
      <c r="D129" s="34" t="s">
        <v>48</v>
      </c>
      <c r="E129" s="68">
        <v>5207.91</v>
      </c>
      <c r="F129" s="36"/>
      <c r="G129" s="36">
        <f t="shared" si="6"/>
        <v>5207.91</v>
      </c>
      <c r="H129" s="37"/>
    </row>
    <row r="130">
      <c r="A130" s="60" t="s">
        <v>366</v>
      </c>
      <c r="B130" s="60" t="s">
        <v>367</v>
      </c>
      <c r="C130" s="34" t="s">
        <v>75</v>
      </c>
      <c r="D130" s="34" t="s">
        <v>48</v>
      </c>
      <c r="E130" s="68">
        <v>868.89</v>
      </c>
      <c r="F130" s="36"/>
      <c r="G130" s="36">
        <f t="shared" si="6"/>
        <v>868.89</v>
      </c>
      <c r="H130" s="37"/>
    </row>
    <row r="131">
      <c r="A131" s="60" t="s">
        <v>1443</v>
      </c>
      <c r="B131" s="60" t="s">
        <v>1444</v>
      </c>
      <c r="C131" s="34" t="s">
        <v>75</v>
      </c>
      <c r="D131" s="34" t="s">
        <v>48</v>
      </c>
      <c r="E131" s="68">
        <v>5110.2</v>
      </c>
      <c r="F131" s="36"/>
      <c r="G131" s="36">
        <f t="shared" si="6"/>
        <v>5110.2</v>
      </c>
      <c r="H131" s="37"/>
    </row>
    <row r="132">
      <c r="A132" s="60" t="s">
        <v>716</v>
      </c>
      <c r="B132" s="60" t="s">
        <v>2046</v>
      </c>
      <c r="C132" s="34" t="s">
        <v>75</v>
      </c>
      <c r="D132" s="34" t="s">
        <v>48</v>
      </c>
      <c r="E132" s="68">
        <v>1022.04</v>
      </c>
      <c r="F132" s="36"/>
      <c r="G132" s="36">
        <f t="shared" si="6"/>
        <v>1022.04</v>
      </c>
      <c r="H132" s="37"/>
    </row>
    <row r="133">
      <c r="A133" s="60" t="s">
        <v>1445</v>
      </c>
      <c r="B133" s="60" t="s">
        <v>1446</v>
      </c>
      <c r="C133" s="34" t="s">
        <v>75</v>
      </c>
      <c r="D133" s="34" t="s">
        <v>48</v>
      </c>
      <c r="E133" s="68">
        <v>511.02</v>
      </c>
      <c r="F133" s="36"/>
      <c r="G133" s="36">
        <f t="shared" si="6"/>
        <v>511.02</v>
      </c>
      <c r="H133" s="37"/>
    </row>
    <row r="134">
      <c r="A134" s="60" t="s">
        <v>370</v>
      </c>
      <c r="B134" s="60" t="s">
        <v>371</v>
      </c>
      <c r="C134" s="34" t="s">
        <v>75</v>
      </c>
      <c r="D134" s="34" t="s">
        <v>48</v>
      </c>
      <c r="E134" s="68">
        <v>5110.2</v>
      </c>
      <c r="F134" s="36"/>
      <c r="G134" s="36">
        <f t="shared" si="6"/>
        <v>5110.2</v>
      </c>
      <c r="H134" s="37"/>
    </row>
    <row r="135">
      <c r="A135" s="60" t="s">
        <v>2047</v>
      </c>
      <c r="B135" s="60" t="s">
        <v>2048</v>
      </c>
      <c r="C135" s="34" t="s">
        <v>75</v>
      </c>
      <c r="D135" s="34" t="s">
        <v>48</v>
      </c>
      <c r="E135" s="68">
        <v>1550.1</v>
      </c>
      <c r="F135" s="36"/>
      <c r="G135" s="36">
        <f t="shared" si="6"/>
        <v>1550.1</v>
      </c>
      <c r="H135" s="37"/>
    </row>
    <row r="136">
      <c r="A136" s="60" t="s">
        <v>376</v>
      </c>
      <c r="B136" s="60" t="s">
        <v>377</v>
      </c>
      <c r="C136" s="34" t="s">
        <v>75</v>
      </c>
      <c r="D136" s="34" t="s">
        <v>48</v>
      </c>
      <c r="E136" s="68">
        <v>2615.93</v>
      </c>
      <c r="F136" s="36"/>
      <c r="G136" s="36">
        <f t="shared" si="6"/>
        <v>2615.93</v>
      </c>
      <c r="H136" s="37"/>
    </row>
    <row r="137">
      <c r="A137" s="60" t="s">
        <v>384</v>
      </c>
      <c r="B137" s="60" t="s">
        <v>385</v>
      </c>
      <c r="C137" s="34" t="s">
        <v>75</v>
      </c>
      <c r="D137" s="34" t="s">
        <v>48</v>
      </c>
      <c r="E137" s="68">
        <v>2469.68</v>
      </c>
      <c r="F137" s="36"/>
      <c r="G137" s="36">
        <f t="shared" si="6"/>
        <v>2469.68</v>
      </c>
      <c r="H137" s="37"/>
    </row>
    <row r="138">
      <c r="A138" s="60" t="s">
        <v>386</v>
      </c>
      <c r="B138" s="60" t="s">
        <v>387</v>
      </c>
      <c r="C138" s="34" t="s">
        <v>75</v>
      </c>
      <c r="D138" s="34" t="s">
        <v>48</v>
      </c>
      <c r="E138" s="68">
        <v>333.96</v>
      </c>
      <c r="F138" s="36"/>
      <c r="G138" s="36">
        <f t="shared" si="6"/>
        <v>333.96</v>
      </c>
      <c r="H138" s="37"/>
    </row>
    <row r="139">
      <c r="A139" s="60" t="s">
        <v>388</v>
      </c>
      <c r="B139" s="60" t="s">
        <v>389</v>
      </c>
      <c r="C139" s="34" t="s">
        <v>75</v>
      </c>
      <c r="D139" s="34" t="s">
        <v>48</v>
      </c>
      <c r="E139" s="68">
        <v>513.92</v>
      </c>
      <c r="F139" s="36"/>
      <c r="G139" s="36">
        <f t="shared" si="6"/>
        <v>513.92</v>
      </c>
      <c r="H139" s="37"/>
    </row>
    <row r="140">
      <c r="A140" s="60" t="s">
        <v>746</v>
      </c>
      <c r="B140" s="60" t="s">
        <v>747</v>
      </c>
      <c r="C140" s="34" t="s">
        <v>75</v>
      </c>
      <c r="D140" s="34" t="s">
        <v>48</v>
      </c>
      <c r="E140" s="68">
        <v>1022.04</v>
      </c>
      <c r="F140" s="36"/>
      <c r="G140" s="36">
        <f t="shared" si="6"/>
        <v>1022.04</v>
      </c>
      <c r="H140" s="37"/>
    </row>
    <row r="141">
      <c r="A141" s="60" t="s">
        <v>472</v>
      </c>
      <c r="B141" s="60" t="s">
        <v>473</v>
      </c>
      <c r="C141" s="34" t="s">
        <v>75</v>
      </c>
      <c r="D141" s="34" t="s">
        <v>1761</v>
      </c>
      <c r="E141" s="68">
        <v>108.98</v>
      </c>
      <c r="F141" s="36"/>
      <c r="G141" s="36">
        <f t="shared" si="6"/>
        <v>108.98</v>
      </c>
      <c r="H141" s="37"/>
    </row>
    <row r="142">
      <c r="A142" s="60" t="s">
        <v>474</v>
      </c>
      <c r="B142" s="60" t="s">
        <v>475</v>
      </c>
      <c r="C142" s="34" t="s">
        <v>75</v>
      </c>
      <c r="D142" s="34" t="s">
        <v>1761</v>
      </c>
      <c r="E142" s="68">
        <v>47.28</v>
      </c>
      <c r="F142" s="36"/>
      <c r="G142" s="36">
        <f t="shared" si="6"/>
        <v>47.28</v>
      </c>
      <c r="H142" s="37"/>
    </row>
    <row r="143">
      <c r="A143" s="60" t="s">
        <v>476</v>
      </c>
      <c r="B143" s="60" t="s">
        <v>477</v>
      </c>
      <c r="C143" s="34" t="s">
        <v>75</v>
      </c>
      <c r="D143" s="34" t="s">
        <v>1761</v>
      </c>
      <c r="E143" s="68">
        <v>101.98</v>
      </c>
      <c r="F143" s="36"/>
      <c r="G143" s="36">
        <f t="shared" si="6"/>
        <v>101.98</v>
      </c>
      <c r="H143" s="37"/>
    </row>
    <row r="144">
      <c r="A144" s="60" t="s">
        <v>478</v>
      </c>
      <c r="B144" s="60" t="s">
        <v>479</v>
      </c>
      <c r="C144" s="34" t="s">
        <v>75</v>
      </c>
      <c r="D144" s="34" t="s">
        <v>1761</v>
      </c>
      <c r="E144" s="68">
        <v>569.01</v>
      </c>
      <c r="F144" s="36"/>
      <c r="G144" s="36">
        <f t="shared" si="6"/>
        <v>569.01</v>
      </c>
      <c r="H144" s="37"/>
    </row>
    <row r="145">
      <c r="A145" s="60" t="s">
        <v>480</v>
      </c>
      <c r="B145" s="60" t="s">
        <v>481</v>
      </c>
      <c r="C145" s="34" t="s">
        <v>75</v>
      </c>
      <c r="D145" s="34" t="s">
        <v>1761</v>
      </c>
      <c r="E145" s="68">
        <v>200.98</v>
      </c>
      <c r="F145" s="36"/>
      <c r="G145" s="36">
        <f t="shared" si="6"/>
        <v>200.98</v>
      </c>
      <c r="H145" s="37"/>
    </row>
    <row r="146">
      <c r="A146" s="60" t="s">
        <v>482</v>
      </c>
      <c r="B146" s="60" t="s">
        <v>483</v>
      </c>
      <c r="C146" s="34" t="s">
        <v>75</v>
      </c>
      <c r="D146" s="34" t="s">
        <v>1761</v>
      </c>
      <c r="E146" s="68">
        <v>309.95</v>
      </c>
      <c r="F146" s="36"/>
      <c r="G146" s="36">
        <f t="shared" si="6"/>
        <v>309.95</v>
      </c>
      <c r="H146" s="37"/>
    </row>
    <row r="147">
      <c r="A147" s="60" t="s">
        <v>2164</v>
      </c>
      <c r="B147" s="60" t="s">
        <v>2165</v>
      </c>
      <c r="C147" s="34" t="s">
        <v>75</v>
      </c>
      <c r="D147" s="34" t="s">
        <v>1761</v>
      </c>
      <c r="E147" s="68">
        <v>217.97</v>
      </c>
      <c r="F147" s="36"/>
      <c r="G147" s="36">
        <f t="shared" si="6"/>
        <v>217.97</v>
      </c>
      <c r="H147" s="37"/>
    </row>
    <row r="148">
      <c r="A148" s="60" t="s">
        <v>484</v>
      </c>
      <c r="B148" s="60" t="s">
        <v>485</v>
      </c>
      <c r="C148" s="34" t="s">
        <v>75</v>
      </c>
      <c r="D148" s="34" t="s">
        <v>1761</v>
      </c>
      <c r="E148" s="68">
        <v>778.02</v>
      </c>
      <c r="F148" s="36"/>
      <c r="G148" s="36">
        <f t="shared" si="6"/>
        <v>778.02</v>
      </c>
      <c r="H148" s="37"/>
    </row>
    <row r="149">
      <c r="A149" s="60" t="s">
        <v>486</v>
      </c>
      <c r="B149" s="60" t="s">
        <v>487</v>
      </c>
      <c r="C149" s="34" t="s">
        <v>75</v>
      </c>
      <c r="D149" s="34" t="s">
        <v>1761</v>
      </c>
      <c r="E149" s="68">
        <v>408.98</v>
      </c>
      <c r="F149" s="36"/>
      <c r="G149" s="36">
        <f t="shared" si="6"/>
        <v>408.98</v>
      </c>
      <c r="H149" s="37"/>
    </row>
    <row r="150">
      <c r="A150" s="60" t="s">
        <v>1920</v>
      </c>
      <c r="B150" s="60" t="s">
        <v>1921</v>
      </c>
      <c r="C150" s="34" t="s">
        <v>75</v>
      </c>
      <c r="D150" s="34" t="s">
        <v>1761</v>
      </c>
      <c r="E150" s="68">
        <v>517.5</v>
      </c>
      <c r="F150" s="36"/>
      <c r="G150" s="36">
        <f t="shared" si="6"/>
        <v>517.5</v>
      </c>
      <c r="H150" s="37"/>
    </row>
    <row r="151">
      <c r="A151" s="60" t="s">
        <v>488</v>
      </c>
      <c r="B151" s="60" t="s">
        <v>489</v>
      </c>
      <c r="C151" s="34" t="s">
        <v>75</v>
      </c>
      <c r="D151" s="34" t="s">
        <v>1761</v>
      </c>
      <c r="E151" s="68">
        <v>108.98</v>
      </c>
      <c r="F151" s="36"/>
      <c r="G151" s="36">
        <f t="shared" si="6"/>
        <v>108.98</v>
      </c>
      <c r="H151" s="37"/>
    </row>
    <row r="152">
      <c r="A152" s="60" t="s">
        <v>490</v>
      </c>
      <c r="B152" s="60" t="s">
        <v>491</v>
      </c>
      <c r="C152" s="34" t="s">
        <v>75</v>
      </c>
      <c r="D152" s="34" t="s">
        <v>1761</v>
      </c>
      <c r="E152" s="68">
        <v>285.96</v>
      </c>
      <c r="F152" s="36"/>
      <c r="G152" s="36">
        <f t="shared" si="6"/>
        <v>285.96</v>
      </c>
      <c r="H152" s="37"/>
    </row>
    <row r="153">
      <c r="A153" s="60" t="s">
        <v>492</v>
      </c>
      <c r="B153" s="60" t="s">
        <v>493</v>
      </c>
      <c r="C153" s="34" t="s">
        <v>75</v>
      </c>
      <c r="D153" s="34" t="s">
        <v>1761</v>
      </c>
      <c r="E153" s="68">
        <v>357.99</v>
      </c>
      <c r="F153" s="36"/>
      <c r="G153" s="36">
        <f t="shared" si="6"/>
        <v>357.99</v>
      </c>
      <c r="H153" s="37"/>
    </row>
    <row r="154">
      <c r="A154" s="60" t="s">
        <v>494</v>
      </c>
      <c r="B154" s="60" t="s">
        <v>495</v>
      </c>
      <c r="C154" s="34" t="s">
        <v>75</v>
      </c>
      <c r="D154" s="34" t="s">
        <v>1761</v>
      </c>
      <c r="E154" s="68">
        <v>183.98</v>
      </c>
      <c r="F154" s="36"/>
      <c r="G154" s="36">
        <f t="shared" si="6"/>
        <v>183.98</v>
      </c>
      <c r="H154" s="37"/>
    </row>
    <row r="155">
      <c r="A155" s="60" t="s">
        <v>496</v>
      </c>
      <c r="B155" s="60" t="s">
        <v>497</v>
      </c>
      <c r="C155" s="34" t="s">
        <v>75</v>
      </c>
      <c r="D155" s="34" t="s">
        <v>1761</v>
      </c>
      <c r="E155" s="68">
        <v>91.98</v>
      </c>
      <c r="F155" s="36"/>
      <c r="G155" s="36">
        <f t="shared" si="6"/>
        <v>91.98</v>
      </c>
      <c r="H155" s="37"/>
    </row>
    <row r="156">
      <c r="A156" s="60" t="s">
        <v>498</v>
      </c>
      <c r="B156" s="60" t="s">
        <v>499</v>
      </c>
      <c r="C156" s="34" t="s">
        <v>75</v>
      </c>
      <c r="D156" s="34" t="s">
        <v>1761</v>
      </c>
      <c r="E156" s="68">
        <v>343.95</v>
      </c>
      <c r="F156" s="36"/>
      <c r="G156" s="36">
        <f t="shared" si="6"/>
        <v>343.95</v>
      </c>
      <c r="H156" s="37"/>
    </row>
    <row r="157">
      <c r="A157" s="60" t="s">
        <v>500</v>
      </c>
      <c r="B157" s="60" t="s">
        <v>501</v>
      </c>
      <c r="C157" s="34" t="s">
        <v>75</v>
      </c>
      <c r="D157" s="34" t="s">
        <v>1761</v>
      </c>
      <c r="E157" s="68">
        <v>190.98</v>
      </c>
      <c r="F157" s="36"/>
      <c r="G157" s="36">
        <f t="shared" si="6"/>
        <v>190.98</v>
      </c>
      <c r="H157" s="37"/>
    </row>
    <row r="158">
      <c r="A158" s="60" t="s">
        <v>502</v>
      </c>
      <c r="B158" s="60" t="s">
        <v>503</v>
      </c>
      <c r="C158" s="34" t="s">
        <v>75</v>
      </c>
      <c r="D158" s="34" t="s">
        <v>1761</v>
      </c>
      <c r="E158" s="68">
        <v>53.98</v>
      </c>
      <c r="F158" s="36"/>
      <c r="G158" s="36">
        <f t="shared" si="6"/>
        <v>53.98</v>
      </c>
      <c r="H158" s="37"/>
    </row>
    <row r="159">
      <c r="A159" s="60" t="s">
        <v>504</v>
      </c>
      <c r="B159" s="60" t="s">
        <v>505</v>
      </c>
      <c r="C159" s="34" t="s">
        <v>75</v>
      </c>
      <c r="D159" s="34" t="s">
        <v>1761</v>
      </c>
      <c r="E159" s="68">
        <v>292.96</v>
      </c>
      <c r="F159" s="36"/>
      <c r="G159" s="36">
        <f t="shared" si="6"/>
        <v>292.96</v>
      </c>
      <c r="H159" s="37"/>
    </row>
    <row r="160">
      <c r="A160" s="60" t="s">
        <v>506</v>
      </c>
      <c r="B160" s="60" t="s">
        <v>507</v>
      </c>
      <c r="C160" s="34" t="s">
        <v>75</v>
      </c>
      <c r="D160" s="34" t="s">
        <v>1761</v>
      </c>
      <c r="E160" s="68">
        <v>1012.26</v>
      </c>
      <c r="F160" s="36"/>
      <c r="G160" s="36">
        <f t="shared" si="6"/>
        <v>1012.26</v>
      </c>
      <c r="H160" s="37"/>
    </row>
    <row r="161">
      <c r="A161" s="60" t="s">
        <v>508</v>
      </c>
      <c r="B161" s="60" t="s">
        <v>509</v>
      </c>
      <c r="C161" s="34" t="s">
        <v>75</v>
      </c>
      <c r="D161" s="34" t="s">
        <v>1761</v>
      </c>
      <c r="E161" s="68">
        <v>460.03</v>
      </c>
      <c r="F161" s="36"/>
      <c r="G161" s="36">
        <f t="shared" si="6"/>
        <v>460.03</v>
      </c>
      <c r="H161" s="37"/>
    </row>
    <row r="162">
      <c r="A162" s="60" t="s">
        <v>510</v>
      </c>
      <c r="B162" s="60" t="s">
        <v>511</v>
      </c>
      <c r="C162" s="34" t="s">
        <v>75</v>
      </c>
      <c r="D162" s="34" t="s">
        <v>1761</v>
      </c>
      <c r="E162" s="68">
        <v>494.02</v>
      </c>
      <c r="F162" s="36"/>
      <c r="G162" s="36">
        <f t="shared" si="6"/>
        <v>494.02</v>
      </c>
      <c r="H162" s="37"/>
    </row>
    <row r="163">
      <c r="A163" s="60" t="s">
        <v>1924</v>
      </c>
      <c r="B163" s="60" t="s">
        <v>1925</v>
      </c>
      <c r="C163" s="34" t="s">
        <v>75</v>
      </c>
      <c r="D163" s="34" t="s">
        <v>1761</v>
      </c>
      <c r="E163" s="68">
        <v>299.97</v>
      </c>
      <c r="F163" s="36"/>
      <c r="G163" s="36">
        <f t="shared" si="6"/>
        <v>299.97</v>
      </c>
      <c r="H163" s="37"/>
    </row>
    <row r="164">
      <c r="A164" s="60" t="s">
        <v>512</v>
      </c>
      <c r="B164" s="60" t="s">
        <v>513</v>
      </c>
      <c r="C164" s="34" t="s">
        <v>75</v>
      </c>
      <c r="D164" s="34" t="s">
        <v>1761</v>
      </c>
      <c r="E164" s="68">
        <v>414.0</v>
      </c>
      <c r="F164" s="36"/>
      <c r="G164" s="36">
        <f t="shared" si="6"/>
        <v>414</v>
      </c>
      <c r="H164" s="37"/>
    </row>
    <row r="165">
      <c r="A165" s="60" t="s">
        <v>514</v>
      </c>
      <c r="B165" s="60" t="s">
        <v>515</v>
      </c>
      <c r="C165" s="34" t="s">
        <v>75</v>
      </c>
      <c r="D165" s="34" t="s">
        <v>1761</v>
      </c>
      <c r="E165" s="68">
        <v>125.97</v>
      </c>
      <c r="F165" s="36"/>
      <c r="G165" s="36">
        <f t="shared" si="6"/>
        <v>125.97</v>
      </c>
      <c r="H165" s="37"/>
    </row>
    <row r="166">
      <c r="A166" s="60" t="s">
        <v>516</v>
      </c>
      <c r="B166" s="60" t="s">
        <v>517</v>
      </c>
      <c r="C166" s="34" t="s">
        <v>75</v>
      </c>
      <c r="D166" s="34" t="s">
        <v>1761</v>
      </c>
      <c r="E166" s="68">
        <v>258.97</v>
      </c>
      <c r="F166" s="36"/>
      <c r="G166" s="36">
        <f t="shared" si="6"/>
        <v>258.97</v>
      </c>
      <c r="H166" s="37"/>
    </row>
    <row r="167">
      <c r="A167" s="60" t="s">
        <v>518</v>
      </c>
      <c r="B167" s="60" t="s">
        <v>519</v>
      </c>
      <c r="C167" s="34" t="s">
        <v>75</v>
      </c>
      <c r="D167" s="34" t="s">
        <v>1761</v>
      </c>
      <c r="E167" s="68">
        <v>561.93</v>
      </c>
      <c r="F167" s="36"/>
      <c r="G167" s="36">
        <f t="shared" si="6"/>
        <v>561.93</v>
      </c>
      <c r="H167" s="37"/>
    </row>
    <row r="168">
      <c r="A168" s="60" t="s">
        <v>1926</v>
      </c>
      <c r="B168" s="60" t="s">
        <v>1927</v>
      </c>
      <c r="C168" s="34" t="s">
        <v>75</v>
      </c>
      <c r="D168" s="34" t="s">
        <v>1761</v>
      </c>
      <c r="E168" s="68">
        <v>103.5</v>
      </c>
      <c r="F168" s="36"/>
      <c r="G168" s="36">
        <f t="shared" si="6"/>
        <v>103.5</v>
      </c>
      <c r="H168" s="37"/>
    </row>
    <row r="169">
      <c r="A169" s="60" t="s">
        <v>522</v>
      </c>
      <c r="B169" s="60" t="s">
        <v>523</v>
      </c>
      <c r="C169" s="34" t="s">
        <v>75</v>
      </c>
      <c r="D169" s="34" t="s">
        <v>1761</v>
      </c>
      <c r="E169" s="68">
        <v>149.98</v>
      </c>
      <c r="F169" s="36"/>
      <c r="G169" s="36">
        <f t="shared" si="6"/>
        <v>149.98</v>
      </c>
      <c r="H169" s="37"/>
    </row>
    <row r="170">
      <c r="A170" s="60" t="s">
        <v>524</v>
      </c>
      <c r="B170" s="60" t="s">
        <v>525</v>
      </c>
      <c r="C170" s="34" t="s">
        <v>75</v>
      </c>
      <c r="D170" s="34" t="s">
        <v>1761</v>
      </c>
      <c r="E170" s="68">
        <v>3956.89</v>
      </c>
      <c r="F170" s="36"/>
      <c r="G170" s="36">
        <f t="shared" si="6"/>
        <v>3956.89</v>
      </c>
      <c r="H170" s="37"/>
    </row>
    <row r="171">
      <c r="A171" s="60" t="s">
        <v>526</v>
      </c>
      <c r="B171" s="60" t="s">
        <v>527</v>
      </c>
      <c r="C171" s="34" t="s">
        <v>75</v>
      </c>
      <c r="D171" s="34" t="s">
        <v>1761</v>
      </c>
      <c r="E171" s="68">
        <v>108.98</v>
      </c>
      <c r="F171" s="36"/>
      <c r="G171" s="36">
        <f t="shared" si="6"/>
        <v>108.98</v>
      </c>
      <c r="H171" s="37"/>
    </row>
    <row r="172">
      <c r="A172" s="60" t="s">
        <v>528</v>
      </c>
      <c r="B172" s="60" t="s">
        <v>529</v>
      </c>
      <c r="C172" s="34" t="s">
        <v>75</v>
      </c>
      <c r="D172" s="34" t="s">
        <v>1761</v>
      </c>
      <c r="E172" s="68">
        <v>275.96</v>
      </c>
      <c r="F172" s="36"/>
      <c r="G172" s="36">
        <f t="shared" si="6"/>
        <v>275.96</v>
      </c>
      <c r="H172" s="37"/>
    </row>
    <row r="173">
      <c r="A173" s="60" t="s">
        <v>530</v>
      </c>
      <c r="B173" s="60" t="s">
        <v>531</v>
      </c>
      <c r="C173" s="34" t="s">
        <v>75</v>
      </c>
      <c r="D173" s="34" t="s">
        <v>1761</v>
      </c>
      <c r="E173" s="68">
        <v>511.02</v>
      </c>
      <c r="F173" s="36"/>
      <c r="G173" s="36">
        <f t="shared" si="6"/>
        <v>511.02</v>
      </c>
      <c r="H173" s="37"/>
    </row>
    <row r="174">
      <c r="A174" s="60" t="s">
        <v>532</v>
      </c>
      <c r="B174" s="60" t="s">
        <v>533</v>
      </c>
      <c r="C174" s="34" t="s">
        <v>75</v>
      </c>
      <c r="D174" s="34" t="s">
        <v>1761</v>
      </c>
      <c r="E174" s="68">
        <v>200.98</v>
      </c>
      <c r="F174" s="36"/>
      <c r="G174" s="36">
        <f t="shared" si="6"/>
        <v>200.98</v>
      </c>
      <c r="H174" s="37"/>
    </row>
    <row r="175">
      <c r="A175" s="60" t="s">
        <v>534</v>
      </c>
      <c r="B175" s="60" t="s">
        <v>535</v>
      </c>
      <c r="C175" s="34" t="s">
        <v>75</v>
      </c>
      <c r="D175" s="34" t="s">
        <v>1761</v>
      </c>
      <c r="E175" s="68">
        <v>50.99</v>
      </c>
      <c r="F175" s="36"/>
      <c r="G175" s="36">
        <f t="shared" si="6"/>
        <v>50.99</v>
      </c>
      <c r="H175" s="37"/>
    </row>
    <row r="176">
      <c r="A176" s="60" t="s">
        <v>536</v>
      </c>
      <c r="B176" s="60" t="s">
        <v>537</v>
      </c>
      <c r="C176" s="34" t="s">
        <v>75</v>
      </c>
      <c r="D176" s="34" t="s">
        <v>1761</v>
      </c>
      <c r="E176" s="68">
        <v>200.98</v>
      </c>
      <c r="F176" s="36"/>
      <c r="G176" s="36">
        <f t="shared" si="6"/>
        <v>200.98</v>
      </c>
      <c r="H176" s="37"/>
    </row>
    <row r="177">
      <c r="A177" s="60" t="s">
        <v>538</v>
      </c>
      <c r="B177" s="60" t="s">
        <v>539</v>
      </c>
      <c r="C177" s="34" t="s">
        <v>75</v>
      </c>
      <c r="D177" s="34" t="s">
        <v>1761</v>
      </c>
      <c r="E177" s="68">
        <v>460.03</v>
      </c>
      <c r="F177" s="36"/>
      <c r="G177" s="36">
        <f t="shared" si="6"/>
        <v>460.03</v>
      </c>
      <c r="H177" s="37"/>
    </row>
    <row r="178">
      <c r="A178" s="60" t="s">
        <v>540</v>
      </c>
      <c r="B178" s="60" t="s">
        <v>541</v>
      </c>
      <c r="C178" s="34" t="s">
        <v>75</v>
      </c>
      <c r="D178" s="34" t="s">
        <v>1761</v>
      </c>
      <c r="E178" s="68">
        <v>173.98</v>
      </c>
      <c r="F178" s="36"/>
      <c r="G178" s="36">
        <f t="shared" si="6"/>
        <v>173.98</v>
      </c>
      <c r="H178" s="37"/>
    </row>
    <row r="179">
      <c r="A179" s="60" t="s">
        <v>542</v>
      </c>
      <c r="B179" s="60" t="s">
        <v>543</v>
      </c>
      <c r="C179" s="34" t="s">
        <v>75</v>
      </c>
      <c r="D179" s="34" t="s">
        <v>1761</v>
      </c>
      <c r="E179" s="68">
        <v>1211.42</v>
      </c>
      <c r="F179" s="36"/>
      <c r="G179" s="36">
        <f t="shared" si="6"/>
        <v>1211.42</v>
      </c>
      <c r="H179" s="37"/>
    </row>
    <row r="180">
      <c r="A180" s="60" t="s">
        <v>544</v>
      </c>
      <c r="B180" s="60" t="s">
        <v>545</v>
      </c>
      <c r="C180" s="34" t="s">
        <v>75</v>
      </c>
      <c r="D180" s="34" t="s">
        <v>1761</v>
      </c>
      <c r="E180" s="68">
        <v>493.93</v>
      </c>
      <c r="F180" s="36"/>
      <c r="G180" s="36">
        <f t="shared" si="6"/>
        <v>493.93</v>
      </c>
      <c r="H180" s="37"/>
    </row>
    <row r="181">
      <c r="A181" s="60" t="s">
        <v>546</v>
      </c>
      <c r="B181" s="60" t="s">
        <v>547</v>
      </c>
      <c r="C181" s="34" t="s">
        <v>75</v>
      </c>
      <c r="D181" s="34" t="s">
        <v>1761</v>
      </c>
      <c r="E181" s="68">
        <v>251.96</v>
      </c>
      <c r="F181" s="36"/>
      <c r="G181" s="36">
        <f t="shared" si="6"/>
        <v>251.96</v>
      </c>
      <c r="H181" s="37"/>
    </row>
    <row r="182">
      <c r="A182" s="60" t="s">
        <v>1928</v>
      </c>
      <c r="B182" s="60" t="s">
        <v>1929</v>
      </c>
      <c r="C182" s="34" t="s">
        <v>75</v>
      </c>
      <c r="D182" s="34" t="s">
        <v>1761</v>
      </c>
      <c r="E182" s="68">
        <v>108.98</v>
      </c>
      <c r="F182" s="36"/>
      <c r="G182" s="36">
        <f t="shared" si="6"/>
        <v>108.98</v>
      </c>
      <c r="H182" s="37"/>
    </row>
    <row r="183">
      <c r="A183" s="60" t="s">
        <v>548</v>
      </c>
      <c r="B183" s="60" t="s">
        <v>549</v>
      </c>
      <c r="C183" s="34" t="s">
        <v>75</v>
      </c>
      <c r="D183" s="34" t="s">
        <v>1761</v>
      </c>
      <c r="E183" s="68">
        <v>241.97</v>
      </c>
      <c r="F183" s="36"/>
      <c r="G183" s="36">
        <f t="shared" si="6"/>
        <v>241.97</v>
      </c>
      <c r="H183" s="37"/>
    </row>
    <row r="184">
      <c r="A184" s="60" t="s">
        <v>550</v>
      </c>
      <c r="B184" s="60" t="s">
        <v>551</v>
      </c>
      <c r="C184" s="34" t="s">
        <v>75</v>
      </c>
      <c r="D184" s="34" t="s">
        <v>1761</v>
      </c>
      <c r="E184" s="68">
        <v>309.95</v>
      </c>
      <c r="F184" s="36"/>
      <c r="G184" s="36">
        <f t="shared" si="6"/>
        <v>309.95</v>
      </c>
      <c r="H184" s="37"/>
    </row>
    <row r="185">
      <c r="A185" s="60" t="s">
        <v>1425</v>
      </c>
      <c r="B185" s="60" t="s">
        <v>1426</v>
      </c>
      <c r="C185" s="34" t="s">
        <v>75</v>
      </c>
      <c r="D185" s="34" t="s">
        <v>1761</v>
      </c>
      <c r="E185" s="68">
        <v>0.26</v>
      </c>
      <c r="F185" s="36"/>
      <c r="G185" s="36">
        <f t="shared" si="6"/>
        <v>0.26</v>
      </c>
      <c r="H185" s="37"/>
    </row>
    <row r="186">
      <c r="A186" s="60" t="s">
        <v>552</v>
      </c>
      <c r="B186" s="60" t="s">
        <v>553</v>
      </c>
      <c r="C186" s="34" t="s">
        <v>75</v>
      </c>
      <c r="D186" s="34" t="s">
        <v>1761</v>
      </c>
      <c r="E186" s="68">
        <v>1360.11</v>
      </c>
      <c r="F186" s="36"/>
      <c r="G186" s="36">
        <f t="shared" si="6"/>
        <v>1360.11</v>
      </c>
      <c r="H186" s="37"/>
    </row>
    <row r="187">
      <c r="A187" s="60" t="s">
        <v>556</v>
      </c>
      <c r="B187" s="60" t="s">
        <v>557</v>
      </c>
      <c r="C187" s="34" t="s">
        <v>75</v>
      </c>
      <c r="D187" s="34" t="s">
        <v>1761</v>
      </c>
      <c r="E187" s="68">
        <v>275.96</v>
      </c>
      <c r="F187" s="36"/>
      <c r="G187" s="36">
        <f t="shared" si="6"/>
        <v>275.96</v>
      </c>
      <c r="H187" s="37"/>
    </row>
    <row r="188">
      <c r="A188" s="60" t="s">
        <v>1930</v>
      </c>
      <c r="B188" s="60" t="s">
        <v>1931</v>
      </c>
      <c r="C188" s="34" t="s">
        <v>75</v>
      </c>
      <c r="D188" s="34" t="s">
        <v>1761</v>
      </c>
      <c r="E188" s="68">
        <v>200.98</v>
      </c>
      <c r="F188" s="36"/>
      <c r="G188" s="36">
        <f t="shared" si="6"/>
        <v>200.98</v>
      </c>
      <c r="H188" s="37"/>
    </row>
    <row r="189">
      <c r="A189" s="60" t="s">
        <v>558</v>
      </c>
      <c r="B189" s="60" t="s">
        <v>559</v>
      </c>
      <c r="C189" s="34" t="s">
        <v>75</v>
      </c>
      <c r="D189" s="34" t="s">
        <v>1761</v>
      </c>
      <c r="E189" s="68">
        <v>510.93</v>
      </c>
      <c r="F189" s="36"/>
      <c r="G189" s="36">
        <f t="shared" si="6"/>
        <v>510.93</v>
      </c>
      <c r="H189" s="37"/>
    </row>
    <row r="190">
      <c r="A190" s="60" t="s">
        <v>560</v>
      </c>
      <c r="B190" s="60" t="s">
        <v>561</v>
      </c>
      <c r="C190" s="34" t="s">
        <v>75</v>
      </c>
      <c r="D190" s="34" t="s">
        <v>1761</v>
      </c>
      <c r="E190" s="68">
        <v>268.96</v>
      </c>
      <c r="F190" s="36"/>
      <c r="G190" s="36">
        <f t="shared" si="6"/>
        <v>268.96</v>
      </c>
      <c r="H190" s="37"/>
    </row>
    <row r="191">
      <c r="A191" s="60" t="s">
        <v>562</v>
      </c>
      <c r="B191" s="60" t="s">
        <v>563</v>
      </c>
      <c r="C191" s="34" t="s">
        <v>75</v>
      </c>
      <c r="D191" s="34" t="s">
        <v>1761</v>
      </c>
      <c r="E191" s="68">
        <v>84.99</v>
      </c>
      <c r="F191" s="36"/>
      <c r="G191" s="36">
        <f t="shared" si="6"/>
        <v>84.99</v>
      </c>
      <c r="H191" s="37"/>
    </row>
    <row r="192">
      <c r="A192" s="60" t="s">
        <v>564</v>
      </c>
      <c r="B192" s="60" t="s">
        <v>565</v>
      </c>
      <c r="C192" s="34" t="s">
        <v>75</v>
      </c>
      <c r="D192" s="34" t="s">
        <v>1761</v>
      </c>
      <c r="E192" s="68">
        <v>91.98</v>
      </c>
      <c r="F192" s="36"/>
      <c r="G192" s="36">
        <f t="shared" si="6"/>
        <v>91.98</v>
      </c>
      <c r="H192" s="37"/>
    </row>
    <row r="193">
      <c r="A193" s="60" t="s">
        <v>566</v>
      </c>
      <c r="B193" s="60" t="s">
        <v>567</v>
      </c>
      <c r="C193" s="34" t="s">
        <v>75</v>
      </c>
      <c r="D193" s="34" t="s">
        <v>1761</v>
      </c>
      <c r="E193" s="68">
        <v>183.98</v>
      </c>
      <c r="F193" s="36"/>
      <c r="G193" s="36">
        <f t="shared" si="6"/>
        <v>183.98</v>
      </c>
      <c r="H193" s="37"/>
    </row>
    <row r="194">
      <c r="A194" s="60" t="s">
        <v>1932</v>
      </c>
      <c r="B194" s="60" t="s">
        <v>1933</v>
      </c>
      <c r="C194" s="34" t="s">
        <v>75</v>
      </c>
      <c r="D194" s="34" t="s">
        <v>1761</v>
      </c>
      <c r="E194" s="68">
        <v>183.98</v>
      </c>
      <c r="F194" s="36"/>
      <c r="G194" s="36">
        <f t="shared" si="6"/>
        <v>183.98</v>
      </c>
      <c r="H194" s="37"/>
    </row>
    <row r="195">
      <c r="A195" s="60" t="s">
        <v>568</v>
      </c>
      <c r="B195" s="60" t="s">
        <v>569</v>
      </c>
      <c r="C195" s="34" t="s">
        <v>75</v>
      </c>
      <c r="D195" s="34" t="s">
        <v>1761</v>
      </c>
      <c r="E195" s="68">
        <v>1426.0</v>
      </c>
      <c r="F195" s="36"/>
      <c r="G195" s="36">
        <f t="shared" si="6"/>
        <v>1426</v>
      </c>
      <c r="H195" s="37"/>
    </row>
    <row r="196">
      <c r="A196" s="60" t="s">
        <v>1934</v>
      </c>
      <c r="B196" s="60" t="s">
        <v>1935</v>
      </c>
      <c r="C196" s="34" t="s">
        <v>75</v>
      </c>
      <c r="D196" s="34" t="s">
        <v>1761</v>
      </c>
      <c r="E196" s="68">
        <v>459.94</v>
      </c>
      <c r="F196" s="36"/>
      <c r="G196" s="36">
        <f t="shared" si="6"/>
        <v>459.94</v>
      </c>
      <c r="H196" s="37"/>
    </row>
    <row r="197">
      <c r="A197" s="60" t="s">
        <v>570</v>
      </c>
      <c r="B197" s="60" t="s">
        <v>571</v>
      </c>
      <c r="C197" s="34" t="s">
        <v>75</v>
      </c>
      <c r="D197" s="34" t="s">
        <v>1761</v>
      </c>
      <c r="E197" s="68">
        <v>309.95</v>
      </c>
      <c r="F197" s="36"/>
      <c r="G197" s="36">
        <f t="shared" si="6"/>
        <v>309.95</v>
      </c>
      <c r="H197" s="37"/>
    </row>
    <row r="198">
      <c r="A198" s="60" t="s">
        <v>572</v>
      </c>
      <c r="B198" s="60" t="s">
        <v>573</v>
      </c>
      <c r="C198" s="34" t="s">
        <v>75</v>
      </c>
      <c r="D198" s="34" t="s">
        <v>1761</v>
      </c>
      <c r="E198" s="68">
        <v>149.98</v>
      </c>
      <c r="F198" s="36"/>
      <c r="G198" s="36">
        <f t="shared" si="6"/>
        <v>149.98</v>
      </c>
      <c r="H198" s="37"/>
    </row>
    <row r="199">
      <c r="A199" s="60" t="s">
        <v>2166</v>
      </c>
      <c r="B199" s="60" t="s">
        <v>2167</v>
      </c>
      <c r="C199" s="34" t="s">
        <v>75</v>
      </c>
      <c r="D199" s="34" t="s">
        <v>1761</v>
      </c>
      <c r="E199" s="68">
        <v>91.98</v>
      </c>
      <c r="F199" s="36"/>
      <c r="G199" s="36">
        <f t="shared" si="6"/>
        <v>91.98</v>
      </c>
      <c r="H199" s="37"/>
    </row>
    <row r="200">
      <c r="A200" s="60" t="s">
        <v>574</v>
      </c>
      <c r="B200" s="60" t="s">
        <v>575</v>
      </c>
      <c r="C200" s="34" t="s">
        <v>75</v>
      </c>
      <c r="D200" s="34" t="s">
        <v>1761</v>
      </c>
      <c r="E200" s="68">
        <v>108.98</v>
      </c>
      <c r="F200" s="36"/>
      <c r="G200" s="36">
        <f t="shared" si="6"/>
        <v>108.98</v>
      </c>
      <c r="H200" s="37"/>
    </row>
    <row r="201">
      <c r="A201" s="60" t="s">
        <v>576</v>
      </c>
      <c r="B201" s="60" t="s">
        <v>577</v>
      </c>
      <c r="C201" s="34" t="s">
        <v>75</v>
      </c>
      <c r="D201" s="34" t="s">
        <v>1761</v>
      </c>
      <c r="E201" s="68">
        <v>217.97</v>
      </c>
      <c r="F201" s="36"/>
      <c r="G201" s="36">
        <f t="shared" si="6"/>
        <v>217.97</v>
      </c>
      <c r="H201" s="37"/>
    </row>
    <row r="202">
      <c r="A202" s="60" t="s">
        <v>578</v>
      </c>
      <c r="B202" s="60" t="s">
        <v>579</v>
      </c>
      <c r="C202" s="34" t="s">
        <v>75</v>
      </c>
      <c r="D202" s="34" t="s">
        <v>1761</v>
      </c>
      <c r="E202" s="68">
        <v>183.98</v>
      </c>
      <c r="F202" s="36"/>
      <c r="G202" s="36">
        <f t="shared" si="6"/>
        <v>183.98</v>
      </c>
      <c r="H202" s="37"/>
    </row>
    <row r="203">
      <c r="A203" s="60" t="s">
        <v>580</v>
      </c>
      <c r="B203" s="60" t="s">
        <v>581</v>
      </c>
      <c r="C203" s="34" t="s">
        <v>75</v>
      </c>
      <c r="D203" s="34" t="s">
        <v>1761</v>
      </c>
      <c r="E203" s="68">
        <v>108.98</v>
      </c>
      <c r="F203" s="36"/>
      <c r="G203" s="36">
        <f t="shared" si="6"/>
        <v>108.98</v>
      </c>
      <c r="H203" s="37"/>
    </row>
    <row r="204">
      <c r="A204" s="60" t="s">
        <v>582</v>
      </c>
      <c r="B204" s="60" t="s">
        <v>583</v>
      </c>
      <c r="C204" s="34" t="s">
        <v>75</v>
      </c>
      <c r="D204" s="34" t="s">
        <v>1761</v>
      </c>
      <c r="E204" s="68">
        <v>217.97</v>
      </c>
      <c r="F204" s="36"/>
      <c r="G204" s="36">
        <f t="shared" si="6"/>
        <v>217.97</v>
      </c>
      <c r="H204" s="37"/>
    </row>
    <row r="205">
      <c r="A205" s="60" t="s">
        <v>1936</v>
      </c>
      <c r="B205" s="60" t="s">
        <v>1937</v>
      </c>
      <c r="C205" s="34" t="s">
        <v>75</v>
      </c>
      <c r="D205" s="34" t="s">
        <v>1761</v>
      </c>
      <c r="E205" s="68">
        <v>275.96</v>
      </c>
      <c r="F205" s="36"/>
      <c r="G205" s="36">
        <f t="shared" si="6"/>
        <v>275.96</v>
      </c>
      <c r="H205" s="37"/>
    </row>
    <row r="206">
      <c r="A206" s="60" t="s">
        <v>586</v>
      </c>
      <c r="B206" s="60" t="s">
        <v>587</v>
      </c>
      <c r="C206" s="34" t="s">
        <v>75</v>
      </c>
      <c r="D206" s="34" t="s">
        <v>1761</v>
      </c>
      <c r="E206" s="68">
        <v>200.98</v>
      </c>
      <c r="F206" s="36"/>
      <c r="G206" s="36">
        <f t="shared" si="6"/>
        <v>200.98</v>
      </c>
      <c r="H206" s="37"/>
    </row>
    <row r="207">
      <c r="A207" s="60" t="s">
        <v>588</v>
      </c>
      <c r="B207" s="60" t="s">
        <v>589</v>
      </c>
      <c r="C207" s="34" t="s">
        <v>75</v>
      </c>
      <c r="D207" s="34" t="s">
        <v>1761</v>
      </c>
      <c r="E207" s="68">
        <v>527.93</v>
      </c>
      <c r="F207" s="36"/>
      <c r="G207" s="36">
        <f t="shared" si="6"/>
        <v>527.93</v>
      </c>
      <c r="H207" s="37"/>
    </row>
    <row r="208">
      <c r="A208" s="60" t="s">
        <v>1777</v>
      </c>
      <c r="B208" s="60" t="s">
        <v>1778</v>
      </c>
      <c r="C208" s="34" t="s">
        <v>75</v>
      </c>
      <c r="D208" s="34" t="s">
        <v>1761</v>
      </c>
      <c r="E208" s="68">
        <v>125.97</v>
      </c>
      <c r="F208" s="36"/>
      <c r="G208" s="36">
        <f t="shared" si="6"/>
        <v>125.97</v>
      </c>
      <c r="H208" s="37"/>
    </row>
    <row r="209">
      <c r="A209" s="60" t="s">
        <v>590</v>
      </c>
      <c r="B209" s="60" t="s">
        <v>591</v>
      </c>
      <c r="C209" s="34" t="s">
        <v>75</v>
      </c>
      <c r="D209" s="34" t="s">
        <v>1761</v>
      </c>
      <c r="E209" s="68">
        <v>108.98</v>
      </c>
      <c r="F209" s="36"/>
      <c r="G209" s="36">
        <f t="shared" si="6"/>
        <v>108.98</v>
      </c>
      <c r="H209" s="37"/>
    </row>
    <row r="210">
      <c r="A210" s="60" t="s">
        <v>592</v>
      </c>
      <c r="B210" s="60" t="s">
        <v>593</v>
      </c>
      <c r="C210" s="34" t="s">
        <v>75</v>
      </c>
      <c r="D210" s="34" t="s">
        <v>1761</v>
      </c>
      <c r="E210" s="68">
        <v>108.98</v>
      </c>
      <c r="F210" s="36"/>
      <c r="G210" s="36">
        <f t="shared" si="6"/>
        <v>108.98</v>
      </c>
      <c r="H210" s="37"/>
    </row>
    <row r="211">
      <c r="A211" s="60" t="s">
        <v>594</v>
      </c>
      <c r="B211" s="60" t="s">
        <v>595</v>
      </c>
      <c r="C211" s="34" t="s">
        <v>75</v>
      </c>
      <c r="D211" s="34" t="s">
        <v>1761</v>
      </c>
      <c r="E211" s="68">
        <v>217.97</v>
      </c>
      <c r="F211" s="36"/>
      <c r="G211" s="36">
        <f t="shared" si="6"/>
        <v>217.97</v>
      </c>
      <c r="H211" s="37"/>
    </row>
    <row r="212">
      <c r="A212" s="60" t="s">
        <v>596</v>
      </c>
      <c r="B212" s="60" t="s">
        <v>597</v>
      </c>
      <c r="C212" s="34" t="s">
        <v>75</v>
      </c>
      <c r="D212" s="34" t="s">
        <v>1761</v>
      </c>
      <c r="E212" s="68">
        <v>108.98</v>
      </c>
      <c r="F212" s="36"/>
      <c r="G212" s="36">
        <f t="shared" si="6"/>
        <v>108.98</v>
      </c>
      <c r="H212" s="37"/>
    </row>
    <row r="213">
      <c r="A213" s="60" t="s">
        <v>598</v>
      </c>
      <c r="B213" s="60" t="s">
        <v>599</v>
      </c>
      <c r="C213" s="34" t="s">
        <v>75</v>
      </c>
      <c r="D213" s="34" t="s">
        <v>1761</v>
      </c>
      <c r="E213" s="68">
        <v>333.96</v>
      </c>
      <c r="F213" s="36"/>
      <c r="G213" s="36">
        <f t="shared" si="6"/>
        <v>333.96</v>
      </c>
      <c r="H213" s="37"/>
    </row>
    <row r="214">
      <c r="A214" s="60" t="s">
        <v>1940</v>
      </c>
      <c r="B214" s="60" t="s">
        <v>1941</v>
      </c>
      <c r="C214" s="34" t="s">
        <v>75</v>
      </c>
      <c r="D214" s="34" t="s">
        <v>1761</v>
      </c>
      <c r="E214" s="68">
        <v>108.98</v>
      </c>
      <c r="F214" s="36"/>
      <c r="G214" s="36">
        <f t="shared" si="6"/>
        <v>108.98</v>
      </c>
      <c r="H214" s="37"/>
    </row>
    <row r="215">
      <c r="A215" s="60" t="s">
        <v>600</v>
      </c>
      <c r="B215" s="60" t="s">
        <v>601</v>
      </c>
      <c r="C215" s="34" t="s">
        <v>75</v>
      </c>
      <c r="D215" s="34" t="s">
        <v>1761</v>
      </c>
      <c r="E215" s="68">
        <v>108.98</v>
      </c>
      <c r="F215" s="36"/>
      <c r="G215" s="36">
        <f t="shared" si="6"/>
        <v>108.98</v>
      </c>
      <c r="H215" s="37"/>
    </row>
    <row r="216">
      <c r="A216" s="60" t="s">
        <v>602</v>
      </c>
      <c r="B216" s="60" t="s">
        <v>603</v>
      </c>
      <c r="C216" s="34" t="s">
        <v>75</v>
      </c>
      <c r="D216" s="34" t="s">
        <v>1761</v>
      </c>
      <c r="E216" s="68">
        <v>2400.01</v>
      </c>
      <c r="F216" s="36"/>
      <c r="G216" s="36">
        <f t="shared" si="6"/>
        <v>2400.01</v>
      </c>
      <c r="H216" s="37"/>
    </row>
    <row r="217">
      <c r="A217" s="60" t="s">
        <v>604</v>
      </c>
      <c r="B217" s="60" t="s">
        <v>605</v>
      </c>
      <c r="C217" s="34" t="s">
        <v>75</v>
      </c>
      <c r="D217" s="34" t="s">
        <v>1761</v>
      </c>
      <c r="E217" s="68">
        <v>108.98</v>
      </c>
      <c r="F217" s="36"/>
      <c r="G217" s="36">
        <f t="shared" si="6"/>
        <v>108.98</v>
      </c>
      <c r="H217" s="37"/>
    </row>
    <row r="218">
      <c r="A218" s="60" t="s">
        <v>1943</v>
      </c>
      <c r="B218" s="60" t="s">
        <v>1944</v>
      </c>
      <c r="C218" s="34" t="s">
        <v>75</v>
      </c>
      <c r="D218" s="34" t="s">
        <v>1761</v>
      </c>
      <c r="E218" s="68">
        <v>149.98</v>
      </c>
      <c r="F218" s="36"/>
      <c r="G218" s="36">
        <f t="shared" si="6"/>
        <v>149.98</v>
      </c>
      <c r="H218" s="37"/>
    </row>
    <row r="219">
      <c r="A219" s="60" t="s">
        <v>608</v>
      </c>
      <c r="B219" s="60" t="s">
        <v>609</v>
      </c>
      <c r="C219" s="34" t="s">
        <v>75</v>
      </c>
      <c r="D219" s="34" t="s">
        <v>1761</v>
      </c>
      <c r="E219" s="68">
        <v>91.98</v>
      </c>
      <c r="F219" s="36"/>
      <c r="G219" s="36">
        <f t="shared" si="6"/>
        <v>91.98</v>
      </c>
      <c r="H219" s="37"/>
    </row>
    <row r="220">
      <c r="A220" s="60" t="s">
        <v>610</v>
      </c>
      <c r="B220" s="60" t="s">
        <v>611</v>
      </c>
      <c r="C220" s="34" t="s">
        <v>75</v>
      </c>
      <c r="D220" s="34" t="s">
        <v>1761</v>
      </c>
      <c r="E220" s="68">
        <v>470.47</v>
      </c>
      <c r="F220" s="36"/>
      <c r="G220" s="36">
        <f t="shared" si="6"/>
        <v>470.47</v>
      </c>
      <c r="H220" s="37"/>
    </row>
    <row r="221">
      <c r="A221" s="60" t="s">
        <v>612</v>
      </c>
      <c r="B221" s="60" t="s">
        <v>613</v>
      </c>
      <c r="C221" s="34" t="s">
        <v>75</v>
      </c>
      <c r="D221" s="34" t="s">
        <v>1761</v>
      </c>
      <c r="E221" s="68">
        <v>517.5</v>
      </c>
      <c r="F221" s="36"/>
      <c r="G221" s="36">
        <f t="shared" si="6"/>
        <v>517.5</v>
      </c>
      <c r="H221" s="37"/>
    </row>
    <row r="222">
      <c r="A222" s="60" t="s">
        <v>1947</v>
      </c>
      <c r="B222" s="60" t="s">
        <v>1948</v>
      </c>
      <c r="C222" s="34" t="s">
        <v>75</v>
      </c>
      <c r="D222" s="34" t="s">
        <v>1761</v>
      </c>
      <c r="E222" s="68">
        <v>217.97</v>
      </c>
      <c r="F222" s="36"/>
      <c r="G222" s="36">
        <f t="shared" si="6"/>
        <v>217.97</v>
      </c>
      <c r="H222" s="37"/>
    </row>
    <row r="223">
      <c r="A223" s="60" t="s">
        <v>1949</v>
      </c>
      <c r="B223" s="60" t="s">
        <v>1950</v>
      </c>
      <c r="C223" s="34" t="s">
        <v>75</v>
      </c>
      <c r="D223" s="34" t="s">
        <v>1761</v>
      </c>
      <c r="E223" s="68">
        <v>108.98</v>
      </c>
      <c r="F223" s="36"/>
      <c r="G223" s="36">
        <f t="shared" si="6"/>
        <v>108.98</v>
      </c>
      <c r="H223" s="37"/>
    </row>
    <row r="224">
      <c r="A224" s="60" t="s">
        <v>614</v>
      </c>
      <c r="B224" s="60" t="s">
        <v>615</v>
      </c>
      <c r="C224" s="34" t="s">
        <v>75</v>
      </c>
      <c r="D224" s="34" t="s">
        <v>1761</v>
      </c>
      <c r="E224" s="68">
        <v>200.98</v>
      </c>
      <c r="F224" s="36"/>
      <c r="G224" s="36">
        <f t="shared" si="6"/>
        <v>200.98</v>
      </c>
      <c r="H224" s="37"/>
    </row>
    <row r="225">
      <c r="A225" s="60" t="s">
        <v>616</v>
      </c>
      <c r="B225" s="60" t="s">
        <v>617</v>
      </c>
      <c r="C225" s="34" t="s">
        <v>75</v>
      </c>
      <c r="D225" s="34" t="s">
        <v>1761</v>
      </c>
      <c r="E225" s="68">
        <v>108.98</v>
      </c>
      <c r="F225" s="36"/>
      <c r="G225" s="36">
        <f t="shared" si="6"/>
        <v>108.98</v>
      </c>
      <c r="H225" s="37"/>
    </row>
    <row r="226">
      <c r="A226" s="60" t="s">
        <v>618</v>
      </c>
      <c r="B226" s="60" t="s">
        <v>619</v>
      </c>
      <c r="C226" s="34" t="s">
        <v>75</v>
      </c>
      <c r="D226" s="34" t="s">
        <v>1761</v>
      </c>
      <c r="E226" s="68">
        <v>108.98</v>
      </c>
      <c r="F226" s="36"/>
      <c r="G226" s="36">
        <f t="shared" si="6"/>
        <v>108.98</v>
      </c>
      <c r="H226" s="37"/>
    </row>
    <row r="227">
      <c r="A227" s="60" t="s">
        <v>620</v>
      </c>
      <c r="B227" s="60" t="s">
        <v>621</v>
      </c>
      <c r="C227" s="34" t="s">
        <v>75</v>
      </c>
      <c r="D227" s="34" t="s">
        <v>1761</v>
      </c>
      <c r="E227" s="68">
        <v>326.95</v>
      </c>
      <c r="F227" s="36"/>
      <c r="G227" s="36">
        <f t="shared" si="6"/>
        <v>326.95</v>
      </c>
      <c r="H227" s="37"/>
    </row>
    <row r="228">
      <c r="A228" s="60" t="s">
        <v>622</v>
      </c>
      <c r="B228" s="60" t="s">
        <v>623</v>
      </c>
      <c r="C228" s="34" t="s">
        <v>75</v>
      </c>
      <c r="D228" s="34" t="s">
        <v>1761</v>
      </c>
      <c r="E228" s="68">
        <v>217.97</v>
      </c>
      <c r="F228" s="36"/>
      <c r="G228" s="36">
        <f t="shared" si="6"/>
        <v>217.97</v>
      </c>
      <c r="H228" s="37"/>
    </row>
    <row r="229">
      <c r="A229" s="60" t="s">
        <v>624</v>
      </c>
      <c r="B229" s="60" t="s">
        <v>625</v>
      </c>
      <c r="C229" s="34" t="s">
        <v>75</v>
      </c>
      <c r="D229" s="34" t="s">
        <v>1761</v>
      </c>
      <c r="E229" s="68">
        <v>1125.06</v>
      </c>
      <c r="F229" s="36"/>
      <c r="G229" s="36">
        <f t="shared" si="6"/>
        <v>1125.06</v>
      </c>
      <c r="H229" s="37"/>
    </row>
    <row r="230">
      <c r="A230" s="60" t="s">
        <v>626</v>
      </c>
      <c r="B230" s="60" t="s">
        <v>627</v>
      </c>
      <c r="C230" s="34" t="s">
        <v>75</v>
      </c>
      <c r="D230" s="34" t="s">
        <v>1761</v>
      </c>
      <c r="E230" s="68">
        <v>84.98</v>
      </c>
      <c r="F230" s="36"/>
      <c r="G230" s="36">
        <f t="shared" si="6"/>
        <v>84.98</v>
      </c>
      <c r="H230" s="37"/>
    </row>
    <row r="231">
      <c r="A231" s="60" t="s">
        <v>628</v>
      </c>
      <c r="B231" s="60" t="s">
        <v>629</v>
      </c>
      <c r="C231" s="34" t="s">
        <v>75</v>
      </c>
      <c r="D231" s="34" t="s">
        <v>1761</v>
      </c>
      <c r="E231" s="68">
        <v>108.98</v>
      </c>
      <c r="F231" s="36"/>
      <c r="G231" s="36">
        <f t="shared" si="6"/>
        <v>108.98</v>
      </c>
      <c r="H231" s="37"/>
    </row>
    <row r="232">
      <c r="A232" s="60" t="s">
        <v>630</v>
      </c>
      <c r="B232" s="60" t="s">
        <v>631</v>
      </c>
      <c r="C232" s="34" t="s">
        <v>75</v>
      </c>
      <c r="D232" s="34" t="s">
        <v>1761</v>
      </c>
      <c r="E232" s="68">
        <v>4086.79</v>
      </c>
      <c r="F232" s="36"/>
      <c r="G232" s="36">
        <f t="shared" si="6"/>
        <v>4086.79</v>
      </c>
      <c r="H232" s="37"/>
    </row>
    <row r="233">
      <c r="A233" s="60" t="s">
        <v>632</v>
      </c>
      <c r="B233" s="60" t="s">
        <v>633</v>
      </c>
      <c r="C233" s="34" t="s">
        <v>75</v>
      </c>
      <c r="D233" s="34" t="s">
        <v>1761</v>
      </c>
      <c r="E233" s="68">
        <v>2672.78</v>
      </c>
      <c r="F233" s="36"/>
      <c r="G233" s="36">
        <f t="shared" si="6"/>
        <v>2672.78</v>
      </c>
      <c r="H233" s="37"/>
    </row>
    <row r="234">
      <c r="A234" s="60" t="s">
        <v>634</v>
      </c>
      <c r="B234" s="60" t="s">
        <v>635</v>
      </c>
      <c r="C234" s="34" t="s">
        <v>75</v>
      </c>
      <c r="D234" s="34" t="s">
        <v>1761</v>
      </c>
      <c r="E234" s="68">
        <v>183.98</v>
      </c>
      <c r="F234" s="36"/>
      <c r="G234" s="36">
        <f t="shared" si="6"/>
        <v>183.98</v>
      </c>
      <c r="H234" s="37"/>
    </row>
    <row r="235">
      <c r="A235" s="60" t="s">
        <v>636</v>
      </c>
      <c r="B235" s="60" t="s">
        <v>637</v>
      </c>
      <c r="C235" s="34" t="s">
        <v>75</v>
      </c>
      <c r="D235" s="34" t="s">
        <v>1761</v>
      </c>
      <c r="E235" s="68">
        <v>511.02</v>
      </c>
      <c r="F235" s="36"/>
      <c r="G235" s="36">
        <f t="shared" si="6"/>
        <v>511.02</v>
      </c>
      <c r="H235" s="37"/>
    </row>
    <row r="236">
      <c r="A236" s="60" t="s">
        <v>638</v>
      </c>
      <c r="B236" s="60" t="s">
        <v>639</v>
      </c>
      <c r="C236" s="34" t="s">
        <v>75</v>
      </c>
      <c r="D236" s="34" t="s">
        <v>1761</v>
      </c>
      <c r="E236" s="68">
        <v>2725.78</v>
      </c>
      <c r="F236" s="36"/>
      <c r="G236" s="36">
        <f t="shared" si="6"/>
        <v>2725.78</v>
      </c>
      <c r="H236" s="37"/>
    </row>
    <row r="237">
      <c r="A237" s="60" t="s">
        <v>2051</v>
      </c>
      <c r="B237" s="60" t="s">
        <v>2052</v>
      </c>
      <c r="C237" s="34" t="s">
        <v>75</v>
      </c>
      <c r="D237" s="34" t="s">
        <v>1761</v>
      </c>
      <c r="E237" s="68">
        <v>125.97</v>
      </c>
      <c r="F237" s="36"/>
      <c r="G237" s="36">
        <f t="shared" si="6"/>
        <v>125.97</v>
      </c>
      <c r="H237" s="37"/>
    </row>
    <row r="238">
      <c r="A238" s="60" t="s">
        <v>640</v>
      </c>
      <c r="B238" s="60" t="s">
        <v>641</v>
      </c>
      <c r="C238" s="34" t="s">
        <v>75</v>
      </c>
      <c r="D238" s="34" t="s">
        <v>1761</v>
      </c>
      <c r="E238" s="68">
        <v>5451.58</v>
      </c>
      <c r="F238" s="36"/>
      <c r="G238" s="36">
        <f t="shared" si="6"/>
        <v>5451.58</v>
      </c>
      <c r="H238" s="37"/>
    </row>
    <row r="239">
      <c r="A239" s="60" t="s">
        <v>646</v>
      </c>
      <c r="B239" s="60" t="s">
        <v>647</v>
      </c>
      <c r="C239" s="34" t="s">
        <v>75</v>
      </c>
      <c r="D239" s="34" t="s">
        <v>1761</v>
      </c>
      <c r="E239" s="68">
        <v>200.98</v>
      </c>
      <c r="F239" s="36"/>
      <c r="G239" s="36">
        <f t="shared" si="6"/>
        <v>200.98</v>
      </c>
      <c r="H239" s="37"/>
    </row>
    <row r="240">
      <c r="A240" s="60" t="s">
        <v>650</v>
      </c>
      <c r="B240" s="60" t="s">
        <v>651</v>
      </c>
      <c r="C240" s="34" t="s">
        <v>75</v>
      </c>
      <c r="D240" s="34" t="s">
        <v>1761</v>
      </c>
      <c r="E240" s="68">
        <v>527.93</v>
      </c>
      <c r="F240" s="36"/>
      <c r="G240" s="36">
        <f t="shared" si="6"/>
        <v>527.93</v>
      </c>
      <c r="H240" s="37"/>
    </row>
    <row r="241">
      <c r="A241" s="60" t="s">
        <v>652</v>
      </c>
      <c r="B241" s="60" t="s">
        <v>653</v>
      </c>
      <c r="C241" s="34" t="s">
        <v>75</v>
      </c>
      <c r="D241" s="34" t="s">
        <v>1761</v>
      </c>
      <c r="E241" s="68">
        <v>217.97</v>
      </c>
      <c r="F241" s="36"/>
      <c r="G241" s="36">
        <f t="shared" si="6"/>
        <v>217.97</v>
      </c>
      <c r="H241" s="37"/>
    </row>
    <row r="242">
      <c r="A242" s="60" t="s">
        <v>654</v>
      </c>
      <c r="B242" s="60" t="s">
        <v>655</v>
      </c>
      <c r="C242" s="34" t="s">
        <v>75</v>
      </c>
      <c r="D242" s="34" t="s">
        <v>1761</v>
      </c>
      <c r="E242" s="68">
        <v>91.98</v>
      </c>
      <c r="F242" s="36"/>
      <c r="G242" s="36">
        <f t="shared" si="6"/>
        <v>91.98</v>
      </c>
      <c r="H242" s="37"/>
    </row>
    <row r="243">
      <c r="A243" s="60" t="s">
        <v>2168</v>
      </c>
      <c r="B243" s="60" t="s">
        <v>2169</v>
      </c>
      <c r="C243" s="34" t="s">
        <v>84</v>
      </c>
      <c r="D243" s="34" t="s">
        <v>58</v>
      </c>
      <c r="E243" s="68">
        <v>732.0</v>
      </c>
      <c r="F243" s="36"/>
      <c r="G243" s="36">
        <f t="shared" si="6"/>
        <v>732</v>
      </c>
      <c r="H243" s="37"/>
    </row>
    <row r="244">
      <c r="A244" s="60" t="s">
        <v>2170</v>
      </c>
      <c r="B244" s="60" t="s">
        <v>2171</v>
      </c>
      <c r="C244" s="34" t="s">
        <v>84</v>
      </c>
      <c r="D244" s="34" t="s">
        <v>58</v>
      </c>
      <c r="E244" s="68">
        <v>776.94</v>
      </c>
      <c r="F244" s="36"/>
      <c r="G244" s="36">
        <f t="shared" si="6"/>
        <v>776.94</v>
      </c>
      <c r="H244" s="37"/>
    </row>
    <row r="245">
      <c r="A245" s="60" t="s">
        <v>1953</v>
      </c>
      <c r="B245" s="60" t="s">
        <v>1954</v>
      </c>
      <c r="C245" s="34" t="s">
        <v>84</v>
      </c>
      <c r="D245" s="34" t="s">
        <v>58</v>
      </c>
      <c r="E245" s="68">
        <v>290.02</v>
      </c>
      <c r="F245" s="36"/>
      <c r="G245" s="36">
        <f t="shared" si="6"/>
        <v>290.02</v>
      </c>
      <c r="H245" s="37"/>
    </row>
    <row r="246">
      <c r="A246" s="60" t="s">
        <v>704</v>
      </c>
      <c r="B246" s="60" t="s">
        <v>705</v>
      </c>
      <c r="C246" s="34" t="s">
        <v>84</v>
      </c>
      <c r="D246" s="34" t="s">
        <v>58</v>
      </c>
      <c r="E246" s="68">
        <v>630.0</v>
      </c>
      <c r="F246" s="36"/>
      <c r="G246" s="36">
        <f t="shared" si="6"/>
        <v>630</v>
      </c>
      <c r="H246" s="37"/>
    </row>
    <row r="247">
      <c r="A247" s="60" t="s">
        <v>2172</v>
      </c>
      <c r="B247" s="60" t="s">
        <v>2173</v>
      </c>
      <c r="C247" s="34" t="s">
        <v>84</v>
      </c>
      <c r="D247" s="34" t="s">
        <v>58</v>
      </c>
      <c r="E247" s="68">
        <v>664.0</v>
      </c>
      <c r="F247" s="36"/>
      <c r="G247" s="36">
        <f t="shared" si="6"/>
        <v>664</v>
      </c>
      <c r="H247" s="37"/>
    </row>
    <row r="248">
      <c r="A248" s="60" t="s">
        <v>1435</v>
      </c>
      <c r="B248" s="60" t="s">
        <v>1436</v>
      </c>
      <c r="C248" s="34" t="s">
        <v>84</v>
      </c>
      <c r="D248" s="34" t="s">
        <v>58</v>
      </c>
      <c r="E248" s="68">
        <v>772.0</v>
      </c>
      <c r="F248" s="36"/>
      <c r="G248" s="36">
        <f t="shared" si="6"/>
        <v>772</v>
      </c>
      <c r="H248" s="37"/>
    </row>
    <row r="249">
      <c r="A249" s="60" t="s">
        <v>1437</v>
      </c>
      <c r="B249" s="60" t="s">
        <v>1438</v>
      </c>
      <c r="C249" s="34" t="s">
        <v>84</v>
      </c>
      <c r="D249" s="34" t="s">
        <v>58</v>
      </c>
      <c r="E249" s="68">
        <v>777.0</v>
      </c>
      <c r="F249" s="36"/>
      <c r="G249" s="36">
        <f t="shared" si="6"/>
        <v>777</v>
      </c>
      <c r="H249" s="37"/>
    </row>
    <row r="250">
      <c r="A250" s="60" t="s">
        <v>2174</v>
      </c>
      <c r="B250" s="60" t="s">
        <v>2175</v>
      </c>
      <c r="C250" s="34" t="s">
        <v>84</v>
      </c>
      <c r="D250" s="34" t="s">
        <v>58</v>
      </c>
      <c r="E250" s="68">
        <v>777.0</v>
      </c>
      <c r="F250" s="36"/>
      <c r="G250" s="36">
        <f t="shared" si="6"/>
        <v>777</v>
      </c>
      <c r="H250" s="37"/>
    </row>
    <row r="251">
      <c r="A251" s="60" t="s">
        <v>2176</v>
      </c>
      <c r="B251" s="60" t="s">
        <v>2177</v>
      </c>
      <c r="C251" s="34" t="s">
        <v>84</v>
      </c>
      <c r="D251" s="34" t="s">
        <v>58</v>
      </c>
      <c r="E251" s="68">
        <v>633.0</v>
      </c>
      <c r="F251" s="36"/>
      <c r="G251" s="36">
        <f t="shared" si="6"/>
        <v>633</v>
      </c>
      <c r="H251" s="37"/>
    </row>
    <row r="252">
      <c r="A252" s="60" t="s">
        <v>722</v>
      </c>
      <c r="B252" s="60" t="s">
        <v>723</v>
      </c>
      <c r="C252" s="34" t="s">
        <v>85</v>
      </c>
      <c r="D252" s="34" t="s">
        <v>51</v>
      </c>
      <c r="E252" s="68">
        <v>664.38</v>
      </c>
      <c r="F252" s="36"/>
      <c r="G252" s="36">
        <f t="shared" si="6"/>
        <v>664.38</v>
      </c>
      <c r="H252" s="37"/>
    </row>
    <row r="253">
      <c r="A253" s="60" t="s">
        <v>724</v>
      </c>
      <c r="B253" s="60" t="s">
        <v>725</v>
      </c>
      <c r="C253" s="34" t="s">
        <v>85</v>
      </c>
      <c r="D253" s="34" t="s">
        <v>51</v>
      </c>
      <c r="E253" s="68">
        <v>309.95</v>
      </c>
      <c r="F253" s="36"/>
      <c r="G253" s="36">
        <f t="shared" si="6"/>
        <v>309.95</v>
      </c>
      <c r="H253" s="37"/>
    </row>
    <row r="254">
      <c r="A254" s="60" t="s">
        <v>728</v>
      </c>
      <c r="B254" s="60" t="s">
        <v>729</v>
      </c>
      <c r="C254" s="34" t="s">
        <v>85</v>
      </c>
      <c r="D254" s="34" t="s">
        <v>51</v>
      </c>
      <c r="E254" s="68">
        <v>183.02</v>
      </c>
      <c r="F254" s="36"/>
      <c r="G254" s="36">
        <f t="shared" si="6"/>
        <v>183.02</v>
      </c>
      <c r="H254" s="37"/>
    </row>
    <row r="255">
      <c r="A255" s="60" t="s">
        <v>730</v>
      </c>
      <c r="B255" s="60" t="s">
        <v>731</v>
      </c>
      <c r="C255" s="34" t="s">
        <v>85</v>
      </c>
      <c r="D255" s="34" t="s">
        <v>51</v>
      </c>
      <c r="E255" s="68">
        <v>101.98</v>
      </c>
      <c r="F255" s="36"/>
      <c r="G255" s="36">
        <f t="shared" si="6"/>
        <v>101.98</v>
      </c>
      <c r="H255" s="37"/>
    </row>
    <row r="256">
      <c r="A256" s="60" t="s">
        <v>734</v>
      </c>
      <c r="B256" s="60" t="s">
        <v>735</v>
      </c>
      <c r="C256" s="34" t="s">
        <v>85</v>
      </c>
      <c r="D256" s="34" t="s">
        <v>51</v>
      </c>
      <c r="E256" s="68">
        <v>302.95</v>
      </c>
      <c r="F256" s="36"/>
      <c r="G256" s="36">
        <f t="shared" si="6"/>
        <v>302.95</v>
      </c>
      <c r="H256" s="37"/>
    </row>
    <row r="257">
      <c r="A257" s="60" t="s">
        <v>736</v>
      </c>
      <c r="B257" s="60" t="s">
        <v>737</v>
      </c>
      <c r="C257" s="34" t="s">
        <v>85</v>
      </c>
      <c r="D257" s="34" t="s">
        <v>51</v>
      </c>
      <c r="E257" s="68">
        <v>735.35</v>
      </c>
      <c r="F257" s="36"/>
      <c r="G257" s="36">
        <f t="shared" si="6"/>
        <v>735.35</v>
      </c>
      <c r="H257" s="37"/>
    </row>
    <row r="258">
      <c r="A258" s="60" t="s">
        <v>738</v>
      </c>
      <c r="B258" s="60" t="s">
        <v>739</v>
      </c>
      <c r="C258" s="34" t="s">
        <v>85</v>
      </c>
      <c r="D258" s="34" t="s">
        <v>51</v>
      </c>
      <c r="E258" s="68">
        <v>108.98</v>
      </c>
      <c r="F258" s="36"/>
      <c r="G258" s="36">
        <f t="shared" si="6"/>
        <v>108.98</v>
      </c>
      <c r="H258" s="37"/>
    </row>
    <row r="259">
      <c r="A259" s="60" t="s">
        <v>1957</v>
      </c>
      <c r="B259" s="60" t="s">
        <v>1958</v>
      </c>
      <c r="C259" s="34" t="s">
        <v>85</v>
      </c>
      <c r="D259" s="34" t="s">
        <v>51</v>
      </c>
      <c r="E259" s="68">
        <v>234.0</v>
      </c>
      <c r="F259" s="36"/>
      <c r="G259" s="36">
        <f t="shared" si="6"/>
        <v>234</v>
      </c>
      <c r="H259" s="37"/>
    </row>
    <row r="260">
      <c r="A260" s="60" t="s">
        <v>744</v>
      </c>
      <c r="B260" s="60" t="s">
        <v>745</v>
      </c>
      <c r="C260" s="34" t="s">
        <v>85</v>
      </c>
      <c r="D260" s="34" t="s">
        <v>51</v>
      </c>
      <c r="E260" s="68">
        <v>400.0</v>
      </c>
      <c r="F260" s="36"/>
      <c r="G260" s="36">
        <f t="shared" si="6"/>
        <v>400</v>
      </c>
      <c r="H260" s="37"/>
    </row>
    <row r="261">
      <c r="A261" s="60" t="s">
        <v>2178</v>
      </c>
      <c r="B261" s="60" t="s">
        <v>2179</v>
      </c>
      <c r="C261" s="34" t="s">
        <v>85</v>
      </c>
      <c r="D261" s="34" t="s">
        <v>51</v>
      </c>
      <c r="E261" s="68">
        <v>368.03</v>
      </c>
      <c r="F261" s="36"/>
      <c r="G261" s="36">
        <f t="shared" si="6"/>
        <v>368.03</v>
      </c>
      <c r="H261" s="37"/>
    </row>
    <row r="262">
      <c r="A262" s="60" t="s">
        <v>796</v>
      </c>
      <c r="B262" s="60" t="s">
        <v>797</v>
      </c>
      <c r="C262" s="34" t="s">
        <v>77</v>
      </c>
      <c r="D262" s="34" t="s">
        <v>47</v>
      </c>
      <c r="E262" s="68">
        <v>22833.33</v>
      </c>
      <c r="F262" s="36"/>
      <c r="G262" s="36">
        <f t="shared" si="6"/>
        <v>22833.33</v>
      </c>
      <c r="H262" s="37"/>
    </row>
    <row r="263">
      <c r="A263" s="60" t="s">
        <v>798</v>
      </c>
      <c r="B263" s="60" t="s">
        <v>799</v>
      </c>
      <c r="C263" s="34" t="s">
        <v>77</v>
      </c>
      <c r="D263" s="34" t="s">
        <v>47</v>
      </c>
      <c r="E263" s="68">
        <v>31429.94</v>
      </c>
      <c r="F263" s="36"/>
      <c r="G263" s="36">
        <f t="shared" si="6"/>
        <v>31429.94</v>
      </c>
      <c r="H263" s="37"/>
    </row>
    <row r="264">
      <c r="A264" s="60" t="s">
        <v>800</v>
      </c>
      <c r="B264" s="60" t="s">
        <v>801</v>
      </c>
      <c r="C264" s="34" t="s">
        <v>77</v>
      </c>
      <c r="D264" s="34" t="s">
        <v>47</v>
      </c>
      <c r="E264" s="68">
        <v>5958.67</v>
      </c>
      <c r="F264" s="36"/>
      <c r="G264" s="36">
        <f t="shared" si="6"/>
        <v>5958.67</v>
      </c>
      <c r="H264" s="37"/>
    </row>
    <row r="265">
      <c r="A265" s="60" t="s">
        <v>802</v>
      </c>
      <c r="B265" s="60" t="s">
        <v>803</v>
      </c>
      <c r="C265" s="34" t="s">
        <v>77</v>
      </c>
      <c r="D265" s="34" t="s">
        <v>47</v>
      </c>
      <c r="E265" s="68">
        <v>10312.95</v>
      </c>
      <c r="F265" s="36"/>
      <c r="G265" s="36">
        <f t="shared" si="6"/>
        <v>10312.95</v>
      </c>
      <c r="H265" s="37"/>
    </row>
    <row r="266">
      <c r="A266" s="60" t="s">
        <v>804</v>
      </c>
      <c r="B266" s="60" t="s">
        <v>805</v>
      </c>
      <c r="C266" s="34" t="s">
        <v>77</v>
      </c>
      <c r="D266" s="34" t="s">
        <v>47</v>
      </c>
      <c r="E266" s="68">
        <v>36618.32</v>
      </c>
      <c r="F266" s="36"/>
      <c r="G266" s="36">
        <f t="shared" si="6"/>
        <v>36618.32</v>
      </c>
      <c r="H266" s="37"/>
    </row>
    <row r="267">
      <c r="A267" s="60" t="s">
        <v>806</v>
      </c>
      <c r="B267" s="60" t="s">
        <v>807</v>
      </c>
      <c r="C267" s="34" t="s">
        <v>77</v>
      </c>
      <c r="D267" s="34" t="s">
        <v>47</v>
      </c>
      <c r="E267" s="68">
        <v>4185.0</v>
      </c>
      <c r="F267" s="36"/>
      <c r="G267" s="36">
        <f t="shared" si="6"/>
        <v>4185</v>
      </c>
      <c r="H267" s="37"/>
    </row>
    <row r="268">
      <c r="A268" s="60" t="s">
        <v>808</v>
      </c>
      <c r="B268" s="60" t="s">
        <v>809</v>
      </c>
      <c r="C268" s="34" t="s">
        <v>77</v>
      </c>
      <c r="D268" s="34" t="s">
        <v>47</v>
      </c>
      <c r="E268" s="68">
        <v>17201.0</v>
      </c>
      <c r="F268" s="36"/>
      <c r="G268" s="36">
        <f t="shared" si="6"/>
        <v>17201</v>
      </c>
      <c r="H268" s="37"/>
    </row>
    <row r="269">
      <c r="A269" s="60" t="s">
        <v>1625</v>
      </c>
      <c r="B269" s="60" t="s">
        <v>1626</v>
      </c>
      <c r="C269" s="34" t="s">
        <v>77</v>
      </c>
      <c r="D269" s="34" t="s">
        <v>47</v>
      </c>
      <c r="E269" s="68">
        <v>2.03</v>
      </c>
      <c r="F269" s="36"/>
      <c r="G269" s="36">
        <f t="shared" si="6"/>
        <v>2.03</v>
      </c>
      <c r="H269" s="37"/>
    </row>
    <row r="270">
      <c r="A270" s="60" t="s">
        <v>810</v>
      </c>
      <c r="B270" s="60" t="s">
        <v>811</v>
      </c>
      <c r="C270" s="34" t="s">
        <v>77</v>
      </c>
      <c r="D270" s="34" t="s">
        <v>47</v>
      </c>
      <c r="E270" s="68">
        <v>5588.9</v>
      </c>
      <c r="F270" s="36"/>
      <c r="G270" s="36">
        <f t="shared" si="6"/>
        <v>5588.9</v>
      </c>
      <c r="H270" s="37"/>
    </row>
    <row r="271">
      <c r="A271" s="60" t="s">
        <v>812</v>
      </c>
      <c r="B271" s="60" t="s">
        <v>813</v>
      </c>
      <c r="C271" s="34" t="s">
        <v>77</v>
      </c>
      <c r="D271" s="34" t="s">
        <v>47</v>
      </c>
      <c r="E271" s="68">
        <v>16378.01</v>
      </c>
      <c r="F271" s="36"/>
      <c r="G271" s="36">
        <f t="shared" si="6"/>
        <v>16378.01</v>
      </c>
      <c r="H271" s="37"/>
    </row>
    <row r="272">
      <c r="A272" s="60" t="s">
        <v>818</v>
      </c>
      <c r="B272" s="60" t="s">
        <v>819</v>
      </c>
      <c r="C272" s="34" t="s">
        <v>77</v>
      </c>
      <c r="D272" s="34" t="s">
        <v>47</v>
      </c>
      <c r="E272" s="68">
        <v>154495.94</v>
      </c>
      <c r="F272" s="36"/>
      <c r="G272" s="36">
        <f t="shared" si="6"/>
        <v>154495.94</v>
      </c>
      <c r="H272" s="37"/>
    </row>
    <row r="273">
      <c r="A273" s="60" t="s">
        <v>1627</v>
      </c>
      <c r="B273" s="60" t="s">
        <v>1628</v>
      </c>
      <c r="C273" s="34" t="s">
        <v>77</v>
      </c>
      <c r="D273" s="34" t="s">
        <v>47</v>
      </c>
      <c r="E273" s="68">
        <v>964.0</v>
      </c>
      <c r="F273" s="36"/>
      <c r="G273" s="36">
        <f t="shared" si="6"/>
        <v>964</v>
      </c>
      <c r="H273" s="37"/>
    </row>
    <row r="274">
      <c r="A274" s="60" t="s">
        <v>822</v>
      </c>
      <c r="B274" s="60" t="s">
        <v>823</v>
      </c>
      <c r="C274" s="34" t="s">
        <v>77</v>
      </c>
      <c r="D274" s="34" t="s">
        <v>47</v>
      </c>
      <c r="E274" s="68">
        <v>540.0</v>
      </c>
      <c r="F274" s="36"/>
      <c r="G274" s="36">
        <f t="shared" si="6"/>
        <v>540</v>
      </c>
      <c r="H274" s="37"/>
    </row>
    <row r="275">
      <c r="A275" s="60" t="s">
        <v>824</v>
      </c>
      <c r="B275" s="60" t="s">
        <v>825</v>
      </c>
      <c r="C275" s="34" t="s">
        <v>77</v>
      </c>
      <c r="D275" s="34" t="s">
        <v>47</v>
      </c>
      <c r="E275" s="68">
        <v>117.04</v>
      </c>
      <c r="F275" s="36"/>
      <c r="G275" s="36">
        <f t="shared" si="6"/>
        <v>117.04</v>
      </c>
      <c r="H275" s="37"/>
    </row>
    <row r="276">
      <c r="A276" s="60" t="s">
        <v>826</v>
      </c>
      <c r="B276" s="60" t="s">
        <v>827</v>
      </c>
      <c r="C276" s="34" t="s">
        <v>77</v>
      </c>
      <c r="D276" s="34" t="s">
        <v>47</v>
      </c>
      <c r="E276" s="68">
        <v>21000.0</v>
      </c>
      <c r="F276" s="36"/>
      <c r="G276" s="36">
        <f t="shared" si="6"/>
        <v>21000</v>
      </c>
      <c r="H276" s="37"/>
    </row>
    <row r="277">
      <c r="A277" s="60" t="s">
        <v>828</v>
      </c>
      <c r="B277" s="60" t="s">
        <v>829</v>
      </c>
      <c r="C277" s="34" t="s">
        <v>77</v>
      </c>
      <c r="D277" s="34" t="s">
        <v>47</v>
      </c>
      <c r="E277" s="68">
        <v>6189.33</v>
      </c>
      <c r="F277" s="36"/>
      <c r="G277" s="36">
        <f t="shared" si="6"/>
        <v>6189.33</v>
      </c>
      <c r="H277" s="37"/>
    </row>
    <row r="278">
      <c r="A278" s="60" t="s">
        <v>830</v>
      </c>
      <c r="B278" s="60" t="s">
        <v>831</v>
      </c>
      <c r="C278" s="34" t="s">
        <v>77</v>
      </c>
      <c r="D278" s="34" t="s">
        <v>47</v>
      </c>
      <c r="E278" s="68">
        <v>4891.0</v>
      </c>
      <c r="F278" s="36"/>
      <c r="G278" s="36">
        <f t="shared" si="6"/>
        <v>4891</v>
      </c>
      <c r="H278" s="37"/>
    </row>
    <row r="279">
      <c r="A279" s="60" t="s">
        <v>832</v>
      </c>
      <c r="B279" s="60" t="s">
        <v>833</v>
      </c>
      <c r="C279" s="34" t="s">
        <v>77</v>
      </c>
      <c r="D279" s="34" t="s">
        <v>47</v>
      </c>
      <c r="E279" s="68">
        <v>4121.9</v>
      </c>
      <c r="F279" s="36"/>
      <c r="G279" s="36">
        <f t="shared" si="6"/>
        <v>4121.9</v>
      </c>
      <c r="H279" s="37"/>
    </row>
    <row r="280">
      <c r="A280" s="60" t="s">
        <v>834</v>
      </c>
      <c r="B280" s="60" t="s">
        <v>835</v>
      </c>
      <c r="C280" s="34" t="s">
        <v>77</v>
      </c>
      <c r="D280" s="34" t="s">
        <v>47</v>
      </c>
      <c r="E280" s="68">
        <v>4139.0</v>
      </c>
      <c r="F280" s="36"/>
      <c r="G280" s="36">
        <f t="shared" si="6"/>
        <v>4139</v>
      </c>
      <c r="H280" s="37"/>
    </row>
    <row r="281">
      <c r="A281" s="60" t="s">
        <v>836</v>
      </c>
      <c r="B281" s="60" t="s">
        <v>837</v>
      </c>
      <c r="C281" s="34" t="s">
        <v>77</v>
      </c>
      <c r="D281" s="34" t="s">
        <v>47</v>
      </c>
      <c r="E281" s="68">
        <v>6273.0</v>
      </c>
      <c r="F281" s="36"/>
      <c r="G281" s="36">
        <f t="shared" si="6"/>
        <v>6273</v>
      </c>
      <c r="H281" s="37"/>
    </row>
    <row r="282">
      <c r="A282" s="60" t="s">
        <v>838</v>
      </c>
      <c r="B282" s="60" t="s">
        <v>839</v>
      </c>
      <c r="C282" s="34" t="s">
        <v>77</v>
      </c>
      <c r="D282" s="34" t="s">
        <v>47</v>
      </c>
      <c r="E282" s="68">
        <v>3872.0</v>
      </c>
      <c r="F282" s="36"/>
      <c r="G282" s="36">
        <f t="shared" si="6"/>
        <v>3872</v>
      </c>
      <c r="H282" s="37"/>
    </row>
    <row r="283">
      <c r="A283" s="60" t="s">
        <v>840</v>
      </c>
      <c r="B283" s="60" t="s">
        <v>1785</v>
      </c>
      <c r="C283" s="34" t="s">
        <v>77</v>
      </c>
      <c r="D283" s="34" t="s">
        <v>47</v>
      </c>
      <c r="E283" s="68">
        <v>2762.0</v>
      </c>
      <c r="F283" s="36"/>
      <c r="G283" s="36">
        <f t="shared" si="6"/>
        <v>2762</v>
      </c>
      <c r="H283" s="37"/>
    </row>
    <row r="284">
      <c r="A284" s="60" t="s">
        <v>842</v>
      </c>
      <c r="B284" s="60" t="s">
        <v>843</v>
      </c>
      <c r="C284" s="34" t="s">
        <v>77</v>
      </c>
      <c r="D284" s="34" t="s">
        <v>47</v>
      </c>
      <c r="E284" s="68">
        <v>1092.0</v>
      </c>
      <c r="F284" s="36"/>
      <c r="G284" s="36">
        <f t="shared" si="6"/>
        <v>1092</v>
      </c>
      <c r="H284" s="37"/>
    </row>
    <row r="285">
      <c r="A285" s="60" t="s">
        <v>844</v>
      </c>
      <c r="B285" s="60" t="s">
        <v>845</v>
      </c>
      <c r="C285" s="34" t="s">
        <v>77</v>
      </c>
      <c r="D285" s="34" t="s">
        <v>47</v>
      </c>
      <c r="E285" s="68">
        <v>47476.0</v>
      </c>
      <c r="F285" s="36"/>
      <c r="G285" s="36">
        <f t="shared" si="6"/>
        <v>47476</v>
      </c>
      <c r="H285" s="37"/>
    </row>
    <row r="286">
      <c r="A286" s="60" t="s">
        <v>766</v>
      </c>
      <c r="B286" s="60" t="s">
        <v>767</v>
      </c>
      <c r="C286" s="34" t="s">
        <v>79</v>
      </c>
      <c r="D286" s="34" t="s">
        <v>49</v>
      </c>
      <c r="E286" s="68">
        <v>634.0</v>
      </c>
      <c r="F286" s="36"/>
      <c r="G286" s="36">
        <f t="shared" si="6"/>
        <v>634</v>
      </c>
      <c r="H286" s="37"/>
    </row>
    <row r="287">
      <c r="A287" s="60" t="s">
        <v>768</v>
      </c>
      <c r="B287" s="60" t="s">
        <v>769</v>
      </c>
      <c r="C287" s="34" t="s">
        <v>79</v>
      </c>
      <c r="D287" s="34" t="s">
        <v>49</v>
      </c>
      <c r="E287" s="68">
        <v>29840.1</v>
      </c>
      <c r="F287" s="36"/>
      <c r="G287" s="36">
        <f t="shared" si="6"/>
        <v>29840.1</v>
      </c>
      <c r="H287" s="37"/>
    </row>
    <row r="288">
      <c r="A288" s="60" t="s">
        <v>770</v>
      </c>
      <c r="B288" s="60" t="s">
        <v>771</v>
      </c>
      <c r="C288" s="34" t="s">
        <v>79</v>
      </c>
      <c r="D288" s="34" t="s">
        <v>49</v>
      </c>
      <c r="E288" s="68">
        <v>54510.0</v>
      </c>
      <c r="F288" s="36"/>
      <c r="G288" s="36">
        <f t="shared" si="6"/>
        <v>54510</v>
      </c>
      <c r="H288" s="37"/>
    </row>
    <row r="289">
      <c r="A289" s="60" t="s">
        <v>772</v>
      </c>
      <c r="B289" s="60" t="s">
        <v>773</v>
      </c>
      <c r="C289" s="34" t="s">
        <v>79</v>
      </c>
      <c r="D289" s="34" t="s">
        <v>49</v>
      </c>
      <c r="E289" s="68">
        <v>79536.07</v>
      </c>
      <c r="F289" s="36"/>
      <c r="G289" s="36">
        <f t="shared" si="6"/>
        <v>79536.07</v>
      </c>
      <c r="H289" s="37"/>
    </row>
    <row r="290">
      <c r="A290" s="60" t="s">
        <v>776</v>
      </c>
      <c r="B290" s="60" t="s">
        <v>777</v>
      </c>
      <c r="C290" s="34" t="s">
        <v>79</v>
      </c>
      <c r="D290" s="34" t="s">
        <v>49</v>
      </c>
      <c r="E290" s="68">
        <v>30000.0</v>
      </c>
      <c r="F290" s="36"/>
      <c r="G290" s="36">
        <f t="shared" si="6"/>
        <v>30000</v>
      </c>
      <c r="H290" s="37"/>
    </row>
    <row r="291">
      <c r="A291" s="60" t="s">
        <v>780</v>
      </c>
      <c r="B291" s="60" t="s">
        <v>781</v>
      </c>
      <c r="C291" s="34" t="s">
        <v>79</v>
      </c>
      <c r="D291" s="34" t="s">
        <v>49</v>
      </c>
      <c r="E291" s="68">
        <v>195.5</v>
      </c>
      <c r="F291" s="36"/>
      <c r="G291" s="36">
        <f t="shared" si="6"/>
        <v>195.5</v>
      </c>
      <c r="H291" s="37"/>
    </row>
    <row r="292">
      <c r="A292" s="60" t="s">
        <v>782</v>
      </c>
      <c r="B292" s="60" t="s">
        <v>783</v>
      </c>
      <c r="C292" s="34" t="s">
        <v>79</v>
      </c>
      <c r="D292" s="34" t="s">
        <v>49</v>
      </c>
      <c r="E292" s="68">
        <v>97.75</v>
      </c>
      <c r="F292" s="36"/>
      <c r="G292" s="36">
        <f t="shared" si="6"/>
        <v>97.75</v>
      </c>
      <c r="H292" s="37"/>
    </row>
    <row r="293">
      <c r="A293" s="60" t="s">
        <v>784</v>
      </c>
      <c r="B293" s="60" t="s">
        <v>785</v>
      </c>
      <c r="C293" s="34" t="s">
        <v>79</v>
      </c>
      <c r="D293" s="34" t="s">
        <v>49</v>
      </c>
      <c r="E293" s="68">
        <v>55884.14</v>
      </c>
      <c r="F293" s="36"/>
      <c r="G293" s="36">
        <f t="shared" si="6"/>
        <v>55884.14</v>
      </c>
      <c r="H293" s="37"/>
    </row>
    <row r="294">
      <c r="A294" s="60" t="s">
        <v>786</v>
      </c>
      <c r="B294" s="60" t="s">
        <v>787</v>
      </c>
      <c r="C294" s="34" t="s">
        <v>79</v>
      </c>
      <c r="D294" s="34" t="s">
        <v>49</v>
      </c>
      <c r="E294" s="68">
        <v>1725.0</v>
      </c>
      <c r="F294" s="36"/>
      <c r="G294" s="36">
        <f t="shared" si="6"/>
        <v>1725</v>
      </c>
      <c r="H294" s="37"/>
    </row>
    <row r="295">
      <c r="A295" s="60" t="s">
        <v>788</v>
      </c>
      <c r="B295" s="60" t="s">
        <v>789</v>
      </c>
      <c r="C295" s="34" t="s">
        <v>79</v>
      </c>
      <c r="D295" s="34" t="s">
        <v>49</v>
      </c>
      <c r="E295" s="68">
        <v>84496.25</v>
      </c>
      <c r="F295" s="36"/>
      <c r="G295" s="36">
        <f t="shared" si="6"/>
        <v>84496.25</v>
      </c>
      <c r="H295" s="37"/>
    </row>
    <row r="296">
      <c r="A296" s="60" t="s">
        <v>790</v>
      </c>
      <c r="B296" s="60" t="s">
        <v>791</v>
      </c>
      <c r="C296" s="34" t="s">
        <v>79</v>
      </c>
      <c r="D296" s="34" t="s">
        <v>49</v>
      </c>
      <c r="E296" s="68">
        <v>120.0</v>
      </c>
      <c r="F296" s="36"/>
      <c r="G296" s="36">
        <f t="shared" si="6"/>
        <v>120</v>
      </c>
      <c r="H296" s="37"/>
    </row>
    <row r="297">
      <c r="A297" s="60" t="s">
        <v>792</v>
      </c>
      <c r="B297" s="60" t="s">
        <v>793</v>
      </c>
      <c r="C297" s="34" t="s">
        <v>79</v>
      </c>
      <c r="D297" s="34" t="s">
        <v>49</v>
      </c>
      <c r="E297" s="68">
        <v>17337.5</v>
      </c>
      <c r="F297" s="36"/>
      <c r="G297" s="36">
        <f t="shared" si="6"/>
        <v>17337.5</v>
      </c>
      <c r="H297" s="37"/>
    </row>
    <row r="298">
      <c r="A298" s="60" t="s">
        <v>794</v>
      </c>
      <c r="B298" s="60" t="s">
        <v>795</v>
      </c>
      <c r="C298" s="34" t="s">
        <v>79</v>
      </c>
      <c r="D298" s="34" t="s">
        <v>49</v>
      </c>
      <c r="E298" s="68">
        <v>255284.73</v>
      </c>
      <c r="F298" s="36"/>
      <c r="G298" s="36">
        <f t="shared" si="6"/>
        <v>255284.73</v>
      </c>
      <c r="H298" s="37"/>
    </row>
    <row r="299">
      <c r="A299" s="60" t="s">
        <v>344</v>
      </c>
      <c r="B299" s="60" t="s">
        <v>345</v>
      </c>
      <c r="C299" s="34" t="s">
        <v>79</v>
      </c>
      <c r="D299" s="34" t="s">
        <v>49</v>
      </c>
      <c r="E299" s="68">
        <v>12397.5</v>
      </c>
      <c r="F299" s="36"/>
      <c r="G299" s="36">
        <f t="shared" si="6"/>
        <v>12397.5</v>
      </c>
      <c r="H299" s="37"/>
    </row>
    <row r="300">
      <c r="A300" s="60" t="s">
        <v>242</v>
      </c>
      <c r="B300" s="60" t="s">
        <v>243</v>
      </c>
      <c r="C300" s="34" t="s">
        <v>79</v>
      </c>
      <c r="D300" s="34" t="s">
        <v>49</v>
      </c>
      <c r="E300" s="68">
        <v>28326.23</v>
      </c>
      <c r="F300" s="36"/>
      <c r="G300" s="36">
        <f t="shared" si="6"/>
        <v>28326.23</v>
      </c>
      <c r="H300" s="37"/>
    </row>
    <row r="301">
      <c r="A301" s="100" t="s">
        <v>952</v>
      </c>
      <c r="B301" s="99" t="s">
        <v>953</v>
      </c>
      <c r="C301" s="34" t="s">
        <v>80</v>
      </c>
      <c r="D301" s="34" t="s">
        <v>46</v>
      </c>
      <c r="E301" s="35">
        <v>561.92</v>
      </c>
      <c r="F301" s="36"/>
      <c r="G301" s="36">
        <f t="shared" si="6"/>
        <v>561.92</v>
      </c>
      <c r="H301" s="37"/>
    </row>
    <row r="302">
      <c r="A302" s="99" t="s">
        <v>956</v>
      </c>
      <c r="B302" s="99" t="s">
        <v>957</v>
      </c>
      <c r="C302" s="34" t="s">
        <v>80</v>
      </c>
      <c r="D302" s="34" t="s">
        <v>46</v>
      </c>
      <c r="E302" s="35">
        <v>1161.92</v>
      </c>
      <c r="F302" s="36"/>
      <c r="G302" s="36">
        <f t="shared" si="6"/>
        <v>1161.92</v>
      </c>
      <c r="H302" s="37"/>
    </row>
    <row r="303">
      <c r="A303" s="99" t="s">
        <v>2062</v>
      </c>
      <c r="B303" s="100" t="s">
        <v>2063</v>
      </c>
      <c r="C303" s="34" t="s">
        <v>80</v>
      </c>
      <c r="D303" s="34" t="s">
        <v>46</v>
      </c>
      <c r="E303" s="35">
        <v>173.01</v>
      </c>
      <c r="F303" s="36"/>
      <c r="G303" s="36">
        <f t="shared" si="6"/>
        <v>173.01</v>
      </c>
      <c r="H303" s="37"/>
    </row>
    <row r="304">
      <c r="A304" s="99" t="s">
        <v>1453</v>
      </c>
      <c r="B304" s="100" t="s">
        <v>1454</v>
      </c>
      <c r="C304" s="34" t="s">
        <v>80</v>
      </c>
      <c r="D304" s="34" t="s">
        <v>46</v>
      </c>
      <c r="E304" s="35">
        <v>544.93</v>
      </c>
      <c r="F304" s="36"/>
      <c r="G304" s="36">
        <f t="shared" si="6"/>
        <v>544.93</v>
      </c>
      <c r="H304" s="37"/>
    </row>
    <row r="305">
      <c r="A305" s="99" t="s">
        <v>960</v>
      </c>
      <c r="B305" s="99" t="s">
        <v>961</v>
      </c>
      <c r="C305" s="34" t="s">
        <v>80</v>
      </c>
      <c r="D305" s="34" t="s">
        <v>46</v>
      </c>
      <c r="E305" s="35">
        <v>5419.66</v>
      </c>
      <c r="F305" s="36"/>
      <c r="G305" s="36">
        <f t="shared" si="6"/>
        <v>5419.66</v>
      </c>
      <c r="H305" s="37"/>
    </row>
    <row r="306">
      <c r="A306" s="99" t="s">
        <v>962</v>
      </c>
      <c r="B306" s="99" t="s">
        <v>963</v>
      </c>
      <c r="C306" s="34" t="s">
        <v>80</v>
      </c>
      <c r="D306" s="34" t="s">
        <v>46</v>
      </c>
      <c r="E306" s="35">
        <v>7734.0</v>
      </c>
      <c r="F306" s="36"/>
      <c r="G306" s="36">
        <f t="shared" si="6"/>
        <v>7734</v>
      </c>
      <c r="H306" s="37"/>
    </row>
    <row r="307">
      <c r="A307" s="103" t="s">
        <v>850</v>
      </c>
      <c r="B307" s="103" t="s">
        <v>851</v>
      </c>
      <c r="C307" s="34" t="s">
        <v>75</v>
      </c>
      <c r="D307" s="34" t="s">
        <v>50</v>
      </c>
      <c r="E307" s="35">
        <v>562.02</v>
      </c>
      <c r="F307" s="36"/>
      <c r="G307" s="36">
        <f t="shared" si="6"/>
        <v>562.02</v>
      </c>
      <c r="H307" s="37"/>
    </row>
    <row r="308">
      <c r="A308" s="103" t="s">
        <v>852</v>
      </c>
      <c r="B308" s="103" t="s">
        <v>853</v>
      </c>
      <c r="C308" s="34" t="s">
        <v>75</v>
      </c>
      <c r="D308" s="34" t="s">
        <v>50</v>
      </c>
      <c r="E308" s="35">
        <v>217.97</v>
      </c>
      <c r="F308" s="36"/>
      <c r="G308" s="36">
        <f t="shared" si="6"/>
        <v>217.97</v>
      </c>
      <c r="H308" s="37"/>
    </row>
    <row r="309">
      <c r="A309" s="37"/>
      <c r="B309" s="37"/>
      <c r="C309" s="37"/>
      <c r="D309" s="37"/>
      <c r="E309" s="36"/>
      <c r="F309" s="36"/>
      <c r="G309" s="36" t="str">
        <f t="shared" si="6"/>
        <v/>
      </c>
      <c r="H309" s="37"/>
    </row>
    <row r="310">
      <c r="A310" s="37"/>
      <c r="B310" s="37"/>
      <c r="C310" s="37"/>
      <c r="D310" s="37"/>
      <c r="E310" s="36"/>
      <c r="F310" s="36"/>
      <c r="G310" s="36" t="str">
        <f t="shared" si="6"/>
        <v/>
      </c>
      <c r="H310" s="37"/>
    </row>
    <row r="311">
      <c r="A311" s="37"/>
      <c r="B311" s="37"/>
      <c r="C311" s="37"/>
      <c r="D311" s="37"/>
      <c r="E311" s="36"/>
      <c r="F311" s="36"/>
      <c r="G311" s="36" t="str">
        <f t="shared" si="6"/>
        <v/>
      </c>
      <c r="H311" s="37"/>
    </row>
    <row r="312">
      <c r="A312" s="37"/>
      <c r="B312" s="37"/>
      <c r="C312" s="37"/>
      <c r="D312" s="37"/>
      <c r="E312" s="36"/>
      <c r="F312" s="36"/>
      <c r="G312" s="36" t="str">
        <f t="shared" si="6"/>
        <v/>
      </c>
      <c r="H312" s="37"/>
    </row>
    <row r="313">
      <c r="A313" s="37"/>
      <c r="B313" s="37"/>
      <c r="C313" s="37"/>
      <c r="D313" s="37"/>
      <c r="E313" s="36"/>
      <c r="F313" s="36"/>
      <c r="G313" s="36" t="str">
        <f t="shared" si="6"/>
        <v/>
      </c>
      <c r="H313" s="37"/>
    </row>
    <row r="314">
      <c r="A314" s="37"/>
      <c r="B314" s="37"/>
      <c r="C314" s="37"/>
      <c r="D314" s="37"/>
      <c r="E314" s="36"/>
      <c r="F314" s="36"/>
      <c r="G314" s="36" t="str">
        <f t="shared" si="6"/>
        <v/>
      </c>
      <c r="H314" s="37"/>
    </row>
    <row r="315">
      <c r="A315" s="37"/>
      <c r="B315" s="37"/>
      <c r="C315" s="37"/>
      <c r="D315" s="37"/>
      <c r="E315" s="36"/>
      <c r="F315" s="36"/>
      <c r="G315" s="36" t="str">
        <f t="shared" si="6"/>
        <v/>
      </c>
      <c r="H315" s="37"/>
    </row>
    <row r="316">
      <c r="A316" s="37"/>
      <c r="B316" s="37"/>
      <c r="C316" s="37"/>
      <c r="D316" s="37"/>
      <c r="E316" s="36"/>
      <c r="F316" s="36"/>
      <c r="G316" s="36" t="str">
        <f t="shared" si="6"/>
        <v/>
      </c>
      <c r="H316" s="37"/>
    </row>
    <row r="317">
      <c r="A317" s="37"/>
      <c r="B317" s="37"/>
      <c r="C317" s="37"/>
      <c r="D317" s="37"/>
      <c r="E317" s="36"/>
      <c r="F317" s="36"/>
      <c r="G317" s="36" t="str">
        <f t="shared" si="6"/>
        <v/>
      </c>
      <c r="H317" s="37"/>
    </row>
    <row r="318">
      <c r="A318" s="37"/>
      <c r="B318" s="37"/>
      <c r="C318" s="37"/>
      <c r="D318" s="37"/>
      <c r="E318" s="36"/>
      <c r="F318" s="36"/>
      <c r="G318" s="36" t="str">
        <f t="shared" si="6"/>
        <v/>
      </c>
      <c r="H318" s="37"/>
    </row>
    <row r="319">
      <c r="A319" s="37"/>
      <c r="B319" s="37"/>
      <c r="C319" s="37"/>
      <c r="D319" s="37"/>
      <c r="E319" s="36"/>
      <c r="F319" s="36"/>
      <c r="G319" s="36" t="str">
        <f t="shared" si="6"/>
        <v/>
      </c>
      <c r="H319" s="37"/>
    </row>
    <row r="320">
      <c r="A320" s="37"/>
      <c r="B320" s="37"/>
      <c r="C320" s="37"/>
      <c r="D320" s="37"/>
      <c r="E320" s="36"/>
      <c r="F320" s="36"/>
      <c r="G320" s="36" t="str">
        <f t="shared" si="6"/>
        <v/>
      </c>
      <c r="H320" s="37"/>
    </row>
    <row r="321">
      <c r="A321" s="37"/>
      <c r="B321" s="37"/>
      <c r="C321" s="37"/>
      <c r="D321" s="37"/>
      <c r="E321" s="36"/>
      <c r="F321" s="36"/>
      <c r="G321" s="36" t="str">
        <f t="shared" si="6"/>
        <v/>
      </c>
      <c r="H321" s="37"/>
    </row>
    <row r="322">
      <c r="A322" s="37"/>
      <c r="B322" s="37"/>
      <c r="C322" s="37"/>
      <c r="D322" s="37"/>
      <c r="E322" s="36"/>
      <c r="F322" s="36"/>
      <c r="G322" s="36" t="str">
        <f t="shared" si="6"/>
        <v/>
      </c>
      <c r="H322" s="37"/>
    </row>
    <row r="323">
      <c r="A323" s="37"/>
      <c r="B323" s="37"/>
      <c r="C323" s="37"/>
      <c r="D323" s="37"/>
      <c r="E323" s="36"/>
      <c r="F323" s="36"/>
      <c r="G323" s="36" t="str">
        <f t="shared" si="6"/>
        <v/>
      </c>
      <c r="H323" s="37"/>
    </row>
    <row r="324">
      <c r="A324" s="37"/>
      <c r="B324" s="37"/>
      <c r="C324" s="37"/>
      <c r="D324" s="37"/>
      <c r="E324" s="36"/>
      <c r="F324" s="36"/>
      <c r="G324" s="36" t="str">
        <f t="shared" si="6"/>
        <v/>
      </c>
      <c r="H324" s="37"/>
    </row>
    <row r="325">
      <c r="A325" s="37"/>
      <c r="B325" s="37"/>
      <c r="C325" s="37"/>
      <c r="D325" s="37"/>
      <c r="E325" s="36"/>
      <c r="F325" s="36"/>
      <c r="G325" s="36" t="str">
        <f t="shared" si="6"/>
        <v/>
      </c>
      <c r="H325" s="37"/>
    </row>
    <row r="326">
      <c r="A326" s="37"/>
      <c r="B326" s="37"/>
      <c r="C326" s="37"/>
      <c r="D326" s="37"/>
      <c r="E326" s="36"/>
      <c r="F326" s="36"/>
      <c r="G326" s="36" t="str">
        <f t="shared" si="6"/>
        <v/>
      </c>
      <c r="H326" s="37"/>
    </row>
    <row r="327">
      <c r="A327" s="37"/>
      <c r="B327" s="37"/>
      <c r="C327" s="37"/>
      <c r="D327" s="37"/>
      <c r="E327" s="36"/>
      <c r="F327" s="36"/>
      <c r="G327" s="36" t="str">
        <f t="shared" si="6"/>
        <v/>
      </c>
      <c r="H327" s="37"/>
    </row>
    <row r="328">
      <c r="A328" s="37"/>
      <c r="B328" s="37"/>
      <c r="C328" s="37"/>
      <c r="D328" s="37"/>
      <c r="E328" s="36"/>
      <c r="F328" s="36"/>
      <c r="G328" s="36" t="str">
        <f t="shared" si="6"/>
        <v/>
      </c>
      <c r="H328" s="37"/>
    </row>
    <row r="329">
      <c r="A329" s="37"/>
      <c r="B329" s="37"/>
      <c r="C329" s="37"/>
      <c r="D329" s="37"/>
      <c r="E329" s="36"/>
      <c r="F329" s="36"/>
      <c r="G329" s="36" t="str">
        <f t="shared" si="6"/>
        <v/>
      </c>
      <c r="H329" s="37"/>
    </row>
    <row r="330">
      <c r="A330" s="37"/>
      <c r="B330" s="37"/>
      <c r="C330" s="37"/>
      <c r="D330" s="37"/>
      <c r="E330" s="36"/>
      <c r="F330" s="36"/>
      <c r="G330" s="36" t="str">
        <f t="shared" si="6"/>
        <v/>
      </c>
      <c r="H330" s="37"/>
    </row>
    <row r="331">
      <c r="A331" s="37"/>
      <c r="B331" s="37"/>
      <c r="C331" s="37"/>
      <c r="D331" s="37"/>
      <c r="E331" s="36"/>
      <c r="F331" s="36"/>
      <c r="G331" s="36" t="str">
        <f t="shared" si="6"/>
        <v/>
      </c>
      <c r="H331" s="37"/>
    </row>
    <row r="332">
      <c r="A332" s="37"/>
      <c r="B332" s="37"/>
      <c r="C332" s="37"/>
      <c r="D332" s="37"/>
      <c r="E332" s="36"/>
      <c r="F332" s="36"/>
      <c r="G332" s="36" t="str">
        <f t="shared" si="6"/>
        <v/>
      </c>
      <c r="H332" s="37"/>
    </row>
    <row r="333">
      <c r="A333" s="37"/>
      <c r="B333" s="37"/>
      <c r="C333" s="37"/>
      <c r="D333" s="37"/>
      <c r="E333" s="36"/>
      <c r="F333" s="36"/>
      <c r="G333" s="36" t="str">
        <f t="shared" si="6"/>
        <v/>
      </c>
      <c r="H333" s="37"/>
    </row>
    <row r="334">
      <c r="A334" s="37"/>
      <c r="B334" s="37"/>
      <c r="C334" s="37"/>
      <c r="D334" s="37"/>
      <c r="E334" s="36"/>
      <c r="F334" s="36"/>
      <c r="G334" s="36" t="str">
        <f t="shared" si="6"/>
        <v/>
      </c>
      <c r="H334" s="37"/>
    </row>
    <row r="335">
      <c r="A335" s="37"/>
      <c r="B335" s="37"/>
      <c r="C335" s="37"/>
      <c r="D335" s="37"/>
      <c r="E335" s="36"/>
      <c r="F335" s="36"/>
      <c r="G335" s="36" t="str">
        <f t="shared" si="6"/>
        <v/>
      </c>
      <c r="H335" s="37"/>
    </row>
    <row r="336">
      <c r="A336" s="37"/>
      <c r="B336" s="37"/>
      <c r="C336" s="37"/>
      <c r="D336" s="37"/>
      <c r="E336" s="36"/>
      <c r="F336" s="36"/>
      <c r="G336" s="36" t="str">
        <f t="shared" si="6"/>
        <v/>
      </c>
      <c r="H336" s="37"/>
    </row>
    <row r="337">
      <c r="A337" s="37"/>
      <c r="B337" s="37"/>
      <c r="C337" s="37"/>
      <c r="D337" s="37"/>
      <c r="E337" s="36"/>
      <c r="F337" s="36"/>
      <c r="G337" s="36" t="str">
        <f t="shared" si="6"/>
        <v/>
      </c>
      <c r="H337" s="37"/>
    </row>
    <row r="338">
      <c r="A338" s="37"/>
      <c r="B338" s="37"/>
      <c r="C338" s="37"/>
      <c r="D338" s="37"/>
      <c r="E338" s="36"/>
      <c r="F338" s="36"/>
      <c r="G338" s="36" t="str">
        <f t="shared" si="6"/>
        <v/>
      </c>
      <c r="H338" s="37"/>
    </row>
    <row r="339">
      <c r="A339" s="37"/>
      <c r="B339" s="37"/>
      <c r="C339" s="37"/>
      <c r="D339" s="37"/>
      <c r="E339" s="36"/>
      <c r="F339" s="36"/>
      <c r="G339" s="36" t="str">
        <f t="shared" si="6"/>
        <v/>
      </c>
      <c r="H339" s="37"/>
    </row>
    <row r="340">
      <c r="A340" s="37"/>
      <c r="B340" s="37"/>
      <c r="C340" s="37"/>
      <c r="D340" s="37"/>
      <c r="E340" s="36"/>
      <c r="F340" s="36"/>
      <c r="G340" s="36" t="str">
        <f t="shared" si="6"/>
        <v/>
      </c>
      <c r="H340" s="37"/>
    </row>
    <row r="341">
      <c r="A341" s="37"/>
      <c r="B341" s="37"/>
      <c r="C341" s="37"/>
      <c r="D341" s="37"/>
      <c r="E341" s="36"/>
      <c r="F341" s="36"/>
      <c r="G341" s="36" t="str">
        <f t="shared" si="6"/>
        <v/>
      </c>
      <c r="H341" s="37"/>
    </row>
    <row r="342">
      <c r="A342" s="37"/>
      <c r="B342" s="37"/>
      <c r="C342" s="37"/>
      <c r="D342" s="37"/>
      <c r="E342" s="36"/>
      <c r="F342" s="36"/>
      <c r="G342" s="36" t="str">
        <f t="shared" si="6"/>
        <v/>
      </c>
      <c r="H342" s="37"/>
    </row>
    <row r="343">
      <c r="A343" s="37"/>
      <c r="B343" s="37"/>
      <c r="C343" s="37"/>
      <c r="D343" s="37"/>
      <c r="E343" s="36"/>
      <c r="F343" s="36"/>
      <c r="G343" s="36" t="str">
        <f t="shared" si="6"/>
        <v/>
      </c>
      <c r="H343" s="37"/>
    </row>
    <row r="344">
      <c r="A344" s="37"/>
      <c r="B344" s="37"/>
      <c r="C344" s="37"/>
      <c r="D344" s="37"/>
      <c r="E344" s="36"/>
      <c r="F344" s="36"/>
      <c r="G344" s="36" t="str">
        <f t="shared" si="6"/>
        <v/>
      </c>
      <c r="H344" s="37"/>
    </row>
    <row r="345">
      <c r="A345" s="37"/>
      <c r="B345" s="37"/>
      <c r="C345" s="37"/>
      <c r="D345" s="37"/>
      <c r="E345" s="36"/>
      <c r="F345" s="36"/>
      <c r="G345" s="36" t="str">
        <f t="shared" si="6"/>
        <v/>
      </c>
      <c r="H345" s="37"/>
    </row>
    <row r="346">
      <c r="A346" s="37"/>
      <c r="B346" s="37"/>
      <c r="C346" s="37"/>
      <c r="D346" s="37"/>
      <c r="E346" s="36"/>
      <c r="F346" s="36"/>
      <c r="G346" s="36" t="str">
        <f t="shared" si="6"/>
        <v/>
      </c>
      <c r="H346" s="37"/>
    </row>
    <row r="347">
      <c r="A347" s="37"/>
      <c r="B347" s="37"/>
      <c r="C347" s="37"/>
      <c r="D347" s="37"/>
      <c r="E347" s="36"/>
      <c r="F347" s="36"/>
      <c r="G347" s="36" t="str">
        <f t="shared" si="6"/>
        <v/>
      </c>
      <c r="H347" s="37"/>
    </row>
    <row r="348">
      <c r="A348" s="37"/>
      <c r="B348" s="37"/>
      <c r="C348" s="37"/>
      <c r="D348" s="37"/>
      <c r="E348" s="36"/>
      <c r="F348" s="36"/>
      <c r="G348" s="36" t="str">
        <f t="shared" si="6"/>
        <v/>
      </c>
      <c r="H348" s="37"/>
    </row>
    <row r="349">
      <c r="A349" s="37"/>
      <c r="B349" s="37"/>
      <c r="C349" s="37"/>
      <c r="D349" s="37"/>
      <c r="E349" s="36"/>
      <c r="F349" s="36"/>
      <c r="G349" s="36" t="str">
        <f t="shared" si="6"/>
        <v/>
      </c>
      <c r="H349" s="37"/>
    </row>
    <row r="350">
      <c r="A350" s="37"/>
      <c r="B350" s="37"/>
      <c r="C350" s="37"/>
      <c r="D350" s="37"/>
      <c r="E350" s="36"/>
      <c r="F350" s="36"/>
      <c r="G350" s="36" t="str">
        <f t="shared" si="6"/>
        <v/>
      </c>
      <c r="H350" s="37"/>
    </row>
    <row r="351">
      <c r="A351" s="37"/>
      <c r="B351" s="37"/>
      <c r="C351" s="37"/>
      <c r="D351" s="37"/>
      <c r="E351" s="36"/>
      <c r="F351" s="36"/>
      <c r="G351" s="36" t="str">
        <f t="shared" si="6"/>
        <v/>
      </c>
      <c r="H351" s="37"/>
    </row>
    <row r="352">
      <c r="A352" s="37"/>
      <c r="B352" s="37"/>
      <c r="C352" s="37"/>
      <c r="D352" s="37"/>
      <c r="E352" s="36"/>
      <c r="F352" s="36"/>
      <c r="G352" s="36" t="str">
        <f t="shared" si="6"/>
        <v/>
      </c>
      <c r="H352" s="37"/>
    </row>
    <row r="353">
      <c r="A353" s="37"/>
      <c r="B353" s="37"/>
      <c r="C353" s="37"/>
      <c r="D353" s="37"/>
      <c r="E353" s="36"/>
      <c r="F353" s="36"/>
      <c r="G353" s="36" t="str">
        <f t="shared" si="6"/>
        <v/>
      </c>
      <c r="H353" s="37"/>
    </row>
    <row r="354">
      <c r="A354" s="37"/>
      <c r="B354" s="37"/>
      <c r="C354" s="37"/>
      <c r="D354" s="37"/>
      <c r="E354" s="36"/>
      <c r="F354" s="36"/>
      <c r="G354" s="36" t="str">
        <f t="shared" si="6"/>
        <v/>
      </c>
      <c r="H354" s="37"/>
    </row>
    <row r="355">
      <c r="A355" s="37"/>
      <c r="B355" s="37"/>
      <c r="C355" s="37"/>
      <c r="D355" s="37"/>
      <c r="E355" s="36"/>
      <c r="F355" s="36"/>
      <c r="G355" s="36" t="str">
        <f t="shared" si="6"/>
        <v/>
      </c>
      <c r="H355" s="37"/>
    </row>
    <row r="356">
      <c r="A356" s="37"/>
      <c r="B356" s="37"/>
      <c r="C356" s="37"/>
      <c r="D356" s="37"/>
      <c r="E356" s="36"/>
      <c r="F356" s="36"/>
      <c r="G356" s="36" t="str">
        <f t="shared" si="6"/>
        <v/>
      </c>
      <c r="H356" s="37"/>
    </row>
    <row r="357">
      <c r="A357" s="37"/>
      <c r="B357" s="37"/>
      <c r="C357" s="37"/>
      <c r="D357" s="37"/>
      <c r="E357" s="36"/>
      <c r="F357" s="36"/>
      <c r="G357" s="36" t="str">
        <f t="shared" si="6"/>
        <v/>
      </c>
      <c r="H357" s="37"/>
    </row>
    <row r="358">
      <c r="A358" s="37"/>
      <c r="B358" s="37"/>
      <c r="C358" s="37"/>
      <c r="D358" s="37"/>
      <c r="E358" s="36"/>
      <c r="F358" s="36"/>
      <c r="G358" s="36" t="str">
        <f t="shared" si="6"/>
        <v/>
      </c>
      <c r="H358" s="37"/>
    </row>
    <row r="359">
      <c r="A359" s="37"/>
      <c r="B359" s="37"/>
      <c r="C359" s="37"/>
      <c r="D359" s="37"/>
      <c r="E359" s="36"/>
      <c r="F359" s="36"/>
      <c r="G359" s="36" t="str">
        <f t="shared" si="6"/>
        <v/>
      </c>
      <c r="H359" s="37"/>
    </row>
    <row r="360">
      <c r="A360" s="37"/>
      <c r="B360" s="37"/>
      <c r="C360" s="37"/>
      <c r="D360" s="37"/>
      <c r="E360" s="36"/>
      <c r="F360" s="36"/>
      <c r="G360" s="36" t="str">
        <f t="shared" si="6"/>
        <v/>
      </c>
      <c r="H360" s="37"/>
    </row>
    <row r="361">
      <c r="A361" s="37"/>
      <c r="B361" s="37"/>
      <c r="C361" s="37"/>
      <c r="D361" s="37"/>
      <c r="E361" s="36"/>
      <c r="F361" s="36"/>
      <c r="G361" s="36" t="str">
        <f t="shared" si="6"/>
        <v/>
      </c>
      <c r="H361" s="37"/>
    </row>
    <row r="362">
      <c r="A362" s="37"/>
      <c r="B362" s="37"/>
      <c r="C362" s="37"/>
      <c r="D362" s="37"/>
      <c r="E362" s="36"/>
      <c r="F362" s="36"/>
      <c r="G362" s="36" t="str">
        <f t="shared" si="6"/>
        <v/>
      </c>
      <c r="H362" s="37"/>
    </row>
    <row r="363">
      <c r="A363" s="37"/>
      <c r="B363" s="37"/>
      <c r="C363" s="37"/>
      <c r="D363" s="37"/>
      <c r="E363" s="36"/>
      <c r="F363" s="36"/>
      <c r="G363" s="36" t="str">
        <f t="shared" si="6"/>
        <v/>
      </c>
      <c r="H363" s="37"/>
    </row>
    <row r="364">
      <c r="A364" s="37"/>
      <c r="B364" s="37"/>
      <c r="C364" s="37"/>
      <c r="D364" s="37"/>
      <c r="E364" s="36"/>
      <c r="F364" s="36"/>
      <c r="G364" s="36" t="str">
        <f t="shared" si="6"/>
        <v/>
      </c>
      <c r="H364" s="37"/>
    </row>
    <row r="365">
      <c r="A365" s="37"/>
      <c r="B365" s="37"/>
      <c r="C365" s="37"/>
      <c r="D365" s="37"/>
      <c r="E365" s="36"/>
      <c r="F365" s="36"/>
      <c r="G365" s="36" t="str">
        <f t="shared" si="6"/>
        <v/>
      </c>
      <c r="H365" s="37"/>
    </row>
    <row r="366">
      <c r="A366" s="37"/>
      <c r="B366" s="37"/>
      <c r="C366" s="37"/>
      <c r="D366" s="37"/>
      <c r="E366" s="36"/>
      <c r="F366" s="36"/>
      <c r="G366" s="36" t="str">
        <f t="shared" si="6"/>
        <v/>
      </c>
      <c r="H366" s="37"/>
    </row>
    <row r="367">
      <c r="A367" s="37"/>
      <c r="B367" s="37"/>
      <c r="C367" s="37"/>
      <c r="D367" s="37"/>
      <c r="E367" s="36"/>
      <c r="F367" s="36"/>
      <c r="G367" s="36" t="str">
        <f t="shared" si="6"/>
        <v/>
      </c>
      <c r="H367" s="37"/>
    </row>
    <row r="368">
      <c r="A368" s="37"/>
      <c r="B368" s="37"/>
      <c r="C368" s="37"/>
      <c r="D368" s="37"/>
      <c r="E368" s="36"/>
      <c r="F368" s="36"/>
      <c r="G368" s="36" t="str">
        <f t="shared" si="6"/>
        <v/>
      </c>
      <c r="H368" s="37"/>
    </row>
    <row r="369">
      <c r="A369" s="37"/>
      <c r="B369" s="37"/>
      <c r="C369" s="37"/>
      <c r="D369" s="37"/>
      <c r="E369" s="36"/>
      <c r="F369" s="36"/>
      <c r="G369" s="36" t="str">
        <f t="shared" si="6"/>
        <v/>
      </c>
      <c r="H369" s="37"/>
    </row>
    <row r="370">
      <c r="A370" s="37"/>
      <c r="B370" s="37"/>
      <c r="C370" s="37"/>
      <c r="D370" s="37"/>
      <c r="E370" s="36"/>
      <c r="F370" s="36"/>
      <c r="G370" s="36" t="str">
        <f t="shared" si="6"/>
        <v/>
      </c>
      <c r="H370" s="37"/>
    </row>
    <row r="371">
      <c r="A371" s="37"/>
      <c r="B371" s="37"/>
      <c r="C371" s="37"/>
      <c r="D371" s="37"/>
      <c r="E371" s="36"/>
      <c r="F371" s="36"/>
      <c r="G371" s="36" t="str">
        <f t="shared" si="6"/>
        <v/>
      </c>
      <c r="H371" s="37"/>
    </row>
    <row r="372">
      <c r="A372" s="37"/>
      <c r="B372" s="37"/>
      <c r="C372" s="37"/>
      <c r="D372" s="37"/>
      <c r="E372" s="36"/>
      <c r="F372" s="36"/>
      <c r="G372" s="36" t="str">
        <f t="shared" si="6"/>
        <v/>
      </c>
      <c r="H372" s="37"/>
    </row>
    <row r="373">
      <c r="A373" s="37"/>
      <c r="B373" s="37"/>
      <c r="C373" s="37"/>
      <c r="D373" s="37"/>
      <c r="E373" s="36"/>
      <c r="F373" s="36"/>
      <c r="G373" s="36" t="str">
        <f t="shared" si="6"/>
        <v/>
      </c>
      <c r="H373" s="37"/>
    </row>
    <row r="374">
      <c r="A374" s="37"/>
      <c r="B374" s="37"/>
      <c r="C374" s="37"/>
      <c r="D374" s="37"/>
      <c r="E374" s="36"/>
      <c r="F374" s="36"/>
      <c r="G374" s="36" t="str">
        <f t="shared" si="6"/>
        <v/>
      </c>
      <c r="H374" s="37"/>
    </row>
    <row r="375">
      <c r="A375" s="37"/>
      <c r="B375" s="37"/>
      <c r="C375" s="37"/>
      <c r="D375" s="37"/>
      <c r="E375" s="36"/>
      <c r="F375" s="36"/>
      <c r="G375" s="36" t="str">
        <f t="shared" si="6"/>
        <v/>
      </c>
      <c r="H375" s="37"/>
    </row>
    <row r="376">
      <c r="A376" s="37"/>
      <c r="B376" s="37"/>
      <c r="C376" s="37"/>
      <c r="D376" s="37"/>
      <c r="E376" s="36"/>
      <c r="F376" s="36"/>
      <c r="G376" s="36" t="str">
        <f t="shared" si="6"/>
        <v/>
      </c>
      <c r="H376" s="37"/>
    </row>
    <row r="377">
      <c r="A377" s="37"/>
      <c r="B377" s="37"/>
      <c r="C377" s="37"/>
      <c r="D377" s="37"/>
      <c r="E377" s="36"/>
      <c r="F377" s="36"/>
      <c r="G377" s="36" t="str">
        <f t="shared" si="6"/>
        <v/>
      </c>
      <c r="H377" s="37"/>
    </row>
    <row r="378">
      <c r="A378" s="37"/>
      <c r="B378" s="37"/>
      <c r="C378" s="37"/>
      <c r="D378" s="37"/>
      <c r="E378" s="36"/>
      <c r="F378" s="36"/>
      <c r="G378" s="36" t="str">
        <f t="shared" si="6"/>
        <v/>
      </c>
      <c r="H378" s="37"/>
    </row>
    <row r="379">
      <c r="A379" s="37"/>
      <c r="B379" s="37"/>
      <c r="C379" s="37"/>
      <c r="D379" s="37"/>
      <c r="E379" s="36"/>
      <c r="F379" s="36"/>
      <c r="G379" s="36" t="str">
        <f t="shared" si="6"/>
        <v/>
      </c>
      <c r="H379" s="37"/>
    </row>
    <row r="380">
      <c r="A380" s="37"/>
      <c r="B380" s="37"/>
      <c r="C380" s="37"/>
      <c r="D380" s="37"/>
      <c r="E380" s="36"/>
      <c r="F380" s="36"/>
      <c r="G380" s="36" t="str">
        <f t="shared" si="6"/>
        <v/>
      </c>
      <c r="H380" s="37"/>
    </row>
    <row r="381">
      <c r="A381" s="37"/>
      <c r="B381" s="37"/>
      <c r="C381" s="37"/>
      <c r="D381" s="37"/>
      <c r="E381" s="36"/>
      <c r="F381" s="36"/>
      <c r="G381" s="36" t="str">
        <f t="shared" si="6"/>
        <v/>
      </c>
      <c r="H381" s="37"/>
    </row>
    <row r="382">
      <c r="A382" s="37"/>
      <c r="B382" s="37"/>
      <c r="C382" s="37"/>
      <c r="D382" s="37"/>
      <c r="E382" s="36"/>
      <c r="F382" s="36"/>
      <c r="G382" s="36" t="str">
        <f t="shared" si="6"/>
        <v/>
      </c>
      <c r="H382" s="37"/>
    </row>
    <row r="383">
      <c r="A383" s="37"/>
      <c r="B383" s="37"/>
      <c r="C383" s="37"/>
      <c r="D383" s="37"/>
      <c r="E383" s="36"/>
      <c r="F383" s="36"/>
      <c r="G383" s="36" t="str">
        <f t="shared" si="6"/>
        <v/>
      </c>
      <c r="H383" s="37"/>
    </row>
    <row r="384">
      <c r="A384" s="37"/>
      <c r="B384" s="37"/>
      <c r="C384" s="37"/>
      <c r="D384" s="37"/>
      <c r="E384" s="36"/>
      <c r="F384" s="36"/>
      <c r="G384" s="36" t="str">
        <f t="shared" si="6"/>
        <v/>
      </c>
      <c r="H384" s="37"/>
    </row>
    <row r="385">
      <c r="A385" s="37"/>
      <c r="B385" s="37"/>
      <c r="C385" s="37"/>
      <c r="D385" s="37"/>
      <c r="E385" s="36"/>
      <c r="F385" s="36"/>
      <c r="G385" s="36" t="str">
        <f t="shared" si="6"/>
        <v/>
      </c>
      <c r="H385" s="37"/>
    </row>
    <row r="386">
      <c r="A386" s="37"/>
      <c r="B386" s="37"/>
      <c r="C386" s="37"/>
      <c r="D386" s="37"/>
      <c r="E386" s="36"/>
      <c r="F386" s="36"/>
      <c r="G386" s="36" t="str">
        <f t="shared" si="6"/>
        <v/>
      </c>
      <c r="H386" s="37"/>
    </row>
    <row r="387">
      <c r="A387" s="37"/>
      <c r="B387" s="37"/>
      <c r="C387" s="37"/>
      <c r="D387" s="37"/>
      <c r="E387" s="36"/>
      <c r="F387" s="36"/>
      <c r="G387" s="36" t="str">
        <f t="shared" si="6"/>
        <v/>
      </c>
      <c r="H387" s="37"/>
    </row>
    <row r="388">
      <c r="A388" s="37"/>
      <c r="B388" s="37"/>
      <c r="C388" s="37"/>
      <c r="D388" s="37"/>
      <c r="E388" s="36"/>
      <c r="F388" s="36"/>
      <c r="G388" s="36" t="str">
        <f t="shared" si="6"/>
        <v/>
      </c>
      <c r="H388" s="37"/>
    </row>
    <row r="389">
      <c r="A389" s="37"/>
      <c r="B389" s="37"/>
      <c r="C389" s="37"/>
      <c r="D389" s="37"/>
      <c r="E389" s="36"/>
      <c r="F389" s="36"/>
      <c r="G389" s="36" t="str">
        <f t="shared" si="6"/>
        <v/>
      </c>
      <c r="H389" s="37"/>
    </row>
    <row r="390">
      <c r="A390" s="37"/>
      <c r="B390" s="37"/>
      <c r="C390" s="37"/>
      <c r="D390" s="37"/>
      <c r="E390" s="36"/>
      <c r="F390" s="36"/>
      <c r="G390" s="36" t="str">
        <f t="shared" si="6"/>
        <v/>
      </c>
      <c r="H390" s="37"/>
    </row>
    <row r="391">
      <c r="A391" s="37"/>
      <c r="B391" s="37"/>
      <c r="C391" s="37"/>
      <c r="D391" s="37"/>
      <c r="E391" s="36"/>
      <c r="F391" s="36"/>
      <c r="G391" s="36" t="str">
        <f t="shared" si="6"/>
        <v/>
      </c>
      <c r="H391" s="37"/>
    </row>
    <row r="392">
      <c r="A392" s="37"/>
      <c r="B392" s="37"/>
      <c r="C392" s="37"/>
      <c r="D392" s="37"/>
      <c r="E392" s="36"/>
      <c r="F392" s="36"/>
      <c r="G392" s="36" t="str">
        <f t="shared" si="6"/>
        <v/>
      </c>
      <c r="H392" s="37"/>
    </row>
    <row r="393">
      <c r="A393" s="37"/>
      <c r="B393" s="37"/>
      <c r="C393" s="37"/>
      <c r="D393" s="37"/>
      <c r="E393" s="36"/>
      <c r="F393" s="36"/>
      <c r="G393" s="36" t="str">
        <f t="shared" si="6"/>
        <v/>
      </c>
      <c r="H393" s="37"/>
    </row>
    <row r="394">
      <c r="A394" s="37"/>
      <c r="B394" s="37"/>
      <c r="C394" s="37"/>
      <c r="D394" s="37"/>
      <c r="E394" s="36"/>
      <c r="F394" s="36"/>
      <c r="G394" s="36" t="str">
        <f t="shared" si="6"/>
        <v/>
      </c>
      <c r="H394" s="37"/>
    </row>
    <row r="395">
      <c r="A395" s="37"/>
      <c r="B395" s="37"/>
      <c r="C395" s="37"/>
      <c r="D395" s="37"/>
      <c r="E395" s="36"/>
      <c r="F395" s="36"/>
      <c r="G395" s="36" t="str">
        <f t="shared" si="6"/>
        <v/>
      </c>
      <c r="H395" s="37"/>
    </row>
    <row r="396">
      <c r="A396" s="37"/>
      <c r="B396" s="37"/>
      <c r="C396" s="37"/>
      <c r="D396" s="37"/>
      <c r="E396" s="36"/>
      <c r="F396" s="36"/>
      <c r="G396" s="36" t="str">
        <f t="shared" si="6"/>
        <v/>
      </c>
      <c r="H396" s="37"/>
    </row>
    <row r="397">
      <c r="A397" s="37"/>
      <c r="B397" s="37"/>
      <c r="C397" s="37"/>
      <c r="D397" s="37"/>
      <c r="E397" s="36"/>
      <c r="F397" s="36"/>
      <c r="G397" s="36" t="str">
        <f t="shared" si="6"/>
        <v/>
      </c>
      <c r="H397" s="37"/>
    </row>
    <row r="398">
      <c r="A398" s="37"/>
      <c r="B398" s="37"/>
      <c r="C398" s="37"/>
      <c r="D398" s="37"/>
      <c r="E398" s="36"/>
      <c r="F398" s="36"/>
      <c r="G398" s="36" t="str">
        <f t="shared" si="6"/>
        <v/>
      </c>
      <c r="H398" s="37"/>
    </row>
    <row r="399">
      <c r="A399" s="37"/>
      <c r="B399" s="37"/>
      <c r="C399" s="37"/>
      <c r="D399" s="37"/>
      <c r="E399" s="36"/>
      <c r="F399" s="36"/>
      <c r="G399" s="36" t="str">
        <f t="shared" si="6"/>
        <v/>
      </c>
      <c r="H399" s="37"/>
    </row>
    <row r="400">
      <c r="A400" s="37"/>
      <c r="B400" s="37"/>
      <c r="C400" s="37"/>
      <c r="D400" s="37"/>
      <c r="E400" s="36"/>
      <c r="F400" s="36"/>
      <c r="G400" s="36" t="str">
        <f t="shared" si="6"/>
        <v/>
      </c>
      <c r="H400" s="37"/>
    </row>
    <row r="401">
      <c r="A401" s="37"/>
      <c r="B401" s="37"/>
      <c r="C401" s="37"/>
      <c r="D401" s="37"/>
      <c r="E401" s="36"/>
      <c r="F401" s="36"/>
      <c r="G401" s="36" t="str">
        <f t="shared" si="6"/>
        <v/>
      </c>
      <c r="H401" s="37"/>
    </row>
    <row r="402">
      <c r="A402" s="37"/>
      <c r="B402" s="37"/>
      <c r="C402" s="37"/>
      <c r="D402" s="37"/>
      <c r="E402" s="36"/>
      <c r="F402" s="36"/>
      <c r="G402" s="36" t="str">
        <f t="shared" si="6"/>
        <v/>
      </c>
      <c r="H402" s="37"/>
    </row>
    <row r="403">
      <c r="A403" s="37"/>
      <c r="B403" s="37"/>
      <c r="C403" s="37"/>
      <c r="D403" s="37"/>
      <c r="E403" s="36"/>
      <c r="F403" s="36"/>
      <c r="G403" s="36" t="str">
        <f t="shared" si="6"/>
        <v/>
      </c>
      <c r="H403" s="37"/>
    </row>
    <row r="404">
      <c r="A404" s="37"/>
      <c r="B404" s="37"/>
      <c r="C404" s="37"/>
      <c r="D404" s="37"/>
      <c r="E404" s="36"/>
      <c r="F404" s="36"/>
      <c r="G404" s="36" t="str">
        <f t="shared" si="6"/>
        <v/>
      </c>
      <c r="H404" s="37"/>
    </row>
    <row r="405">
      <c r="A405" s="37"/>
      <c r="B405" s="37"/>
      <c r="C405" s="37"/>
      <c r="D405" s="37"/>
      <c r="E405" s="36"/>
      <c r="F405" s="36"/>
      <c r="G405" s="36" t="str">
        <f t="shared" si="6"/>
        <v/>
      </c>
      <c r="H405" s="37"/>
    </row>
    <row r="406">
      <c r="A406" s="37"/>
      <c r="B406" s="37"/>
      <c r="C406" s="37"/>
      <c r="D406" s="37"/>
      <c r="E406" s="36"/>
      <c r="F406" s="36"/>
      <c r="G406" s="36" t="str">
        <f t="shared" si="6"/>
        <v/>
      </c>
      <c r="H406" s="37"/>
    </row>
    <row r="407">
      <c r="A407" s="37"/>
      <c r="B407" s="37"/>
      <c r="C407" s="37"/>
      <c r="D407" s="37"/>
      <c r="E407" s="36"/>
      <c r="F407" s="36"/>
      <c r="G407" s="36" t="str">
        <f t="shared" si="6"/>
        <v/>
      </c>
      <c r="H407" s="37"/>
    </row>
    <row r="408">
      <c r="A408" s="37"/>
      <c r="B408" s="37"/>
      <c r="C408" s="37"/>
      <c r="D408" s="37"/>
      <c r="E408" s="36"/>
      <c r="F408" s="36"/>
      <c r="G408" s="36" t="str">
        <f t="shared" si="6"/>
        <v/>
      </c>
      <c r="H408" s="37"/>
    </row>
    <row r="409">
      <c r="A409" s="37"/>
      <c r="B409" s="37"/>
      <c r="C409" s="37"/>
      <c r="D409" s="37"/>
      <c r="E409" s="36"/>
      <c r="F409" s="36"/>
      <c r="G409" s="36" t="str">
        <f t="shared" si="6"/>
        <v/>
      </c>
      <c r="H409" s="37"/>
    </row>
    <row r="410">
      <c r="A410" s="37"/>
      <c r="B410" s="37"/>
      <c r="C410" s="37"/>
      <c r="D410" s="37"/>
      <c r="E410" s="36"/>
      <c r="F410" s="36"/>
      <c r="G410" s="36" t="str">
        <f t="shared" si="6"/>
        <v/>
      </c>
      <c r="H410" s="37"/>
    </row>
    <row r="411">
      <c r="A411" s="37"/>
      <c r="B411" s="37"/>
      <c r="C411" s="37"/>
      <c r="D411" s="37"/>
      <c r="E411" s="36"/>
      <c r="F411" s="36"/>
      <c r="G411" s="36" t="str">
        <f t="shared" si="6"/>
        <v/>
      </c>
      <c r="H411" s="37"/>
    </row>
    <row r="412">
      <c r="A412" s="37"/>
      <c r="B412" s="37"/>
      <c r="C412" s="37"/>
      <c r="D412" s="37"/>
      <c r="E412" s="36"/>
      <c r="F412" s="36"/>
      <c r="G412" s="36" t="str">
        <f t="shared" si="6"/>
        <v/>
      </c>
      <c r="H412" s="37"/>
    </row>
    <row r="413">
      <c r="A413" s="37"/>
      <c r="B413" s="37"/>
      <c r="C413" s="37"/>
      <c r="D413" s="37"/>
      <c r="E413" s="36"/>
      <c r="F413" s="36"/>
      <c r="G413" s="36" t="str">
        <f t="shared" si="6"/>
        <v/>
      </c>
      <c r="H413" s="37"/>
    </row>
    <row r="414">
      <c r="A414" s="37"/>
      <c r="B414" s="37"/>
      <c r="C414" s="37"/>
      <c r="D414" s="37"/>
      <c r="E414" s="36"/>
      <c r="F414" s="36"/>
      <c r="G414" s="36" t="str">
        <f t="shared" si="6"/>
        <v/>
      </c>
      <c r="H414" s="37"/>
    </row>
    <row r="415">
      <c r="A415" s="37"/>
      <c r="B415" s="37"/>
      <c r="C415" s="37"/>
      <c r="D415" s="37"/>
      <c r="E415" s="36"/>
      <c r="F415" s="36"/>
      <c r="G415" s="36" t="str">
        <f t="shared" si="6"/>
        <v/>
      </c>
      <c r="H415" s="37"/>
    </row>
    <row r="416">
      <c r="A416" s="37"/>
      <c r="B416" s="37"/>
      <c r="C416" s="37"/>
      <c r="D416" s="37"/>
      <c r="E416" s="36"/>
      <c r="F416" s="36"/>
      <c r="G416" s="36" t="str">
        <f t="shared" si="6"/>
        <v/>
      </c>
      <c r="H416" s="37"/>
    </row>
    <row r="417">
      <c r="A417" s="37"/>
      <c r="B417" s="37"/>
      <c r="C417" s="37"/>
      <c r="D417" s="37"/>
      <c r="E417" s="36"/>
      <c r="F417" s="36"/>
      <c r="G417" s="36" t="str">
        <f t="shared" si="6"/>
        <v/>
      </c>
      <c r="H417" s="37"/>
    </row>
    <row r="418">
      <c r="A418" s="37"/>
      <c r="B418" s="37"/>
      <c r="C418" s="37"/>
      <c r="D418" s="37"/>
      <c r="E418" s="36"/>
      <c r="F418" s="36"/>
      <c r="G418" s="36" t="str">
        <f t="shared" si="6"/>
        <v/>
      </c>
      <c r="H418" s="37"/>
    </row>
    <row r="419">
      <c r="A419" s="37"/>
      <c r="B419" s="37"/>
      <c r="C419" s="37"/>
      <c r="D419" s="37"/>
      <c r="E419" s="36"/>
      <c r="F419" s="36"/>
      <c r="G419" s="36" t="str">
        <f t="shared" si="6"/>
        <v/>
      </c>
      <c r="H419" s="37"/>
    </row>
    <row r="420">
      <c r="A420" s="37"/>
      <c r="B420" s="37"/>
      <c r="C420" s="37"/>
      <c r="D420" s="37"/>
      <c r="E420" s="36"/>
      <c r="F420" s="36"/>
      <c r="G420" s="36" t="str">
        <f t="shared" si="6"/>
        <v/>
      </c>
      <c r="H420" s="37"/>
    </row>
    <row r="421">
      <c r="A421" s="37"/>
      <c r="B421" s="37"/>
      <c r="C421" s="37"/>
      <c r="D421" s="37"/>
      <c r="E421" s="36"/>
      <c r="F421" s="36"/>
      <c r="G421" s="36" t="str">
        <f t="shared" si="6"/>
        <v/>
      </c>
      <c r="H421" s="37"/>
    </row>
    <row r="422">
      <c r="A422" s="37"/>
      <c r="B422" s="37"/>
      <c r="C422" s="37"/>
      <c r="D422" s="37"/>
      <c r="E422" s="36"/>
      <c r="F422" s="36"/>
      <c r="G422" s="36" t="str">
        <f t="shared" si="6"/>
        <v/>
      </c>
      <c r="H422" s="37"/>
    </row>
    <row r="423">
      <c r="A423" s="37"/>
      <c r="B423" s="37"/>
      <c r="C423" s="37"/>
      <c r="D423" s="37"/>
      <c r="E423" s="36"/>
      <c r="F423" s="36"/>
      <c r="G423" s="36" t="str">
        <f t="shared" si="6"/>
        <v/>
      </c>
      <c r="H423" s="37"/>
    </row>
    <row r="424">
      <c r="A424" s="37"/>
      <c r="B424" s="37"/>
      <c r="C424" s="37"/>
      <c r="D424" s="37"/>
      <c r="E424" s="36"/>
      <c r="F424" s="36"/>
      <c r="G424" s="36" t="str">
        <f t="shared" si="6"/>
        <v/>
      </c>
      <c r="H424" s="37"/>
    </row>
    <row r="425">
      <c r="A425" s="37"/>
      <c r="B425" s="37"/>
      <c r="C425" s="37"/>
      <c r="D425" s="37"/>
      <c r="E425" s="36"/>
      <c r="F425" s="36"/>
      <c r="G425" s="36" t="str">
        <f t="shared" si="6"/>
        <v/>
      </c>
      <c r="H425" s="37"/>
    </row>
    <row r="426">
      <c r="A426" s="37"/>
      <c r="B426" s="37"/>
      <c r="C426" s="37"/>
      <c r="D426" s="37"/>
      <c r="E426" s="36"/>
      <c r="F426" s="36"/>
      <c r="G426" s="36" t="str">
        <f t="shared" si="6"/>
        <v/>
      </c>
      <c r="H426" s="37"/>
    </row>
    <row r="427">
      <c r="A427" s="37"/>
      <c r="B427" s="37"/>
      <c r="C427" s="37"/>
      <c r="D427" s="37"/>
      <c r="E427" s="36"/>
      <c r="F427" s="36"/>
      <c r="G427" s="36" t="str">
        <f t="shared" si="6"/>
        <v/>
      </c>
      <c r="H427" s="37"/>
    </row>
    <row r="428">
      <c r="A428" s="37"/>
      <c r="B428" s="37"/>
      <c r="C428" s="37"/>
      <c r="D428" s="37"/>
      <c r="E428" s="36"/>
      <c r="F428" s="36"/>
      <c r="G428" s="36" t="str">
        <f t="shared" si="6"/>
        <v/>
      </c>
      <c r="H428" s="37"/>
    </row>
    <row r="429">
      <c r="A429" s="37"/>
      <c r="B429" s="37"/>
      <c r="C429" s="37"/>
      <c r="D429" s="37"/>
      <c r="E429" s="36"/>
      <c r="F429" s="36"/>
      <c r="G429" s="36" t="str">
        <f t="shared" si="6"/>
        <v/>
      </c>
      <c r="H429" s="37"/>
    </row>
    <row r="430">
      <c r="A430" s="37"/>
      <c r="B430" s="37"/>
      <c r="C430" s="37"/>
      <c r="D430" s="37"/>
      <c r="E430" s="36"/>
      <c r="F430" s="36"/>
      <c r="G430" s="36" t="str">
        <f t="shared" si="6"/>
        <v/>
      </c>
      <c r="H430" s="37"/>
    </row>
    <row r="431">
      <c r="A431" s="37"/>
      <c r="B431" s="37"/>
      <c r="C431" s="37"/>
      <c r="D431" s="37"/>
      <c r="E431" s="36"/>
      <c r="F431" s="36"/>
      <c r="G431" s="36" t="str">
        <f t="shared" si="6"/>
        <v/>
      </c>
      <c r="H431" s="37"/>
    </row>
    <row r="432">
      <c r="A432" s="37"/>
      <c r="B432" s="37"/>
      <c r="C432" s="37"/>
      <c r="D432" s="37"/>
      <c r="E432" s="36"/>
      <c r="F432" s="36"/>
      <c r="G432" s="36" t="str">
        <f t="shared" si="6"/>
        <v/>
      </c>
      <c r="H432" s="37"/>
    </row>
    <row r="433">
      <c r="A433" s="37"/>
      <c r="B433" s="37"/>
      <c r="C433" s="37"/>
      <c r="D433" s="37"/>
      <c r="E433" s="36"/>
      <c r="F433" s="36"/>
      <c r="G433" s="36" t="str">
        <f t="shared" si="6"/>
        <v/>
      </c>
      <c r="H433" s="37"/>
    </row>
    <row r="434">
      <c r="A434" s="37"/>
      <c r="B434" s="37"/>
      <c r="C434" s="37"/>
      <c r="D434" s="37"/>
      <c r="E434" s="36"/>
      <c r="F434" s="36"/>
      <c r="G434" s="36" t="str">
        <f t="shared" si="6"/>
        <v/>
      </c>
      <c r="H434" s="37"/>
    </row>
    <row r="435">
      <c r="A435" s="37"/>
      <c r="B435" s="37"/>
      <c r="C435" s="37"/>
      <c r="D435" s="37"/>
      <c r="E435" s="36"/>
      <c r="F435" s="36"/>
      <c r="G435" s="36" t="str">
        <f t="shared" si="6"/>
        <v/>
      </c>
      <c r="H435" s="37"/>
    </row>
    <row r="436">
      <c r="A436" s="37"/>
      <c r="B436" s="37"/>
      <c r="C436" s="37"/>
      <c r="D436" s="37"/>
      <c r="E436" s="36"/>
      <c r="F436" s="36"/>
      <c r="G436" s="36" t="str">
        <f t="shared" si="6"/>
        <v/>
      </c>
      <c r="H436" s="37"/>
    </row>
    <row r="437">
      <c r="A437" s="37"/>
      <c r="B437" s="37"/>
      <c r="C437" s="37"/>
      <c r="D437" s="37"/>
      <c r="E437" s="36"/>
      <c r="F437" s="36"/>
      <c r="G437" s="36" t="str">
        <f t="shared" si="6"/>
        <v/>
      </c>
      <c r="H437" s="37"/>
    </row>
    <row r="438">
      <c r="A438" s="37"/>
      <c r="B438" s="37"/>
      <c r="C438" s="37"/>
      <c r="D438" s="37"/>
      <c r="E438" s="36"/>
      <c r="F438" s="36"/>
      <c r="G438" s="36" t="str">
        <f t="shared" si="6"/>
        <v/>
      </c>
      <c r="H438" s="37"/>
    </row>
    <row r="439">
      <c r="A439" s="37"/>
      <c r="B439" s="37"/>
      <c r="C439" s="37"/>
      <c r="D439" s="37"/>
      <c r="E439" s="36"/>
      <c r="F439" s="36"/>
      <c r="G439" s="36" t="str">
        <f t="shared" si="6"/>
        <v/>
      </c>
      <c r="H439" s="37"/>
    </row>
    <row r="440">
      <c r="A440" s="37"/>
      <c r="B440" s="37"/>
      <c r="C440" s="37"/>
      <c r="D440" s="37"/>
      <c r="E440" s="36"/>
      <c r="F440" s="36"/>
      <c r="G440" s="36" t="str">
        <f t="shared" si="6"/>
        <v/>
      </c>
      <c r="H440" s="37"/>
    </row>
    <row r="441">
      <c r="A441" s="37"/>
      <c r="B441" s="37"/>
      <c r="C441" s="37"/>
      <c r="D441" s="37"/>
      <c r="E441" s="36"/>
      <c r="F441" s="36"/>
      <c r="G441" s="36" t="str">
        <f t="shared" si="6"/>
        <v/>
      </c>
      <c r="H441" s="37"/>
    </row>
    <row r="442">
      <c r="A442" s="37"/>
      <c r="B442" s="37"/>
      <c r="C442" s="37"/>
      <c r="D442" s="37"/>
      <c r="E442" s="36"/>
      <c r="F442" s="36"/>
      <c r="G442" s="36" t="str">
        <f t="shared" si="6"/>
        <v/>
      </c>
      <c r="H442" s="37"/>
    </row>
    <row r="443">
      <c r="A443" s="37"/>
      <c r="B443" s="37"/>
      <c r="C443" s="37"/>
      <c r="D443" s="37"/>
      <c r="E443" s="36"/>
      <c r="F443" s="36"/>
      <c r="G443" s="36" t="str">
        <f t="shared" si="6"/>
        <v/>
      </c>
      <c r="H443" s="37"/>
    </row>
    <row r="444">
      <c r="A444" s="37"/>
      <c r="B444" s="37"/>
      <c r="C444" s="37"/>
      <c r="D444" s="37"/>
      <c r="E444" s="36"/>
      <c r="F444" s="36"/>
      <c r="G444" s="36" t="str">
        <f t="shared" si="6"/>
        <v/>
      </c>
      <c r="H444" s="37"/>
    </row>
    <row r="445">
      <c r="A445" s="37"/>
      <c r="B445" s="37"/>
      <c r="C445" s="37"/>
      <c r="D445" s="37"/>
      <c r="E445" s="36"/>
      <c r="F445" s="36"/>
      <c r="G445" s="36" t="str">
        <f t="shared" si="6"/>
        <v/>
      </c>
      <c r="H445" s="37"/>
    </row>
    <row r="446">
      <c r="A446" s="37"/>
      <c r="B446" s="37"/>
      <c r="C446" s="37"/>
      <c r="D446" s="37"/>
      <c r="E446" s="36"/>
      <c r="F446" s="36"/>
      <c r="G446" s="36" t="str">
        <f t="shared" si="6"/>
        <v/>
      </c>
      <c r="H446" s="37"/>
    </row>
    <row r="447">
      <c r="A447" s="37"/>
      <c r="B447" s="37"/>
      <c r="C447" s="37"/>
      <c r="D447" s="37"/>
      <c r="E447" s="36"/>
      <c r="F447" s="36"/>
      <c r="G447" s="36" t="str">
        <f t="shared" si="6"/>
        <v/>
      </c>
      <c r="H447" s="37"/>
    </row>
    <row r="448">
      <c r="A448" s="37"/>
      <c r="B448" s="37"/>
      <c r="C448" s="37"/>
      <c r="D448" s="37"/>
      <c r="E448" s="36"/>
      <c r="F448" s="36"/>
      <c r="G448" s="36" t="str">
        <f t="shared" si="6"/>
        <v/>
      </c>
      <c r="H448" s="37"/>
    </row>
    <row r="449">
      <c r="A449" s="37"/>
      <c r="B449" s="37"/>
      <c r="C449" s="37"/>
      <c r="D449" s="37"/>
      <c r="E449" s="36"/>
      <c r="F449" s="36"/>
      <c r="G449" s="36" t="str">
        <f t="shared" si="6"/>
        <v/>
      </c>
      <c r="H449" s="37"/>
    </row>
    <row r="450">
      <c r="A450" s="37"/>
      <c r="B450" s="37"/>
      <c r="C450" s="37"/>
      <c r="D450" s="37"/>
      <c r="E450" s="36"/>
      <c r="F450" s="36"/>
      <c r="G450" s="36" t="str">
        <f t="shared" si="6"/>
        <v/>
      </c>
      <c r="H450" s="37"/>
    </row>
    <row r="451">
      <c r="A451" s="37"/>
      <c r="B451" s="37"/>
      <c r="C451" s="37"/>
      <c r="D451" s="37"/>
      <c r="E451" s="36"/>
      <c r="F451" s="36"/>
      <c r="G451" s="36" t="str">
        <f t="shared" si="6"/>
        <v/>
      </c>
      <c r="H451" s="37"/>
    </row>
    <row r="452">
      <c r="A452" s="37"/>
      <c r="B452" s="37"/>
      <c r="C452" s="37"/>
      <c r="D452" s="37"/>
      <c r="E452" s="36"/>
      <c r="F452" s="36"/>
      <c r="G452" s="36" t="str">
        <f t="shared" si="6"/>
        <v/>
      </c>
      <c r="H452" s="37"/>
    </row>
    <row r="453">
      <c r="A453" s="37"/>
      <c r="B453" s="37"/>
      <c r="C453" s="37"/>
      <c r="D453" s="37"/>
      <c r="E453" s="36"/>
      <c r="F453" s="36"/>
      <c r="G453" s="36" t="str">
        <f t="shared" si="6"/>
        <v/>
      </c>
      <c r="H453" s="37"/>
    </row>
    <row r="454">
      <c r="A454" s="37"/>
      <c r="B454" s="37"/>
      <c r="C454" s="37"/>
      <c r="D454" s="37"/>
      <c r="E454" s="36"/>
      <c r="F454" s="36"/>
      <c r="G454" s="36" t="str">
        <f t="shared" si="6"/>
        <v/>
      </c>
      <c r="H454" s="37"/>
    </row>
    <row r="455">
      <c r="A455" s="37"/>
      <c r="B455" s="37"/>
      <c r="C455" s="37"/>
      <c r="D455" s="37"/>
      <c r="E455" s="36"/>
      <c r="F455" s="36"/>
      <c r="G455" s="36" t="str">
        <f t="shared" si="6"/>
        <v/>
      </c>
      <c r="H455" s="37"/>
    </row>
    <row r="456">
      <c r="A456" s="37"/>
      <c r="B456" s="37"/>
      <c r="C456" s="37"/>
      <c r="D456" s="37"/>
      <c r="E456" s="36"/>
      <c r="F456" s="36"/>
      <c r="G456" s="36" t="str">
        <f t="shared" si="6"/>
        <v/>
      </c>
      <c r="H456" s="37"/>
    </row>
    <row r="457">
      <c r="A457" s="37"/>
      <c r="B457" s="37"/>
      <c r="C457" s="37"/>
      <c r="D457" s="37"/>
      <c r="E457" s="36"/>
      <c r="F457" s="36"/>
      <c r="G457" s="36" t="str">
        <f t="shared" si="6"/>
        <v/>
      </c>
      <c r="H457" s="37"/>
    </row>
    <row r="458">
      <c r="A458" s="37"/>
      <c r="B458" s="37"/>
      <c r="C458" s="37"/>
      <c r="D458" s="37"/>
      <c r="E458" s="36"/>
      <c r="F458" s="36"/>
      <c r="G458" s="36" t="str">
        <f t="shared" si="6"/>
        <v/>
      </c>
      <c r="H458" s="37"/>
    </row>
    <row r="459">
      <c r="A459" s="37"/>
      <c r="B459" s="37"/>
      <c r="C459" s="37"/>
      <c r="D459" s="37"/>
      <c r="E459" s="36"/>
      <c r="F459" s="36"/>
      <c r="G459" s="36" t="str">
        <f t="shared" si="6"/>
        <v/>
      </c>
      <c r="H459" s="37"/>
    </row>
    <row r="460">
      <c r="A460" s="37"/>
      <c r="B460" s="37"/>
      <c r="C460" s="37"/>
      <c r="D460" s="37"/>
      <c r="E460" s="36"/>
      <c r="F460" s="36"/>
      <c r="G460" s="36" t="str">
        <f t="shared" si="6"/>
        <v/>
      </c>
      <c r="H460" s="37"/>
    </row>
    <row r="461">
      <c r="A461" s="37"/>
      <c r="B461" s="37"/>
      <c r="C461" s="37"/>
      <c r="D461" s="37"/>
      <c r="E461" s="36"/>
      <c r="F461" s="36"/>
      <c r="G461" s="36" t="str">
        <f t="shared" si="6"/>
        <v/>
      </c>
      <c r="H461" s="37"/>
    </row>
    <row r="462">
      <c r="A462" s="37"/>
      <c r="B462" s="37"/>
      <c r="C462" s="37"/>
      <c r="D462" s="37"/>
      <c r="E462" s="36"/>
      <c r="F462" s="36"/>
      <c r="G462" s="36" t="str">
        <f t="shared" si="6"/>
        <v/>
      </c>
      <c r="H462" s="37"/>
    </row>
    <row r="463">
      <c r="A463" s="37"/>
      <c r="B463" s="37"/>
      <c r="C463" s="37"/>
      <c r="D463" s="37"/>
      <c r="E463" s="36"/>
      <c r="F463" s="36"/>
      <c r="G463" s="36" t="str">
        <f t="shared" si="6"/>
        <v/>
      </c>
      <c r="H463" s="37"/>
    </row>
    <row r="464">
      <c r="A464" s="37"/>
      <c r="B464" s="37"/>
      <c r="C464" s="37"/>
      <c r="D464" s="37"/>
      <c r="E464" s="36"/>
      <c r="F464" s="36"/>
      <c r="G464" s="36" t="str">
        <f t="shared" si="6"/>
        <v/>
      </c>
      <c r="H464" s="37"/>
    </row>
    <row r="465">
      <c r="A465" s="37"/>
      <c r="B465" s="37"/>
      <c r="C465" s="37"/>
      <c r="D465" s="37"/>
      <c r="E465" s="36"/>
      <c r="F465" s="36"/>
      <c r="G465" s="36" t="str">
        <f t="shared" si="6"/>
        <v/>
      </c>
      <c r="H465" s="37"/>
    </row>
    <row r="466">
      <c r="A466" s="37"/>
      <c r="B466" s="37"/>
      <c r="C466" s="37"/>
      <c r="D466" s="37"/>
      <c r="E466" s="36"/>
      <c r="F466" s="36"/>
      <c r="G466" s="36" t="str">
        <f t="shared" si="6"/>
        <v/>
      </c>
      <c r="H466" s="37"/>
    </row>
    <row r="467">
      <c r="A467" s="37"/>
      <c r="B467" s="37"/>
      <c r="C467" s="37"/>
      <c r="D467" s="37"/>
      <c r="E467" s="36"/>
      <c r="F467" s="36"/>
      <c r="G467" s="36" t="str">
        <f t="shared" si="6"/>
        <v/>
      </c>
      <c r="H467" s="37"/>
    </row>
    <row r="468">
      <c r="A468" s="37"/>
      <c r="B468" s="37"/>
      <c r="C468" s="37"/>
      <c r="D468" s="37"/>
      <c r="E468" s="36"/>
      <c r="F468" s="36"/>
      <c r="G468" s="36" t="str">
        <f t="shared" si="6"/>
        <v/>
      </c>
      <c r="H468" s="37"/>
    </row>
    <row r="469">
      <c r="A469" s="37"/>
      <c r="B469" s="37"/>
      <c r="C469" s="37"/>
      <c r="D469" s="37"/>
      <c r="E469" s="36"/>
      <c r="F469" s="36"/>
      <c r="G469" s="36" t="str">
        <f t="shared" si="6"/>
        <v/>
      </c>
      <c r="H469" s="37"/>
    </row>
    <row r="470">
      <c r="A470" s="37"/>
      <c r="B470" s="37"/>
      <c r="C470" s="37"/>
      <c r="D470" s="37"/>
      <c r="E470" s="36"/>
      <c r="F470" s="36"/>
      <c r="G470" s="36" t="str">
        <f t="shared" si="6"/>
        <v/>
      </c>
      <c r="H470" s="37"/>
    </row>
    <row r="471">
      <c r="A471" s="37"/>
      <c r="B471" s="37"/>
      <c r="C471" s="37"/>
      <c r="D471" s="37"/>
      <c r="E471" s="36"/>
      <c r="F471" s="36"/>
      <c r="G471" s="36" t="str">
        <f t="shared" si="6"/>
        <v/>
      </c>
      <c r="H471" s="37"/>
    </row>
    <row r="472">
      <c r="A472" s="37"/>
      <c r="B472" s="37"/>
      <c r="C472" s="37"/>
      <c r="D472" s="37"/>
      <c r="E472" s="36"/>
      <c r="F472" s="36"/>
      <c r="G472" s="36" t="str">
        <f t="shared" si="6"/>
        <v/>
      </c>
      <c r="H472" s="37"/>
    </row>
    <row r="473">
      <c r="A473" s="37"/>
      <c r="B473" s="37"/>
      <c r="C473" s="37"/>
      <c r="D473" s="37"/>
      <c r="E473" s="36"/>
      <c r="F473" s="36"/>
      <c r="G473" s="36" t="str">
        <f t="shared" si="6"/>
        <v/>
      </c>
      <c r="H473" s="37"/>
    </row>
    <row r="474">
      <c r="A474" s="37"/>
      <c r="B474" s="37"/>
      <c r="C474" s="37"/>
      <c r="D474" s="37"/>
      <c r="E474" s="36"/>
      <c r="F474" s="36"/>
      <c r="G474" s="36" t="str">
        <f t="shared" si="6"/>
        <v/>
      </c>
      <c r="H474" s="37"/>
    </row>
    <row r="475">
      <c r="A475" s="37"/>
      <c r="B475" s="37"/>
      <c r="C475" s="37"/>
      <c r="D475" s="37"/>
      <c r="E475" s="36"/>
      <c r="F475" s="36"/>
      <c r="G475" s="36" t="str">
        <f t="shared" si="6"/>
        <v/>
      </c>
      <c r="H475" s="37"/>
    </row>
    <row r="476">
      <c r="A476" s="37"/>
      <c r="B476" s="37"/>
      <c r="C476" s="37"/>
      <c r="D476" s="37"/>
      <c r="E476" s="36"/>
      <c r="F476" s="36"/>
      <c r="G476" s="36" t="str">
        <f t="shared" si="6"/>
        <v/>
      </c>
      <c r="H476" s="37"/>
    </row>
    <row r="477">
      <c r="A477" s="37"/>
      <c r="B477" s="37"/>
      <c r="C477" s="37"/>
      <c r="D477" s="37"/>
      <c r="E477" s="36"/>
      <c r="F477" s="36"/>
      <c r="G477" s="36" t="str">
        <f t="shared" si="6"/>
        <v/>
      </c>
      <c r="H477" s="37"/>
    </row>
    <row r="478">
      <c r="A478" s="37"/>
      <c r="B478" s="37"/>
      <c r="C478" s="37"/>
      <c r="D478" s="37"/>
      <c r="E478" s="36"/>
      <c r="F478" s="36"/>
      <c r="G478" s="36" t="str">
        <f t="shared" si="6"/>
        <v/>
      </c>
      <c r="H478" s="37"/>
    </row>
    <row r="479">
      <c r="A479" s="37"/>
      <c r="B479" s="37"/>
      <c r="C479" s="37"/>
      <c r="D479" s="37"/>
      <c r="E479" s="36"/>
      <c r="F479" s="36"/>
      <c r="G479" s="36" t="str">
        <f t="shared" si="6"/>
        <v/>
      </c>
      <c r="H479" s="37"/>
    </row>
    <row r="480">
      <c r="A480" s="37"/>
      <c r="B480" s="37"/>
      <c r="C480" s="37"/>
      <c r="D480" s="37"/>
      <c r="E480" s="36"/>
      <c r="F480" s="36"/>
      <c r="G480" s="36" t="str">
        <f t="shared" si="6"/>
        <v/>
      </c>
      <c r="H480" s="37"/>
    </row>
    <row r="481">
      <c r="A481" s="37"/>
      <c r="B481" s="37"/>
      <c r="C481" s="37"/>
      <c r="D481" s="37"/>
      <c r="E481" s="36"/>
      <c r="F481" s="36"/>
      <c r="G481" s="36" t="str">
        <f t="shared" si="6"/>
        <v/>
      </c>
      <c r="H481" s="37"/>
    </row>
    <row r="482">
      <c r="A482" s="37"/>
      <c r="B482" s="37"/>
      <c r="C482" s="37"/>
      <c r="D482" s="37"/>
      <c r="E482" s="36"/>
      <c r="F482" s="36"/>
      <c r="G482" s="36" t="str">
        <f t="shared" si="6"/>
        <v/>
      </c>
      <c r="H482" s="37"/>
    </row>
    <row r="483">
      <c r="A483" s="37"/>
      <c r="B483" s="37"/>
      <c r="C483" s="37"/>
      <c r="D483" s="37"/>
      <c r="E483" s="36"/>
      <c r="F483" s="36"/>
      <c r="G483" s="36" t="str">
        <f t="shared" si="6"/>
        <v/>
      </c>
      <c r="H483" s="37"/>
    </row>
    <row r="484">
      <c r="A484" s="37"/>
      <c r="B484" s="37"/>
      <c r="C484" s="37"/>
      <c r="D484" s="37"/>
      <c r="E484" s="36"/>
      <c r="F484" s="36"/>
      <c r="G484" s="36" t="str">
        <f t="shared" si="6"/>
        <v/>
      </c>
      <c r="H484" s="37"/>
    </row>
    <row r="485">
      <c r="A485" s="37"/>
      <c r="B485" s="37"/>
      <c r="C485" s="37"/>
      <c r="D485" s="37"/>
      <c r="E485" s="36"/>
      <c r="F485" s="36"/>
      <c r="G485" s="36" t="str">
        <f t="shared" si="6"/>
        <v/>
      </c>
      <c r="H485" s="37"/>
    </row>
    <row r="486">
      <c r="A486" s="37"/>
      <c r="B486" s="37"/>
      <c r="C486" s="37"/>
      <c r="D486" s="37"/>
      <c r="E486" s="36"/>
      <c r="F486" s="36"/>
      <c r="G486" s="36" t="str">
        <f t="shared" si="6"/>
        <v/>
      </c>
      <c r="H486" s="37"/>
    </row>
    <row r="487">
      <c r="A487" s="37"/>
      <c r="B487" s="37"/>
      <c r="C487" s="37"/>
      <c r="D487" s="37"/>
      <c r="E487" s="36"/>
      <c r="F487" s="36"/>
      <c r="G487" s="36" t="str">
        <f t="shared" si="6"/>
        <v/>
      </c>
      <c r="H487" s="37"/>
    </row>
    <row r="488">
      <c r="A488" s="37"/>
      <c r="B488" s="37"/>
      <c r="C488" s="37"/>
      <c r="D488" s="37"/>
      <c r="E488" s="36"/>
      <c r="F488" s="36"/>
      <c r="G488" s="36" t="str">
        <f t="shared" si="6"/>
        <v/>
      </c>
      <c r="H488" s="37"/>
    </row>
    <row r="489">
      <c r="A489" s="37"/>
      <c r="B489" s="37"/>
      <c r="C489" s="37"/>
      <c r="D489" s="37"/>
      <c r="E489" s="36"/>
      <c r="F489" s="36"/>
      <c r="G489" s="36" t="str">
        <f t="shared" si="6"/>
        <v/>
      </c>
      <c r="H489" s="37"/>
    </row>
    <row r="490">
      <c r="A490" s="37"/>
      <c r="B490" s="37"/>
      <c r="C490" s="37"/>
      <c r="D490" s="37"/>
      <c r="E490" s="36"/>
      <c r="F490" s="36"/>
      <c r="G490" s="36" t="str">
        <f t="shared" si="6"/>
        <v/>
      </c>
      <c r="H490" s="37"/>
    </row>
    <row r="491">
      <c r="A491" s="37"/>
      <c r="B491" s="37"/>
      <c r="C491" s="37"/>
      <c r="D491" s="37"/>
      <c r="E491" s="36"/>
      <c r="F491" s="36"/>
      <c r="G491" s="36" t="str">
        <f t="shared" si="6"/>
        <v/>
      </c>
      <c r="H491" s="37"/>
    </row>
    <row r="492">
      <c r="A492" s="37"/>
      <c r="B492" s="37"/>
      <c r="C492" s="37"/>
      <c r="D492" s="37"/>
      <c r="E492" s="36"/>
      <c r="F492" s="36"/>
      <c r="G492" s="36" t="str">
        <f t="shared" si="6"/>
        <v/>
      </c>
      <c r="H492" s="37"/>
    </row>
    <row r="493">
      <c r="A493" s="37"/>
      <c r="B493" s="37"/>
      <c r="C493" s="37"/>
      <c r="D493" s="37"/>
      <c r="E493" s="36"/>
      <c r="F493" s="36"/>
      <c r="G493" s="36" t="str">
        <f t="shared" si="6"/>
        <v/>
      </c>
      <c r="H493" s="37"/>
    </row>
    <row r="494">
      <c r="A494" s="37"/>
      <c r="B494" s="37"/>
      <c r="C494" s="37"/>
      <c r="D494" s="37"/>
      <c r="E494" s="36"/>
      <c r="F494" s="36"/>
      <c r="G494" s="36" t="str">
        <f t="shared" si="6"/>
        <v/>
      </c>
      <c r="H494" s="37"/>
    </row>
    <row r="495">
      <c r="A495" s="37"/>
      <c r="B495" s="37"/>
      <c r="C495" s="37"/>
      <c r="D495" s="37"/>
      <c r="E495" s="36"/>
      <c r="F495" s="36"/>
      <c r="G495" s="36" t="str">
        <f t="shared" si="6"/>
        <v/>
      </c>
      <c r="H495" s="37"/>
    </row>
    <row r="496">
      <c r="A496" s="37"/>
      <c r="B496" s="37"/>
      <c r="C496" s="37"/>
      <c r="D496" s="37"/>
      <c r="E496" s="36"/>
      <c r="F496" s="36"/>
      <c r="G496" s="36" t="str">
        <f t="shared" si="6"/>
        <v/>
      </c>
      <c r="H496" s="37"/>
    </row>
    <row r="497">
      <c r="A497" s="37"/>
      <c r="B497" s="37"/>
      <c r="C497" s="37"/>
      <c r="D497" s="37"/>
      <c r="E497" s="36"/>
      <c r="F497" s="36"/>
      <c r="G497" s="36" t="str">
        <f t="shared" si="6"/>
        <v/>
      </c>
      <c r="H497" s="37"/>
    </row>
    <row r="498">
      <c r="A498" s="37"/>
      <c r="B498" s="37"/>
      <c r="C498" s="37"/>
      <c r="D498" s="37"/>
      <c r="E498" s="36"/>
      <c r="F498" s="36"/>
      <c r="G498" s="36" t="str">
        <f t="shared" si="6"/>
        <v/>
      </c>
      <c r="H498" s="37"/>
    </row>
    <row r="499">
      <c r="A499" s="37"/>
      <c r="B499" s="37"/>
      <c r="C499" s="37"/>
      <c r="D499" s="37"/>
      <c r="E499" s="36"/>
      <c r="F499" s="36"/>
      <c r="G499" s="36" t="str">
        <f t="shared" si="6"/>
        <v/>
      </c>
      <c r="H499" s="37"/>
    </row>
    <row r="500">
      <c r="A500" s="37"/>
      <c r="B500" s="37"/>
      <c r="C500" s="37"/>
      <c r="D500" s="37"/>
      <c r="E500" s="36"/>
      <c r="F500" s="36"/>
      <c r="G500" s="36" t="str">
        <f t="shared" si="6"/>
        <v/>
      </c>
      <c r="H500" s="37"/>
    </row>
    <row r="501">
      <c r="A501" s="37"/>
      <c r="B501" s="37"/>
      <c r="C501" s="37"/>
      <c r="D501" s="37"/>
      <c r="E501" s="36"/>
      <c r="F501" s="36"/>
      <c r="G501" s="36" t="str">
        <f t="shared" si="6"/>
        <v/>
      </c>
      <c r="H501" s="37"/>
    </row>
    <row r="502">
      <c r="A502" s="37"/>
      <c r="B502" s="37"/>
      <c r="C502" s="37"/>
      <c r="D502" s="37"/>
      <c r="E502" s="36"/>
      <c r="F502" s="36"/>
      <c r="G502" s="36" t="str">
        <f t="shared" si="6"/>
        <v/>
      </c>
      <c r="H502" s="37"/>
    </row>
    <row r="503">
      <c r="A503" s="37"/>
      <c r="B503" s="37"/>
      <c r="C503" s="37"/>
      <c r="D503" s="37"/>
      <c r="E503" s="36"/>
      <c r="F503" s="36"/>
      <c r="G503" s="36" t="str">
        <f t="shared" si="6"/>
        <v/>
      </c>
      <c r="H503" s="37"/>
    </row>
    <row r="504">
      <c r="A504" s="37"/>
      <c r="B504" s="37"/>
      <c r="C504" s="37"/>
      <c r="D504" s="37"/>
      <c r="E504" s="36"/>
      <c r="F504" s="36"/>
      <c r="G504" s="36" t="str">
        <f t="shared" si="6"/>
        <v/>
      </c>
      <c r="H504" s="37"/>
    </row>
    <row r="505">
      <c r="E505" s="6"/>
      <c r="F505" s="6"/>
      <c r="G505" s="6"/>
    </row>
    <row r="506">
      <c r="A506" s="25" t="s">
        <v>1018</v>
      </c>
      <c r="B506" s="64"/>
      <c r="C506" s="64"/>
      <c r="D506" s="64"/>
      <c r="E506" s="59">
        <f t="shared" ref="E506:G506" si="7">SUM(E21:E504)</f>
        <v>1507837.21</v>
      </c>
      <c r="F506" s="59">
        <f t="shared" si="7"/>
        <v>0</v>
      </c>
      <c r="G506" s="59">
        <f t="shared" si="7"/>
        <v>1507837.21</v>
      </c>
      <c r="H506" s="64"/>
    </row>
  </sheetData>
  <mergeCells count="3">
    <mergeCell ref="A1:H1"/>
    <mergeCell ref="A3:D3"/>
    <mergeCell ref="A19:H19"/>
  </mergeCells>
  <dataValidations>
    <dataValidation type="list" allowBlank="1" sqref="C20:C502">
      <formula1>Settings!$E$15:$E$38</formula1>
    </dataValidation>
    <dataValidation type="list" allowBlank="1" sqref="D20:D502">
      <formula1>Settings!$C$15:$C$30</formula1>
    </dataValidation>
    <dataValidation type="list" allowBlank="1" sqref="D503:D504">
      <formula1>Settings!$C$15:$C$31</formula1>
    </dataValidation>
    <dataValidation type="list" allowBlank="1" sqref="C503:C504">
      <formula1>Settings!$E$15:$E$36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2180</v>
      </c>
    </row>
    <row r="3">
      <c r="A3" s="33" t="s">
        <v>95</v>
      </c>
      <c r="B3" s="33" t="s">
        <v>23</v>
      </c>
      <c r="C3" s="33" t="s">
        <v>24</v>
      </c>
      <c r="D3" s="33" t="s">
        <v>25</v>
      </c>
      <c r="E3" s="33" t="s">
        <v>26</v>
      </c>
      <c r="F3" s="33" t="s">
        <v>27</v>
      </c>
      <c r="G3" s="33" t="s">
        <v>96</v>
      </c>
    </row>
    <row r="4">
      <c r="A4" s="34" t="s">
        <v>72</v>
      </c>
      <c r="B4" s="35">
        <v>940747.84</v>
      </c>
      <c r="C4" s="66">
        <v>499753.85</v>
      </c>
      <c r="D4" s="66">
        <v>2472.57</v>
      </c>
      <c r="E4" s="66">
        <v>1120348.41</v>
      </c>
      <c r="F4" s="36">
        <f t="shared" ref="F4:F7" si="1">B4+C4-D4-E4</f>
        <v>317680.71</v>
      </c>
      <c r="G4" s="37"/>
    </row>
    <row r="5">
      <c r="A5" s="34" t="s">
        <v>74</v>
      </c>
      <c r="B5" s="35">
        <v>625593.4</v>
      </c>
      <c r="C5" s="66">
        <v>75000.0</v>
      </c>
      <c r="D5" s="66">
        <v>0.0</v>
      </c>
      <c r="E5" s="66">
        <v>0.0</v>
      </c>
      <c r="F5" s="36">
        <f t="shared" si="1"/>
        <v>700593.4</v>
      </c>
      <c r="G5" s="37"/>
    </row>
    <row r="6">
      <c r="A6" s="34" t="s">
        <v>76</v>
      </c>
      <c r="B6" s="35">
        <v>122846.55000000005</v>
      </c>
      <c r="C6" s="66">
        <v>432946.48</v>
      </c>
      <c r="D6" s="66">
        <v>345.0</v>
      </c>
      <c r="E6" s="104"/>
      <c r="F6" s="36">
        <f t="shared" si="1"/>
        <v>555448.03</v>
      </c>
      <c r="G6" s="37"/>
    </row>
    <row r="7">
      <c r="A7" s="34" t="s">
        <v>97</v>
      </c>
      <c r="B7" s="35">
        <v>30059.62999999989</v>
      </c>
      <c r="C7" s="66">
        <v>989452.17</v>
      </c>
      <c r="D7" s="66">
        <v>126.5</v>
      </c>
      <c r="E7" s="66">
        <v>722221.18</v>
      </c>
      <c r="F7" s="36">
        <f t="shared" si="1"/>
        <v>297164.12</v>
      </c>
      <c r="G7" s="37"/>
    </row>
    <row r="8">
      <c r="A8" s="37"/>
      <c r="B8" s="36"/>
      <c r="C8" s="36"/>
      <c r="D8" s="36"/>
      <c r="E8" s="36"/>
      <c r="F8" s="36"/>
      <c r="G8" s="37"/>
    </row>
    <row r="9">
      <c r="A9" s="38" t="s">
        <v>98</v>
      </c>
      <c r="B9" s="39">
        <f t="shared" ref="B9:F9" si="2">SUM(B4:B7)</f>
        <v>1719247.42</v>
      </c>
      <c r="C9" s="39">
        <f t="shared" si="2"/>
        <v>1997152.5</v>
      </c>
      <c r="D9" s="39">
        <f t="shared" si="2"/>
        <v>2944.07</v>
      </c>
      <c r="E9" s="39">
        <f t="shared" si="2"/>
        <v>1842569.59</v>
      </c>
      <c r="F9" s="39">
        <f t="shared" si="2"/>
        <v>1870886.26</v>
      </c>
      <c r="G9" s="40"/>
    </row>
    <row r="10">
      <c r="B10" s="6"/>
      <c r="C10" s="6"/>
      <c r="D10" s="6"/>
      <c r="E10" s="6"/>
      <c r="F10" s="6"/>
    </row>
    <row r="11">
      <c r="A11" s="28" t="s">
        <v>99</v>
      </c>
    </row>
    <row r="12">
      <c r="A12" s="41" t="s">
        <v>95</v>
      </c>
      <c r="B12" s="42" t="s">
        <v>100</v>
      </c>
      <c r="C12" s="42" t="s">
        <v>101</v>
      </c>
      <c r="D12" s="42" t="s">
        <v>102</v>
      </c>
      <c r="E12" s="42" t="s">
        <v>103</v>
      </c>
      <c r="F12" s="42" t="s">
        <v>104</v>
      </c>
      <c r="G12" s="41" t="s">
        <v>96</v>
      </c>
    </row>
    <row r="13">
      <c r="A13" s="34" t="s">
        <v>78</v>
      </c>
      <c r="B13" s="35">
        <v>914.6399999999558</v>
      </c>
      <c r="C13" s="66">
        <v>92000.0</v>
      </c>
      <c r="D13" s="66">
        <v>74.73</v>
      </c>
      <c r="E13" s="66">
        <v>91728.63</v>
      </c>
      <c r="F13" s="36">
        <f>B13+C13-D13-E13</f>
        <v>1111.28</v>
      </c>
      <c r="G13" s="37"/>
    </row>
    <row r="14">
      <c r="A14" s="37"/>
      <c r="B14" s="36"/>
      <c r="C14" s="36"/>
      <c r="D14" s="36"/>
      <c r="E14" s="36"/>
      <c r="F14" s="36"/>
      <c r="G14" s="37"/>
    </row>
    <row r="15">
      <c r="A15" s="38" t="s">
        <v>105</v>
      </c>
      <c r="B15" s="39">
        <f t="shared" ref="B15:F15" si="3">SUM(B13)</f>
        <v>914.64</v>
      </c>
      <c r="C15" s="39">
        <f t="shared" si="3"/>
        <v>92000</v>
      </c>
      <c r="D15" s="39">
        <f t="shared" si="3"/>
        <v>74.73</v>
      </c>
      <c r="E15" s="39">
        <f t="shared" si="3"/>
        <v>91728.63</v>
      </c>
      <c r="F15" s="39">
        <f t="shared" si="3"/>
        <v>1111.28</v>
      </c>
      <c r="G15" s="40"/>
    </row>
    <row r="16">
      <c r="B16" s="6"/>
      <c r="C16" s="6"/>
      <c r="D16" s="6"/>
      <c r="E16" s="6"/>
      <c r="F16" s="6"/>
    </row>
    <row r="17">
      <c r="A17" s="43" t="s">
        <v>106</v>
      </c>
      <c r="B17" s="44">
        <f t="shared" ref="B17:F17" si="4">B9+B15*3.75</f>
        <v>1722677.32</v>
      </c>
      <c r="C17" s="44">
        <f t="shared" si="4"/>
        <v>2342152.5</v>
      </c>
      <c r="D17" s="44">
        <f t="shared" si="4"/>
        <v>3224.3075</v>
      </c>
      <c r="E17" s="44">
        <f t="shared" si="4"/>
        <v>2186551.953</v>
      </c>
      <c r="F17" s="44">
        <f t="shared" si="4"/>
        <v>1875053.56</v>
      </c>
      <c r="G17" s="45"/>
    </row>
    <row r="19">
      <c r="A19" s="46" t="s">
        <v>107</v>
      </c>
      <c r="B19" s="47"/>
      <c r="C19" s="48"/>
    </row>
    <row r="20">
      <c r="A20" s="34" t="s">
        <v>108</v>
      </c>
      <c r="B20" s="37"/>
      <c r="C20" s="49">
        <f>F17</f>
        <v>1875053.56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4" width="18.88"/>
    <col customWidth="1" min="5" max="7" width="15.13"/>
  </cols>
  <sheetData>
    <row r="1">
      <c r="A1" s="22" t="s">
        <v>2181</v>
      </c>
    </row>
    <row r="3">
      <c r="A3" s="50" t="s">
        <v>110</v>
      </c>
      <c r="B3" s="51">
        <f>'Advances_MAR-2025'!E3</f>
        <v>491564.28</v>
      </c>
      <c r="D3" s="50" t="s">
        <v>111</v>
      </c>
      <c r="E3" s="52">
        <f>164800.84+SUM(E7:E101)</f>
        <v>541048.28</v>
      </c>
    </row>
    <row r="5">
      <c r="A5" s="7" t="s">
        <v>112</v>
      </c>
    </row>
    <row r="6">
      <c r="A6" s="41" t="s">
        <v>113</v>
      </c>
      <c r="B6" s="41" t="s">
        <v>114</v>
      </c>
      <c r="C6" s="41" t="s">
        <v>115</v>
      </c>
      <c r="D6" s="41" t="s">
        <v>116</v>
      </c>
      <c r="E6" s="41" t="s">
        <v>117</v>
      </c>
      <c r="F6" s="41" t="s">
        <v>118</v>
      </c>
      <c r="G6" s="41" t="s">
        <v>119</v>
      </c>
    </row>
    <row r="7">
      <c r="A7" s="69">
        <v>45447.0</v>
      </c>
      <c r="B7" s="60" t="s">
        <v>1679</v>
      </c>
      <c r="C7" s="60" t="s">
        <v>1680</v>
      </c>
      <c r="D7" s="37"/>
      <c r="E7" s="68">
        <v>3000.0</v>
      </c>
      <c r="F7" s="36"/>
      <c r="G7" s="36">
        <f>IF(E7="","",B$3+IF(H7="C/F",0,E7)-F7)</f>
        <v>491564.28</v>
      </c>
      <c r="H7" s="5" t="str">
        <f>IF(B7="","",IF(IFERROR(MATCH(B7,'Advances_MAR-2025'!B:B,0),0)&gt;0,"C/F","NEW"))</f>
        <v>C/F</v>
      </c>
    </row>
    <row r="8">
      <c r="A8" s="60" t="s">
        <v>1022</v>
      </c>
      <c r="B8" s="60" t="s">
        <v>1681</v>
      </c>
      <c r="C8" s="60" t="s">
        <v>1682</v>
      </c>
      <c r="D8" s="37"/>
      <c r="E8" s="68">
        <v>8625.0</v>
      </c>
      <c r="F8" s="36"/>
      <c r="G8" s="36">
        <f t="shared" ref="G8:G100" si="1">IF(E8="","",G7+IF(H8="C/F",0,E8)-F8)</f>
        <v>491564.28</v>
      </c>
      <c r="H8" s="5" t="str">
        <f>IF(B8="","",IF(IFERROR(MATCH(B8,'Advances_MAR-2025'!B:B,0),0)&gt;0,"C/F","NEW"))</f>
        <v>C/F</v>
      </c>
    </row>
    <row r="9">
      <c r="A9" s="60" t="s">
        <v>1022</v>
      </c>
      <c r="B9" s="60" t="s">
        <v>1023</v>
      </c>
      <c r="C9" s="60" t="s">
        <v>1024</v>
      </c>
      <c r="D9" s="37"/>
      <c r="E9" s="68">
        <v>1500.0</v>
      </c>
      <c r="F9" s="36"/>
      <c r="G9" s="36">
        <f t="shared" si="1"/>
        <v>491564.28</v>
      </c>
      <c r="H9" s="5" t="str">
        <f>IF(B9="","",IF(IFERROR(MATCH(B9,'Advances_MAR-2025'!B:B,0),0)&gt;0,"C/F","NEW"))</f>
        <v>C/F</v>
      </c>
    </row>
    <row r="10">
      <c r="A10" s="60" t="s">
        <v>1683</v>
      </c>
      <c r="B10" s="60" t="s">
        <v>1684</v>
      </c>
      <c r="C10" s="60" t="s">
        <v>1685</v>
      </c>
      <c r="D10" s="37"/>
      <c r="E10" s="68">
        <v>20.0</v>
      </c>
      <c r="F10" s="36"/>
      <c r="G10" s="36">
        <f t="shared" si="1"/>
        <v>491564.28</v>
      </c>
      <c r="H10" s="5" t="str">
        <f>IF(B10="","",IF(IFERROR(MATCH(B10,'Advances_MAR-2025'!B:B,0),0)&gt;0,"C/F","NEW"))</f>
        <v>C/F</v>
      </c>
    </row>
    <row r="11">
      <c r="A11" s="60" t="s">
        <v>1025</v>
      </c>
      <c r="B11" s="60" t="s">
        <v>1026</v>
      </c>
      <c r="C11" s="60" t="s">
        <v>1027</v>
      </c>
      <c r="D11" s="37"/>
      <c r="E11" s="68">
        <v>350.0</v>
      </c>
      <c r="F11" s="36"/>
      <c r="G11" s="36">
        <f t="shared" si="1"/>
        <v>491564.28</v>
      </c>
      <c r="H11" s="5" t="str">
        <f>IF(B11="","",IF(IFERROR(MATCH(B11,'Advances_MAR-2025'!B:B,0),0)&gt;0,"C/F","NEW"))</f>
        <v>C/F</v>
      </c>
    </row>
    <row r="12">
      <c r="A12" s="60" t="s">
        <v>1025</v>
      </c>
      <c r="B12" s="60" t="s">
        <v>1026</v>
      </c>
      <c r="C12" s="60" t="s">
        <v>1028</v>
      </c>
      <c r="D12" s="37"/>
      <c r="E12" s="68">
        <v>143.48</v>
      </c>
      <c r="F12" s="36"/>
      <c r="G12" s="36">
        <f t="shared" si="1"/>
        <v>491564.28</v>
      </c>
      <c r="H12" s="5" t="str">
        <f>IF(B12="","",IF(IFERROR(MATCH(B12,'Advances_MAR-2025'!B:B,0),0)&gt;0,"C/F","NEW"))</f>
        <v>C/F</v>
      </c>
    </row>
    <row r="13">
      <c r="A13" s="60" t="s">
        <v>1025</v>
      </c>
      <c r="B13" s="60" t="s">
        <v>1026</v>
      </c>
      <c r="C13" s="60" t="s">
        <v>1028</v>
      </c>
      <c r="D13" s="37"/>
      <c r="E13" s="68">
        <v>600.0</v>
      </c>
      <c r="F13" s="36"/>
      <c r="G13" s="36">
        <f t="shared" si="1"/>
        <v>491564.28</v>
      </c>
      <c r="H13" s="5" t="str">
        <f>IF(B13="","",IF(IFERROR(MATCH(B13,'Advances_MAR-2025'!B:B,0),0)&gt;0,"C/F","NEW"))</f>
        <v>C/F</v>
      </c>
    </row>
    <row r="14">
      <c r="A14" s="69">
        <v>45602.0</v>
      </c>
      <c r="B14" s="60" t="s">
        <v>1686</v>
      </c>
      <c r="C14" s="60" t="s">
        <v>1687</v>
      </c>
      <c r="D14" s="37"/>
      <c r="E14" s="68">
        <v>15.0</v>
      </c>
      <c r="F14" s="36"/>
      <c r="G14" s="36">
        <f t="shared" si="1"/>
        <v>491564.28</v>
      </c>
      <c r="H14" s="5" t="str">
        <f>IF(B14="","",IF(IFERROR(MATCH(B14,'Advances_MAR-2025'!B:B,0),0)&gt;0,"C/F","NEW"))</f>
        <v>C/F</v>
      </c>
    </row>
    <row r="15">
      <c r="A15" s="60" t="s">
        <v>1029</v>
      </c>
      <c r="B15" s="60" t="s">
        <v>1688</v>
      </c>
      <c r="C15" s="60" t="s">
        <v>1689</v>
      </c>
      <c r="D15" s="37"/>
      <c r="E15" s="68">
        <v>2730.0</v>
      </c>
      <c r="F15" s="36"/>
      <c r="G15" s="36">
        <f t="shared" si="1"/>
        <v>491564.28</v>
      </c>
      <c r="H15" s="5" t="str">
        <f>IF(B15="","",IF(IFERROR(MATCH(B15,'Advances_MAR-2025'!B:B,0),0)&gt;0,"C/F","NEW"))</f>
        <v>C/F</v>
      </c>
    </row>
    <row r="16">
      <c r="A16" s="60" t="s">
        <v>1029</v>
      </c>
      <c r="B16" s="60" t="s">
        <v>1030</v>
      </c>
      <c r="C16" s="60" t="s">
        <v>1031</v>
      </c>
      <c r="D16" s="37"/>
      <c r="E16" s="68">
        <v>34000.0</v>
      </c>
      <c r="F16" s="36"/>
      <c r="G16" s="36">
        <f t="shared" si="1"/>
        <v>491564.28</v>
      </c>
      <c r="H16" s="5" t="str">
        <f>IF(B16="","",IF(IFERROR(MATCH(B16,'Advances_MAR-2025'!B:B,0),0)&gt;0,"C/F","NEW"))</f>
        <v>C/F</v>
      </c>
    </row>
    <row r="17">
      <c r="A17" s="60" t="s">
        <v>1032</v>
      </c>
      <c r="B17" s="60" t="s">
        <v>1033</v>
      </c>
      <c r="C17" s="60" t="s">
        <v>1034</v>
      </c>
      <c r="D17" s="37"/>
      <c r="E17" s="68">
        <v>500.0</v>
      </c>
      <c r="F17" s="36"/>
      <c r="G17" s="36">
        <f t="shared" si="1"/>
        <v>491564.28</v>
      </c>
      <c r="H17" s="5" t="str">
        <f>IF(B17="","",IF(IFERROR(MATCH(B17,'Advances_MAR-2025'!B:B,0),0)&gt;0,"C/F","NEW"))</f>
        <v>C/F</v>
      </c>
    </row>
    <row r="18">
      <c r="A18" s="69">
        <v>45298.0</v>
      </c>
      <c r="B18" s="60" t="s">
        <v>1035</v>
      </c>
      <c r="C18" s="60" t="s">
        <v>1036</v>
      </c>
      <c r="D18" s="37"/>
      <c r="E18" s="68">
        <v>4000.0</v>
      </c>
      <c r="F18" s="36"/>
      <c r="G18" s="36">
        <f t="shared" si="1"/>
        <v>491564.28</v>
      </c>
      <c r="H18" s="5" t="str">
        <f>IF(B18="","",IF(IFERROR(MATCH(B18,'Advances_MAR-2025'!B:B,0),0)&gt;0,"C/F","NEW"))</f>
        <v>C/F</v>
      </c>
    </row>
    <row r="19">
      <c r="A19" s="69">
        <v>45358.0</v>
      </c>
      <c r="B19" s="60" t="s">
        <v>1690</v>
      </c>
      <c r="C19" s="60" t="s">
        <v>1691</v>
      </c>
      <c r="D19" s="37"/>
      <c r="E19" s="68">
        <v>2000.0</v>
      </c>
      <c r="F19" s="36"/>
      <c r="G19" s="36">
        <f t="shared" si="1"/>
        <v>491564.28</v>
      </c>
      <c r="H19" s="5" t="str">
        <f>IF(B19="","",IF(IFERROR(MATCH(B19,'Advances_MAR-2025'!B:B,0),0)&gt;0,"C/F","NEW"))</f>
        <v>C/F</v>
      </c>
    </row>
    <row r="20">
      <c r="A20" s="69">
        <v>45450.0</v>
      </c>
      <c r="B20" s="60" t="s">
        <v>1037</v>
      </c>
      <c r="C20" s="60" t="s">
        <v>1038</v>
      </c>
      <c r="D20" s="37"/>
      <c r="E20" s="68">
        <v>2790.0</v>
      </c>
      <c r="F20" s="36"/>
      <c r="G20" s="36">
        <f t="shared" si="1"/>
        <v>491564.28</v>
      </c>
      <c r="H20" s="5" t="str">
        <f>IF(B20="","",IF(IFERROR(MATCH(B20,'Advances_MAR-2025'!B:B,0),0)&gt;0,"C/F","NEW"))</f>
        <v>C/F</v>
      </c>
    </row>
    <row r="21">
      <c r="A21" s="69">
        <v>45603.0</v>
      </c>
      <c r="B21" s="60" t="s">
        <v>1692</v>
      </c>
      <c r="C21" s="60" t="s">
        <v>1693</v>
      </c>
      <c r="D21" s="37"/>
      <c r="E21" s="68">
        <v>50.0</v>
      </c>
      <c r="F21" s="36"/>
      <c r="G21" s="36">
        <f t="shared" si="1"/>
        <v>491564.28</v>
      </c>
      <c r="H21" s="5" t="str">
        <f>IF(B21="","",IF(IFERROR(MATCH(B21,'Advances_MAR-2025'!B:B,0),0)&gt;0,"C/F","NEW"))</f>
        <v>C/F</v>
      </c>
    </row>
    <row r="22">
      <c r="A22" s="60" t="s">
        <v>1694</v>
      </c>
      <c r="B22" s="60" t="s">
        <v>1695</v>
      </c>
      <c r="C22" s="60" t="s">
        <v>1696</v>
      </c>
      <c r="D22" s="37"/>
      <c r="E22" s="68">
        <v>113.0</v>
      </c>
      <c r="F22" s="36"/>
      <c r="G22" s="36">
        <f t="shared" si="1"/>
        <v>491564.28</v>
      </c>
      <c r="H22" s="5" t="str">
        <f>IF(B22="","",IF(IFERROR(MATCH(B22,'Advances_MAR-2025'!B:B,0),0)&gt;0,"C/F","NEW"))</f>
        <v>C/F</v>
      </c>
    </row>
    <row r="23">
      <c r="A23" s="60" t="s">
        <v>1697</v>
      </c>
      <c r="B23" s="60" t="s">
        <v>1698</v>
      </c>
      <c r="C23" s="60" t="s">
        <v>1699</v>
      </c>
      <c r="D23" s="37"/>
      <c r="E23" s="68">
        <v>100.0</v>
      </c>
      <c r="F23" s="36"/>
      <c r="G23" s="36">
        <f t="shared" si="1"/>
        <v>491564.28</v>
      </c>
      <c r="H23" s="5" t="str">
        <f>IF(B23="","",IF(IFERROR(MATCH(B23,'Advances_MAR-2025'!B:B,0),0)&gt;0,"C/F","NEW"))</f>
        <v>C/F</v>
      </c>
    </row>
    <row r="24">
      <c r="A24" s="69">
        <v>45573.0</v>
      </c>
      <c r="B24" s="60" t="s">
        <v>1700</v>
      </c>
      <c r="C24" s="60" t="s">
        <v>1701</v>
      </c>
      <c r="D24" s="37"/>
      <c r="E24" s="68">
        <v>60.0</v>
      </c>
      <c r="F24" s="36"/>
      <c r="G24" s="36">
        <f t="shared" si="1"/>
        <v>491564.28</v>
      </c>
      <c r="H24" s="5" t="str">
        <f>IF(B24="","",IF(IFERROR(MATCH(B24,'Advances_MAR-2025'!B:B,0),0)&gt;0,"C/F","NEW"))</f>
        <v>C/F</v>
      </c>
    </row>
    <row r="25">
      <c r="A25" s="60" t="s">
        <v>1039</v>
      </c>
      <c r="B25" s="60" t="s">
        <v>1040</v>
      </c>
      <c r="C25" s="60" t="s">
        <v>1041</v>
      </c>
      <c r="D25" s="37"/>
      <c r="E25" s="68">
        <v>74656.7</v>
      </c>
      <c r="F25" s="36"/>
      <c r="G25" s="36">
        <f t="shared" si="1"/>
        <v>491564.28</v>
      </c>
      <c r="H25" s="5" t="str">
        <f>IF(B25="","",IF(IFERROR(MATCH(B25,'Advances_MAR-2025'!B:B,0),0)&gt;0,"C/F","NEW"))</f>
        <v>C/F</v>
      </c>
    </row>
    <row r="26">
      <c r="A26" s="60" t="s">
        <v>1039</v>
      </c>
      <c r="B26" s="60" t="s">
        <v>1042</v>
      </c>
      <c r="C26" s="60" t="s">
        <v>1043</v>
      </c>
      <c r="D26" s="37"/>
      <c r="E26" s="68">
        <v>25655.23</v>
      </c>
      <c r="F26" s="36"/>
      <c r="G26" s="36">
        <f t="shared" si="1"/>
        <v>491564.28</v>
      </c>
      <c r="H26" s="5" t="str">
        <f>IF(B26="","",IF(IFERROR(MATCH(B26,'Advances_MAR-2025'!B:B,0),0)&gt;0,"C/F","NEW"))</f>
        <v>C/F</v>
      </c>
    </row>
    <row r="27">
      <c r="A27" s="60" t="s">
        <v>1044</v>
      </c>
      <c r="B27" s="60" t="s">
        <v>1045</v>
      </c>
      <c r="C27" s="60" t="s">
        <v>1046</v>
      </c>
      <c r="D27" s="37"/>
      <c r="E27" s="68">
        <v>5000.0</v>
      </c>
      <c r="F27" s="36"/>
      <c r="G27" s="36">
        <f t="shared" si="1"/>
        <v>491564.28</v>
      </c>
      <c r="H27" s="5" t="str">
        <f>IF(B27="","",IF(IFERROR(MATCH(B27,'Advances_MAR-2025'!B:B,0),0)&gt;0,"C/F","NEW"))</f>
        <v>C/F</v>
      </c>
    </row>
    <row r="28">
      <c r="A28" s="87">
        <v>45326.0</v>
      </c>
      <c r="B28" s="82" t="s">
        <v>1705</v>
      </c>
      <c r="C28" s="82" t="s">
        <v>1706</v>
      </c>
      <c r="D28" s="37"/>
      <c r="E28" s="88">
        <v>30.0</v>
      </c>
      <c r="F28" s="36"/>
      <c r="G28" s="36">
        <f t="shared" si="1"/>
        <v>491564.28</v>
      </c>
      <c r="H28" s="5" t="str">
        <f>IF(B28="","",IF(IFERROR(MATCH(B28,'Advances_MAR-2025'!B:B,0),0)&gt;0,"C/F","NEW"))</f>
        <v>C/F</v>
      </c>
    </row>
    <row r="29">
      <c r="A29" s="69">
        <v>45605.0</v>
      </c>
      <c r="B29" s="60" t="s">
        <v>1707</v>
      </c>
      <c r="C29" s="60" t="s">
        <v>1708</v>
      </c>
      <c r="D29" s="37"/>
      <c r="E29" s="68">
        <v>613.5</v>
      </c>
      <c r="F29" s="36"/>
      <c r="G29" s="36">
        <f t="shared" si="1"/>
        <v>491564.28</v>
      </c>
      <c r="H29" s="5" t="str">
        <f>IF(B29="","",IF(IFERROR(MATCH(B29,'Advances_MAR-2025'!B:B,0),0)&gt;0,"C/F","NEW"))</f>
        <v>C/F</v>
      </c>
    </row>
    <row r="30">
      <c r="A30" s="60" t="s">
        <v>1709</v>
      </c>
      <c r="B30" s="60" t="s">
        <v>1710</v>
      </c>
      <c r="C30" s="60" t="s">
        <v>1711</v>
      </c>
      <c r="D30" s="37"/>
      <c r="E30" s="68">
        <v>113.0</v>
      </c>
      <c r="F30" s="36"/>
      <c r="G30" s="36">
        <f t="shared" si="1"/>
        <v>491564.28</v>
      </c>
      <c r="H30" s="5" t="str">
        <f>IF(B30="","",IF(IFERROR(MATCH(B30,'Advances_MAR-2025'!B:B,0),0)&gt;0,"C/F","NEW"))</f>
        <v>C/F</v>
      </c>
    </row>
    <row r="31">
      <c r="A31" s="60" t="s">
        <v>1709</v>
      </c>
      <c r="B31" s="60" t="s">
        <v>1710</v>
      </c>
      <c r="C31" s="60" t="s">
        <v>1711</v>
      </c>
      <c r="D31" s="37"/>
      <c r="E31" s="68">
        <v>75.0</v>
      </c>
      <c r="F31" s="36"/>
      <c r="G31" s="36">
        <f t="shared" si="1"/>
        <v>491564.28</v>
      </c>
      <c r="H31" s="5" t="str">
        <f>IF(B31="","",IF(IFERROR(MATCH(B31,'Advances_MAR-2025'!B:B,0),0)&gt;0,"C/F","NEW"))</f>
        <v>C/F</v>
      </c>
    </row>
    <row r="32">
      <c r="A32" s="60" t="s">
        <v>1047</v>
      </c>
      <c r="B32" s="60" t="s">
        <v>1048</v>
      </c>
      <c r="C32" s="60" t="s">
        <v>1049</v>
      </c>
      <c r="D32" s="37"/>
      <c r="E32" s="68">
        <v>4650.0</v>
      </c>
      <c r="F32" s="36"/>
      <c r="G32" s="36">
        <f t="shared" si="1"/>
        <v>491564.28</v>
      </c>
      <c r="H32" s="5" t="str">
        <f>IF(B32="","",IF(IFERROR(MATCH(B32,'Advances_MAR-2025'!B:B,0),0)&gt;0,"C/F","NEW"))</f>
        <v>C/F</v>
      </c>
    </row>
    <row r="33">
      <c r="A33" s="60" t="s">
        <v>1050</v>
      </c>
      <c r="B33" s="60" t="s">
        <v>1051</v>
      </c>
      <c r="C33" s="60" t="s">
        <v>1052</v>
      </c>
      <c r="D33" s="37"/>
      <c r="E33" s="68">
        <v>500.0</v>
      </c>
      <c r="F33" s="36"/>
      <c r="G33" s="36">
        <f t="shared" si="1"/>
        <v>491564.28</v>
      </c>
      <c r="H33" s="5" t="str">
        <f>IF(B33="","",IF(IFERROR(MATCH(B33,'Advances_MAR-2025'!B:B,0),0)&gt;0,"C/F","NEW"))</f>
        <v>C/F</v>
      </c>
    </row>
    <row r="34">
      <c r="A34" s="60" t="s">
        <v>1712</v>
      </c>
      <c r="B34" s="60" t="s">
        <v>1713</v>
      </c>
      <c r="C34" s="60" t="s">
        <v>1714</v>
      </c>
      <c r="D34" s="37"/>
      <c r="E34" s="68">
        <v>2000.0</v>
      </c>
      <c r="F34" s="36"/>
      <c r="G34" s="36">
        <f t="shared" si="1"/>
        <v>491564.28</v>
      </c>
      <c r="H34" s="5" t="str">
        <f>IF(B34="","",IF(IFERROR(MATCH(B34,'Advances_MAR-2025'!B:B,0),0)&gt;0,"C/F","NEW"))</f>
        <v>C/F</v>
      </c>
    </row>
    <row r="35">
      <c r="A35" s="63" t="s">
        <v>1053</v>
      </c>
      <c r="B35" s="70"/>
      <c r="C35" s="60" t="s">
        <v>1054</v>
      </c>
      <c r="D35" s="37"/>
      <c r="E35" s="68">
        <v>16857.45</v>
      </c>
      <c r="F35" s="36"/>
      <c r="G35" s="36">
        <f t="shared" si="1"/>
        <v>508421.73</v>
      </c>
      <c r="H35" s="5" t="str">
        <f>IF(B35="","",IF(IFERROR(MATCH(B35,'Advances_MAR-2025'!B:B,0),0)&gt;0,"C/F","NEW"))</f>
        <v/>
      </c>
    </row>
    <row r="36">
      <c r="A36" s="60" t="s">
        <v>1053</v>
      </c>
      <c r="B36" s="60" t="s">
        <v>1715</v>
      </c>
      <c r="C36" s="60" t="s">
        <v>1716</v>
      </c>
      <c r="D36" s="37"/>
      <c r="E36" s="68">
        <v>2000.0</v>
      </c>
      <c r="F36" s="36"/>
      <c r="G36" s="36">
        <f t="shared" si="1"/>
        <v>508421.73</v>
      </c>
      <c r="H36" s="5" t="str">
        <f>IF(B36="","",IF(IFERROR(MATCH(B36,'Advances_MAR-2025'!B:B,0),0)&gt;0,"C/F","NEW"))</f>
        <v>C/F</v>
      </c>
    </row>
    <row r="37">
      <c r="A37" s="69">
        <v>45546.0</v>
      </c>
      <c r="B37" s="60" t="s">
        <v>1055</v>
      </c>
      <c r="C37" s="60" t="s">
        <v>1056</v>
      </c>
      <c r="D37" s="37"/>
      <c r="E37" s="68">
        <v>4450.0</v>
      </c>
      <c r="F37" s="36"/>
      <c r="G37" s="36">
        <f t="shared" si="1"/>
        <v>508421.73</v>
      </c>
      <c r="H37" s="5" t="str">
        <f>IF(B37="","",IF(IFERROR(MATCH(B37,'Advances_MAR-2025'!B:B,0),0)&gt;0,"C/F","NEW"))</f>
        <v>C/F</v>
      </c>
    </row>
    <row r="38">
      <c r="A38" s="71">
        <v>45637.0</v>
      </c>
      <c r="B38" s="60" t="s">
        <v>1057</v>
      </c>
      <c r="C38" s="60" t="s">
        <v>1058</v>
      </c>
      <c r="D38" s="37"/>
      <c r="E38" s="68">
        <v>80.0</v>
      </c>
      <c r="F38" s="36"/>
      <c r="G38" s="36">
        <f t="shared" si="1"/>
        <v>508421.73</v>
      </c>
      <c r="H38" s="5" t="str">
        <f>IF(B38="","",IF(IFERROR(MATCH(B38,'Advances_MAR-2025'!B:B,0),0)&gt;0,"C/F","NEW"))</f>
        <v>C/F</v>
      </c>
    </row>
    <row r="39">
      <c r="A39" s="60" t="s">
        <v>1717</v>
      </c>
      <c r="B39" s="60" t="s">
        <v>1718</v>
      </c>
      <c r="C39" s="60" t="s">
        <v>1704</v>
      </c>
      <c r="D39" s="37"/>
      <c r="E39" s="68">
        <v>20.0</v>
      </c>
      <c r="F39" s="36"/>
      <c r="G39" s="36">
        <f t="shared" si="1"/>
        <v>508421.73</v>
      </c>
      <c r="H39" s="5" t="str">
        <f>IF(B39="","",IF(IFERROR(MATCH(B39,'Advances_MAR-2025'!B:B,0),0)&gt;0,"C/F","NEW"))</f>
        <v>C/F</v>
      </c>
    </row>
    <row r="40">
      <c r="A40" s="69">
        <v>45303.0</v>
      </c>
      <c r="B40" s="60" t="s">
        <v>1719</v>
      </c>
      <c r="C40" s="60" t="s">
        <v>1720</v>
      </c>
      <c r="D40" s="37"/>
      <c r="E40" s="68">
        <v>20.87</v>
      </c>
      <c r="F40" s="36"/>
      <c r="G40" s="36">
        <f t="shared" si="1"/>
        <v>508421.73</v>
      </c>
      <c r="H40" s="5" t="str">
        <f>IF(B40="","",IF(IFERROR(MATCH(B40,'Advances_MAR-2025'!B:B,0),0)&gt;0,"C/F","NEW"))</f>
        <v>C/F</v>
      </c>
    </row>
    <row r="41">
      <c r="A41" s="69">
        <v>45303.0</v>
      </c>
      <c r="B41" s="60" t="s">
        <v>1719</v>
      </c>
      <c r="C41" s="60" t="s">
        <v>1721</v>
      </c>
      <c r="D41" s="37"/>
      <c r="E41" s="68">
        <v>34.78</v>
      </c>
      <c r="F41" s="36"/>
      <c r="G41" s="36">
        <f t="shared" si="1"/>
        <v>508421.73</v>
      </c>
      <c r="H41" s="5" t="str">
        <f>IF(B41="","",IF(IFERROR(MATCH(B41,'Advances_MAR-2025'!B:B,0),0)&gt;0,"C/F","NEW"))</f>
        <v>C/F</v>
      </c>
    </row>
    <row r="42">
      <c r="A42" s="69">
        <v>45303.0</v>
      </c>
      <c r="B42" s="60" t="s">
        <v>1719</v>
      </c>
      <c r="C42" s="60" t="s">
        <v>1722</v>
      </c>
      <c r="D42" s="37"/>
      <c r="E42" s="68">
        <v>60.87</v>
      </c>
      <c r="F42" s="36"/>
      <c r="G42" s="36">
        <f t="shared" si="1"/>
        <v>508421.73</v>
      </c>
      <c r="H42" s="5" t="str">
        <f>IF(B42="","",IF(IFERROR(MATCH(B42,'Advances_MAR-2025'!B:B,0),0)&gt;0,"C/F","NEW"))</f>
        <v>C/F</v>
      </c>
    </row>
    <row r="43">
      <c r="A43" s="69">
        <v>45394.0</v>
      </c>
      <c r="B43" s="60" t="s">
        <v>1723</v>
      </c>
      <c r="C43" s="60" t="s">
        <v>1724</v>
      </c>
      <c r="D43" s="37"/>
      <c r="E43" s="68">
        <v>80.5</v>
      </c>
      <c r="F43" s="36"/>
      <c r="G43" s="36">
        <f t="shared" si="1"/>
        <v>508421.73</v>
      </c>
      <c r="H43" s="5" t="str">
        <f>IF(B43="","",IF(IFERROR(MATCH(B43,'Advances_MAR-2025'!B:B,0),0)&gt;0,"C/F","NEW"))</f>
        <v>C/F</v>
      </c>
    </row>
    <row r="44">
      <c r="A44" s="69">
        <v>45394.0</v>
      </c>
      <c r="B44" s="60" t="s">
        <v>1723</v>
      </c>
      <c r="C44" s="60" t="s">
        <v>1725</v>
      </c>
      <c r="D44" s="37"/>
      <c r="E44" s="68">
        <v>11.5</v>
      </c>
      <c r="F44" s="36"/>
      <c r="G44" s="36">
        <f t="shared" si="1"/>
        <v>508421.73</v>
      </c>
      <c r="H44" s="5" t="str">
        <f>IF(B44="","",IF(IFERROR(MATCH(B44,'Advances_MAR-2025'!B:B,0),0)&gt;0,"C/F","NEW"))</f>
        <v>C/F</v>
      </c>
    </row>
    <row r="45">
      <c r="A45" s="71">
        <v>45577.0</v>
      </c>
      <c r="B45" s="60" t="s">
        <v>1059</v>
      </c>
      <c r="C45" s="60" t="s">
        <v>1043</v>
      </c>
      <c r="D45" s="37"/>
      <c r="E45" s="68">
        <v>49001.48</v>
      </c>
      <c r="F45" s="36"/>
      <c r="G45" s="36">
        <f t="shared" si="1"/>
        <v>508421.73</v>
      </c>
      <c r="H45" s="5" t="str">
        <f>IF(B45="","",IF(IFERROR(MATCH(B45,'Advances_MAR-2025'!B:B,0),0)&gt;0,"C/F","NEW"))</f>
        <v>C/F</v>
      </c>
    </row>
    <row r="46">
      <c r="A46" s="60" t="s">
        <v>1726</v>
      </c>
      <c r="B46" s="60" t="s">
        <v>1727</v>
      </c>
      <c r="C46" s="60" t="s">
        <v>1728</v>
      </c>
      <c r="D46" s="37"/>
      <c r="E46" s="68">
        <v>180.0</v>
      </c>
      <c r="F46" s="36"/>
      <c r="G46" s="36">
        <f t="shared" si="1"/>
        <v>508421.73</v>
      </c>
      <c r="H46" s="5" t="str">
        <f>IF(B46="","",IF(IFERROR(MATCH(B46,'Advances_MAR-2025'!B:B,0),0)&gt;0,"C/F","NEW"))</f>
        <v>C/F</v>
      </c>
    </row>
    <row r="47">
      <c r="A47" s="60" t="s">
        <v>1729</v>
      </c>
      <c r="B47" s="60" t="s">
        <v>1730</v>
      </c>
      <c r="C47" s="60" t="s">
        <v>1731</v>
      </c>
      <c r="D47" s="37"/>
      <c r="E47" s="68">
        <v>1337.87</v>
      </c>
      <c r="F47" s="36"/>
      <c r="G47" s="36">
        <f t="shared" si="1"/>
        <v>508421.73</v>
      </c>
      <c r="H47" s="5" t="str">
        <f>IF(B47="","",IF(IFERROR(MATCH(B47,'Advances_MAR-2025'!B:B,0),0)&gt;0,"C/F","NEW"))</f>
        <v>C/F</v>
      </c>
    </row>
    <row r="48">
      <c r="A48" s="60" t="s">
        <v>1729</v>
      </c>
      <c r="B48" s="60" t="s">
        <v>1732</v>
      </c>
      <c r="C48" s="60" t="s">
        <v>1733</v>
      </c>
      <c r="D48" s="37"/>
      <c r="E48" s="68">
        <v>7500.0</v>
      </c>
      <c r="F48" s="36"/>
      <c r="G48" s="36">
        <f t="shared" si="1"/>
        <v>508421.73</v>
      </c>
      <c r="H48" s="5" t="str">
        <f>IF(B48="","",IF(IFERROR(MATCH(B48,'Advances_MAR-2025'!B:B,0),0)&gt;0,"C/F","NEW"))</f>
        <v>C/F</v>
      </c>
    </row>
    <row r="49">
      <c r="A49" s="60" t="s">
        <v>1060</v>
      </c>
      <c r="B49" s="60" t="s">
        <v>1061</v>
      </c>
      <c r="C49" s="60" t="s">
        <v>1062</v>
      </c>
      <c r="D49" s="37"/>
      <c r="E49" s="68">
        <v>300.0</v>
      </c>
      <c r="F49" s="36"/>
      <c r="G49" s="36">
        <f t="shared" si="1"/>
        <v>508421.73</v>
      </c>
      <c r="H49" s="5" t="str">
        <f>IF(B49="","",IF(IFERROR(MATCH(B49,'Advances_MAR-2025'!B:B,0),0)&gt;0,"C/F","NEW"))</f>
        <v>C/F</v>
      </c>
    </row>
    <row r="50">
      <c r="A50" s="60" t="s">
        <v>1063</v>
      </c>
      <c r="B50" s="60" t="s">
        <v>1064</v>
      </c>
      <c r="C50" s="60" t="s">
        <v>1065</v>
      </c>
      <c r="D50" s="37"/>
      <c r="E50" s="68">
        <v>150.0</v>
      </c>
      <c r="F50" s="36"/>
      <c r="G50" s="36">
        <f t="shared" si="1"/>
        <v>508421.73</v>
      </c>
      <c r="H50" s="5" t="str">
        <f>IF(B50="","",IF(IFERROR(MATCH(B50,'Advances_MAR-2025'!B:B,0),0)&gt;0,"C/F","NEW"))</f>
        <v>C/F</v>
      </c>
    </row>
    <row r="51">
      <c r="A51" s="69">
        <v>45901.0</v>
      </c>
      <c r="B51" s="60" t="s">
        <v>1739</v>
      </c>
      <c r="C51" s="60" t="s">
        <v>1740</v>
      </c>
      <c r="D51" s="37"/>
      <c r="E51" s="68">
        <v>450.0</v>
      </c>
      <c r="F51" s="36"/>
      <c r="G51" s="36">
        <f t="shared" si="1"/>
        <v>508421.73</v>
      </c>
      <c r="H51" s="5" t="str">
        <f>IF(B51="","",IF(IFERROR(MATCH(B51,'Advances_MAR-2025'!B:B,0),0)&gt;0,"C/F","NEW"))</f>
        <v>C/F</v>
      </c>
    </row>
    <row r="52">
      <c r="A52" s="60" t="s">
        <v>1066</v>
      </c>
      <c r="B52" s="60" t="s">
        <v>1067</v>
      </c>
      <c r="C52" s="60" t="s">
        <v>1068</v>
      </c>
      <c r="D52" s="37"/>
      <c r="E52" s="68">
        <v>51310.45</v>
      </c>
      <c r="F52" s="36"/>
      <c r="G52" s="36">
        <f t="shared" si="1"/>
        <v>508421.73</v>
      </c>
      <c r="H52" s="5" t="str">
        <f>IF(B52="","",IF(IFERROR(MATCH(B52,'Advances_MAR-2025'!B:B,0),0)&gt;0,"C/F","NEW"))</f>
        <v>C/F</v>
      </c>
    </row>
    <row r="53">
      <c r="A53" s="69">
        <v>45749.0</v>
      </c>
      <c r="B53" s="60" t="s">
        <v>1069</v>
      </c>
      <c r="C53" s="60" t="s">
        <v>1070</v>
      </c>
      <c r="D53" s="37"/>
      <c r="E53" s="68">
        <v>200.0</v>
      </c>
      <c r="F53" s="36"/>
      <c r="G53" s="36">
        <f t="shared" si="1"/>
        <v>508421.73</v>
      </c>
      <c r="H53" s="5" t="str">
        <f>IF(B53="","",IF(IFERROR(MATCH(B53,'Advances_MAR-2025'!B:B,0),0)&gt;0,"C/F","NEW"))</f>
        <v>C/F</v>
      </c>
    </row>
    <row r="54">
      <c r="A54" s="69">
        <v>45810.0</v>
      </c>
      <c r="B54" s="60" t="s">
        <v>1972</v>
      </c>
      <c r="C54" s="60" t="s">
        <v>1973</v>
      </c>
      <c r="D54" s="37"/>
      <c r="E54" s="68">
        <v>1617.41</v>
      </c>
      <c r="F54" s="36"/>
      <c r="G54" s="36">
        <f t="shared" si="1"/>
        <v>508421.73</v>
      </c>
      <c r="H54" s="5" t="str">
        <f>IF(B54="","",IF(IFERROR(MATCH(B54,'Advances_MAR-2025'!B:B,0),0)&gt;0,"C/F","NEW"))</f>
        <v>C/F</v>
      </c>
    </row>
    <row r="55">
      <c r="A55" s="69">
        <v>45963.0</v>
      </c>
      <c r="B55" s="60" t="s">
        <v>1974</v>
      </c>
      <c r="C55" s="60" t="s">
        <v>1975</v>
      </c>
      <c r="D55" s="37"/>
      <c r="E55" s="68">
        <v>1949.55</v>
      </c>
      <c r="F55" s="36"/>
      <c r="G55" s="36">
        <f t="shared" si="1"/>
        <v>508421.73</v>
      </c>
      <c r="H55" s="5" t="str">
        <f>IF(B55="","",IF(IFERROR(MATCH(B55,'Advances_MAR-2025'!B:B,0),0)&gt;0,"C/F","NEW"))</f>
        <v>C/F</v>
      </c>
    </row>
    <row r="56">
      <c r="A56" s="60" t="s">
        <v>1976</v>
      </c>
      <c r="B56" s="60" t="s">
        <v>1977</v>
      </c>
      <c r="C56" s="60" t="s">
        <v>1978</v>
      </c>
      <c r="D56" s="37"/>
      <c r="E56" s="68">
        <v>180.0</v>
      </c>
      <c r="F56" s="36"/>
      <c r="G56" s="36">
        <f t="shared" si="1"/>
        <v>508421.73</v>
      </c>
      <c r="H56" s="5" t="str">
        <f>IF(B56="","",IF(IFERROR(MATCH(B56,'Advances_MAR-2025'!B:B,0),0)&gt;0,"C/F","NEW"))</f>
        <v>C/F</v>
      </c>
    </row>
    <row r="57">
      <c r="A57" s="60" t="s">
        <v>1071</v>
      </c>
      <c r="B57" s="60" t="s">
        <v>1072</v>
      </c>
      <c r="C57" s="60" t="s">
        <v>1073</v>
      </c>
      <c r="D57" s="37"/>
      <c r="E57" s="68">
        <v>334.8</v>
      </c>
      <c r="F57" s="36"/>
      <c r="G57" s="36">
        <f t="shared" si="1"/>
        <v>508421.73</v>
      </c>
      <c r="H57" s="5" t="str">
        <f>IF(B57="","",IF(IFERROR(MATCH(B57,'Advances_MAR-2025'!B:B,0),0)&gt;0,"C/F","NEW"))</f>
        <v>C/F</v>
      </c>
    </row>
    <row r="58">
      <c r="A58" s="60" t="s">
        <v>1071</v>
      </c>
      <c r="B58" s="60" t="s">
        <v>1072</v>
      </c>
      <c r="C58" s="60" t="s">
        <v>1074</v>
      </c>
      <c r="D58" s="37"/>
      <c r="E58" s="68">
        <v>300.0</v>
      </c>
      <c r="F58" s="36"/>
      <c r="G58" s="36">
        <f t="shared" si="1"/>
        <v>508421.73</v>
      </c>
      <c r="H58" s="5" t="str">
        <f>IF(B58="","",IF(IFERROR(MATCH(B58,'Advances_MAR-2025'!B:B,0),0)&gt;0,"C/F","NEW"))</f>
        <v>C/F</v>
      </c>
    </row>
    <row r="59">
      <c r="A59" s="60" t="s">
        <v>1071</v>
      </c>
      <c r="B59" s="60" t="s">
        <v>1072</v>
      </c>
      <c r="C59" s="60" t="s">
        <v>1073</v>
      </c>
      <c r="D59" s="37"/>
      <c r="E59" s="68">
        <v>350.0</v>
      </c>
      <c r="F59" s="36"/>
      <c r="G59" s="36">
        <f t="shared" si="1"/>
        <v>508421.73</v>
      </c>
      <c r="H59" s="5" t="str">
        <f>IF(B59="","",IF(IFERROR(MATCH(B59,'Advances_MAR-2025'!B:B,0),0)&gt;0,"C/F","NEW"))</f>
        <v>C/F</v>
      </c>
    </row>
    <row r="60">
      <c r="A60" s="60" t="s">
        <v>1979</v>
      </c>
      <c r="B60" s="60" t="s">
        <v>1980</v>
      </c>
      <c r="C60" s="60" t="s">
        <v>1076</v>
      </c>
      <c r="D60" s="37"/>
      <c r="E60" s="68">
        <v>50.0</v>
      </c>
      <c r="F60" s="36"/>
      <c r="G60" s="36">
        <f t="shared" si="1"/>
        <v>508421.73</v>
      </c>
      <c r="H60" s="5" t="str">
        <f>IF(B60="","",IF(IFERROR(MATCH(B60,'Advances_MAR-2025'!B:B,0),0)&gt;0,"C/F","NEW"))</f>
        <v>C/F</v>
      </c>
    </row>
    <row r="61">
      <c r="A61" s="69">
        <v>45872.0</v>
      </c>
      <c r="B61" s="60" t="s">
        <v>2066</v>
      </c>
      <c r="C61" s="60" t="s">
        <v>2067</v>
      </c>
      <c r="D61" s="37"/>
      <c r="E61" s="68">
        <v>11.0</v>
      </c>
      <c r="F61" s="36"/>
      <c r="G61" s="36">
        <f t="shared" si="1"/>
        <v>508421.73</v>
      </c>
      <c r="H61" s="5" t="str">
        <f>IF(B61="","",IF(IFERROR(MATCH(B61,'Advances_MAR-2025'!B:B,0),0)&gt;0,"C/F","NEW"))</f>
        <v>C/F</v>
      </c>
    </row>
    <row r="62">
      <c r="A62" s="60" t="s">
        <v>2071</v>
      </c>
      <c r="B62" s="60" t="s">
        <v>2072</v>
      </c>
      <c r="C62" s="60" t="s">
        <v>1752</v>
      </c>
      <c r="D62" s="37"/>
      <c r="E62" s="68">
        <v>70.0</v>
      </c>
      <c r="F62" s="36"/>
      <c r="G62" s="36">
        <f t="shared" si="1"/>
        <v>508421.73</v>
      </c>
      <c r="H62" s="5" t="str">
        <f>IF(B62="","",IF(IFERROR(MATCH(B62,'Advances_MAR-2025'!B:B,0),0)&gt;0,"C/F","NEW"))</f>
        <v>C/F</v>
      </c>
    </row>
    <row r="63">
      <c r="A63" s="60" t="s">
        <v>2073</v>
      </c>
      <c r="B63" s="60" t="s">
        <v>2074</v>
      </c>
      <c r="C63" s="60" t="s">
        <v>2075</v>
      </c>
      <c r="D63" s="37"/>
      <c r="E63" s="68">
        <v>900.0</v>
      </c>
      <c r="F63" s="36"/>
      <c r="G63" s="36">
        <f t="shared" si="1"/>
        <v>508421.73</v>
      </c>
      <c r="H63" s="5" t="str">
        <f>IF(B63="","",IF(IFERROR(MATCH(B63,'Advances_MAR-2025'!B:B,0),0)&gt;0,"C/F","NEW"))</f>
        <v>C/F</v>
      </c>
    </row>
    <row r="64">
      <c r="A64" s="69">
        <v>45720.0</v>
      </c>
      <c r="B64" s="60" t="s">
        <v>2182</v>
      </c>
      <c r="C64" s="60" t="s">
        <v>2183</v>
      </c>
      <c r="D64" s="37"/>
      <c r="E64" s="68">
        <v>3500.0</v>
      </c>
      <c r="F64" s="36"/>
      <c r="G64" s="36">
        <f t="shared" si="1"/>
        <v>511921.73</v>
      </c>
      <c r="H64" s="5" t="str">
        <f>IF(B64="","",IF(IFERROR(MATCH(B64,'Advances_MAR-2025'!B:B,0),0)&gt;0,"C/F","NEW"))</f>
        <v>NEW</v>
      </c>
    </row>
    <row r="65">
      <c r="A65" s="69">
        <v>45781.0</v>
      </c>
      <c r="B65" s="60" t="s">
        <v>2184</v>
      </c>
      <c r="C65" s="60" t="s">
        <v>2185</v>
      </c>
      <c r="D65" s="37"/>
      <c r="E65" s="68">
        <v>900.0</v>
      </c>
      <c r="F65" s="36"/>
      <c r="G65" s="36">
        <f t="shared" si="1"/>
        <v>512821.73</v>
      </c>
      <c r="H65" s="5" t="str">
        <f>IF(B65="","",IF(IFERROR(MATCH(B65,'Advances_MAR-2025'!B:B,0),0)&gt;0,"C/F","NEW"))</f>
        <v>NEW</v>
      </c>
    </row>
    <row r="66">
      <c r="A66" s="69">
        <v>45781.0</v>
      </c>
      <c r="B66" s="60" t="s">
        <v>2184</v>
      </c>
      <c r="C66" s="60" t="s">
        <v>2186</v>
      </c>
      <c r="D66" s="37"/>
      <c r="E66" s="68">
        <v>1000.0</v>
      </c>
      <c r="F66" s="36"/>
      <c r="G66" s="36">
        <f t="shared" si="1"/>
        <v>513821.73</v>
      </c>
      <c r="H66" s="5" t="str">
        <f>IF(B66="","",IF(IFERROR(MATCH(B66,'Advances_MAR-2025'!B:B,0),0)&gt;0,"C/F","NEW"))</f>
        <v>NEW</v>
      </c>
    </row>
    <row r="67">
      <c r="A67" s="69">
        <v>45781.0</v>
      </c>
      <c r="B67" s="60" t="s">
        <v>2184</v>
      </c>
      <c r="C67" s="60" t="s">
        <v>2187</v>
      </c>
      <c r="D67" s="37"/>
      <c r="E67" s="68">
        <v>400.0</v>
      </c>
      <c r="F67" s="36"/>
      <c r="G67" s="36">
        <f t="shared" si="1"/>
        <v>514221.73</v>
      </c>
      <c r="H67" s="5" t="str">
        <f>IF(B67="","",IF(IFERROR(MATCH(B67,'Advances_MAR-2025'!B:B,0),0)&gt;0,"C/F","NEW"))</f>
        <v>NEW</v>
      </c>
    </row>
    <row r="68">
      <c r="A68" s="69">
        <v>45781.0</v>
      </c>
      <c r="B68" s="60" t="s">
        <v>2184</v>
      </c>
      <c r="C68" s="60" t="s">
        <v>2188</v>
      </c>
      <c r="D68" s="37"/>
      <c r="E68" s="68">
        <v>450.0</v>
      </c>
      <c r="F68" s="36"/>
      <c r="G68" s="36">
        <f t="shared" si="1"/>
        <v>514671.73</v>
      </c>
      <c r="H68" s="5" t="str">
        <f>IF(B68="","",IF(IFERROR(MATCH(B68,'Advances_MAR-2025'!B:B,0),0)&gt;0,"C/F","NEW"))</f>
        <v>NEW</v>
      </c>
    </row>
    <row r="69">
      <c r="A69" s="69">
        <v>45781.0</v>
      </c>
      <c r="B69" s="60" t="s">
        <v>2184</v>
      </c>
      <c r="C69" s="60" t="s">
        <v>2189</v>
      </c>
      <c r="D69" s="37"/>
      <c r="E69" s="68">
        <v>500.0</v>
      </c>
      <c r="F69" s="36"/>
      <c r="G69" s="36">
        <f t="shared" si="1"/>
        <v>515171.73</v>
      </c>
      <c r="H69" s="5" t="str">
        <f>IF(B69="","",IF(IFERROR(MATCH(B69,'Advances_MAR-2025'!B:B,0),0)&gt;0,"C/F","NEW"))</f>
        <v>NEW</v>
      </c>
    </row>
    <row r="70">
      <c r="A70" s="69">
        <v>45812.0</v>
      </c>
      <c r="B70" s="60" t="s">
        <v>2190</v>
      </c>
      <c r="C70" s="60" t="s">
        <v>2191</v>
      </c>
      <c r="D70" s="37"/>
      <c r="E70" s="68">
        <v>1000.0</v>
      </c>
      <c r="F70" s="36"/>
      <c r="G70" s="36">
        <f t="shared" si="1"/>
        <v>516171.73</v>
      </c>
      <c r="H70" s="5" t="str">
        <f>IF(B70="","",IF(IFERROR(MATCH(B70,'Advances_MAR-2025'!B:B,0),0)&gt;0,"C/F","NEW"))</f>
        <v>NEW</v>
      </c>
    </row>
    <row r="71">
      <c r="A71" s="69">
        <v>45842.0</v>
      </c>
      <c r="B71" s="60" t="s">
        <v>2192</v>
      </c>
      <c r="C71" s="60" t="s">
        <v>2193</v>
      </c>
      <c r="D71" s="37"/>
      <c r="E71" s="68">
        <v>1000.0</v>
      </c>
      <c r="F71" s="36"/>
      <c r="G71" s="36">
        <f t="shared" si="1"/>
        <v>517171.73</v>
      </c>
      <c r="H71" s="5" t="str">
        <f>IF(B71="","",IF(IFERROR(MATCH(B71,'Advances_MAR-2025'!B:B,0),0)&gt;0,"C/F","NEW"))</f>
        <v>NEW</v>
      </c>
    </row>
    <row r="72">
      <c r="A72" s="69">
        <v>45934.0</v>
      </c>
      <c r="B72" s="60" t="s">
        <v>2194</v>
      </c>
      <c r="C72" s="60" t="s">
        <v>2195</v>
      </c>
      <c r="D72" s="37"/>
      <c r="E72" s="68">
        <v>184.0</v>
      </c>
      <c r="F72" s="36"/>
      <c r="G72" s="36">
        <f t="shared" si="1"/>
        <v>517355.73</v>
      </c>
      <c r="H72" s="5" t="str">
        <f>IF(B72="","",IF(IFERROR(MATCH(B72,'Advances_MAR-2025'!B:B,0),0)&gt;0,"C/F","NEW"))</f>
        <v>NEW</v>
      </c>
    </row>
    <row r="73">
      <c r="A73" s="60" t="s">
        <v>2196</v>
      </c>
      <c r="B73" s="60" t="s">
        <v>2197</v>
      </c>
      <c r="C73" s="60" t="s">
        <v>2198</v>
      </c>
      <c r="D73" s="37"/>
      <c r="E73" s="68">
        <v>35000.0</v>
      </c>
      <c r="F73" s="36"/>
      <c r="G73" s="36">
        <f t="shared" si="1"/>
        <v>552355.73</v>
      </c>
      <c r="H73" s="5" t="str">
        <f>IF(B73="","",IF(IFERROR(MATCH(B73,'Advances_MAR-2025'!B:B,0),0)&gt;0,"C/F","NEW"))</f>
        <v>NEW</v>
      </c>
    </row>
    <row r="74">
      <c r="A74" s="60" t="s">
        <v>2199</v>
      </c>
      <c r="B74" s="60" t="s">
        <v>2200</v>
      </c>
      <c r="C74" s="60" t="s">
        <v>1076</v>
      </c>
      <c r="D74" s="37"/>
      <c r="E74" s="68">
        <v>200.0</v>
      </c>
      <c r="F74" s="36"/>
      <c r="G74" s="36">
        <f t="shared" si="1"/>
        <v>552555.73</v>
      </c>
      <c r="H74" s="5" t="str">
        <f>IF(B74="","",IF(IFERROR(MATCH(B74,'Advances_MAR-2025'!B:B,0),0)&gt;0,"C/F","NEW"))</f>
        <v>NEW</v>
      </c>
    </row>
    <row r="75">
      <c r="A75" s="60" t="s">
        <v>2201</v>
      </c>
      <c r="B75" s="60" t="s">
        <v>2202</v>
      </c>
      <c r="C75" s="60" t="s">
        <v>2203</v>
      </c>
      <c r="D75" s="37"/>
      <c r="E75" s="68">
        <v>1000.0</v>
      </c>
      <c r="F75" s="36"/>
      <c r="G75" s="36">
        <f t="shared" si="1"/>
        <v>553555.73</v>
      </c>
      <c r="H75" s="5" t="str">
        <f>IF(B75="","",IF(IFERROR(MATCH(B75,'Advances_MAR-2025'!B:B,0),0)&gt;0,"C/F","NEW"))</f>
        <v>NEW</v>
      </c>
    </row>
    <row r="76">
      <c r="A76" s="60" t="s">
        <v>2204</v>
      </c>
      <c r="B76" s="60" t="s">
        <v>2205</v>
      </c>
      <c r="C76" s="60" t="s">
        <v>2206</v>
      </c>
      <c r="D76" s="37"/>
      <c r="E76" s="68">
        <v>17000.0</v>
      </c>
      <c r="F76" s="36"/>
      <c r="G76" s="36">
        <f t="shared" si="1"/>
        <v>570555.73</v>
      </c>
      <c r="H76" s="5" t="str">
        <f>IF(B76="","",IF(IFERROR(MATCH(B76,'Advances_MAR-2025'!B:B,0),0)&gt;0,"C/F","NEW"))</f>
        <v>NEW</v>
      </c>
    </row>
    <row r="77">
      <c r="A77" s="60" t="s">
        <v>1179</v>
      </c>
      <c r="B77" s="60" t="s">
        <v>2207</v>
      </c>
      <c r="C77" s="60" t="s">
        <v>1076</v>
      </c>
      <c r="D77" s="37"/>
      <c r="E77" s="68">
        <v>300.0</v>
      </c>
      <c r="F77" s="36"/>
      <c r="G77" s="36">
        <f t="shared" si="1"/>
        <v>570855.73</v>
      </c>
      <c r="H77" s="5" t="str">
        <f>IF(B77="","",IF(IFERROR(MATCH(B77,'Advances_MAR-2025'!B:B,0),0)&gt;0,"C/F","NEW"))</f>
        <v>NEW</v>
      </c>
    </row>
    <row r="78">
      <c r="A78" s="63" t="s">
        <v>1179</v>
      </c>
      <c r="B78" s="70"/>
      <c r="C78" s="60" t="s">
        <v>2208</v>
      </c>
      <c r="D78" s="37"/>
      <c r="E78" s="68">
        <v>65.0</v>
      </c>
      <c r="F78" s="36"/>
      <c r="G78" s="36">
        <f t="shared" si="1"/>
        <v>570920.73</v>
      </c>
      <c r="H78" s="5" t="str">
        <f>IF(B78="","",IF(IFERROR(MATCH(B78,'Advances_MAR-2025'!B:B,0),0)&gt;0,"C/F","NEW"))</f>
        <v/>
      </c>
    </row>
    <row r="79">
      <c r="A79" s="60" t="s">
        <v>1179</v>
      </c>
      <c r="B79" s="60" t="s">
        <v>2207</v>
      </c>
      <c r="C79" s="60" t="s">
        <v>2209</v>
      </c>
      <c r="D79" s="37"/>
      <c r="E79" s="68">
        <v>50.0</v>
      </c>
      <c r="F79" s="36"/>
      <c r="G79" s="36">
        <f t="shared" si="1"/>
        <v>570970.73</v>
      </c>
      <c r="H79" s="5" t="str">
        <f>IF(B79="","",IF(IFERROR(MATCH(B79,'Advances_MAR-2025'!B:B,0),0)&gt;0,"C/F","NEW"))</f>
        <v>NEW</v>
      </c>
    </row>
    <row r="80">
      <c r="A80" s="37"/>
      <c r="B80" s="37"/>
      <c r="C80" s="37"/>
      <c r="D80" s="37"/>
      <c r="E80" s="36"/>
      <c r="F80" s="36"/>
      <c r="G80" s="36" t="str">
        <f t="shared" si="1"/>
        <v/>
      </c>
      <c r="H80" s="5" t="str">
        <f>IF(B80="","",IF(IFERROR(MATCH(B80,'Advances_MAR-2025'!B:B,0),0)&gt;0,"C/F","NEW"))</f>
        <v/>
      </c>
    </row>
    <row r="81">
      <c r="A81" s="37"/>
      <c r="B81" s="37"/>
      <c r="C81" s="37"/>
      <c r="D81" s="37"/>
      <c r="E81" s="36"/>
      <c r="F81" s="36"/>
      <c r="G81" s="36" t="str">
        <f t="shared" si="1"/>
        <v/>
      </c>
      <c r="H81" s="5" t="str">
        <f>IF(B81="","",IF(IFERROR(MATCH(B81,'Advances_MAR-2025'!B:B,0),0)&gt;0,"C/F","NEW"))</f>
        <v/>
      </c>
    </row>
    <row r="82">
      <c r="A82" s="37"/>
      <c r="B82" s="37"/>
      <c r="C82" s="37"/>
      <c r="D82" s="37"/>
      <c r="E82" s="36"/>
      <c r="F82" s="36"/>
      <c r="G82" s="36" t="str">
        <f t="shared" si="1"/>
        <v/>
      </c>
      <c r="H82" s="5" t="str">
        <f>IF(B82="","",IF(IFERROR(MATCH(B82,'Advances_MAR-2025'!B:B,0),0)&gt;0,"C/F","NEW"))</f>
        <v/>
      </c>
    </row>
    <row r="83">
      <c r="A83" s="37"/>
      <c r="B83" s="37"/>
      <c r="C83" s="37"/>
      <c r="D83" s="37"/>
      <c r="E83" s="36"/>
      <c r="F83" s="36"/>
      <c r="G83" s="36" t="str">
        <f t="shared" si="1"/>
        <v/>
      </c>
      <c r="H83" s="5" t="str">
        <f>IF(B83="","",IF(IFERROR(MATCH(B83,'Advances_MAR-2025'!B:B,0),0)&gt;0,"C/F","NEW"))</f>
        <v/>
      </c>
    </row>
    <row r="84">
      <c r="A84" s="37"/>
      <c r="B84" s="37"/>
      <c r="C84" s="37"/>
      <c r="D84" s="37"/>
      <c r="E84" s="36"/>
      <c r="F84" s="36"/>
      <c r="G84" s="36" t="str">
        <f t="shared" si="1"/>
        <v/>
      </c>
      <c r="H84" s="5" t="str">
        <f>IF(B84="","",IF(IFERROR(MATCH(B84,'Advances_MAR-2025'!B:B,0),0)&gt;0,"C/F","NEW"))</f>
        <v/>
      </c>
    </row>
    <row r="85">
      <c r="A85" s="37"/>
      <c r="B85" s="37"/>
      <c r="C85" s="37"/>
      <c r="D85" s="37"/>
      <c r="E85" s="36"/>
      <c r="F85" s="36"/>
      <c r="G85" s="36" t="str">
        <f t="shared" si="1"/>
        <v/>
      </c>
      <c r="H85" s="5" t="str">
        <f>IF(B85="","",IF(IFERROR(MATCH(B85,'Advances_MAR-2025'!B:B,0),0)&gt;0,"C/F","NEW"))</f>
        <v/>
      </c>
    </row>
    <row r="86">
      <c r="A86" s="37"/>
      <c r="B86" s="37"/>
      <c r="C86" s="37"/>
      <c r="D86" s="37"/>
      <c r="E86" s="36"/>
      <c r="F86" s="36"/>
      <c r="G86" s="36" t="str">
        <f t="shared" si="1"/>
        <v/>
      </c>
      <c r="H86" s="5" t="str">
        <f>IF(B86="","",IF(IFERROR(MATCH(B86,'Advances_MAR-2025'!B:B,0),0)&gt;0,"C/F","NEW"))</f>
        <v/>
      </c>
    </row>
    <row r="87">
      <c r="A87" s="37"/>
      <c r="B87" s="37"/>
      <c r="C87" s="37"/>
      <c r="D87" s="37"/>
      <c r="E87" s="36"/>
      <c r="F87" s="36"/>
      <c r="G87" s="36" t="str">
        <f t="shared" si="1"/>
        <v/>
      </c>
      <c r="H87" s="5" t="str">
        <f>IF(B87="","",IF(IFERROR(MATCH(B87,'Advances_MAR-2025'!B:B,0),0)&gt;0,"C/F","NEW"))</f>
        <v/>
      </c>
    </row>
    <row r="88">
      <c r="A88" s="37"/>
      <c r="B88" s="37"/>
      <c r="C88" s="37"/>
      <c r="D88" s="37"/>
      <c r="E88" s="36"/>
      <c r="F88" s="36"/>
      <c r="G88" s="36" t="str">
        <f t="shared" si="1"/>
        <v/>
      </c>
      <c r="H88" s="5" t="str">
        <f>IF(B88="","",IF(IFERROR(MATCH(B88,'Advances_MAR-2025'!B:B,0),0)&gt;0,"C/F","NEW"))</f>
        <v/>
      </c>
    </row>
    <row r="89">
      <c r="A89" s="37"/>
      <c r="B89" s="37"/>
      <c r="C89" s="37"/>
      <c r="D89" s="37"/>
      <c r="E89" s="36"/>
      <c r="F89" s="36"/>
      <c r="G89" s="36" t="str">
        <f t="shared" si="1"/>
        <v/>
      </c>
      <c r="H89" s="5" t="str">
        <f>IF(B89="","",IF(IFERROR(MATCH(B89,'Advances_MAR-2025'!B:B,0),0)&gt;0,"C/F","NEW"))</f>
        <v/>
      </c>
    </row>
    <row r="90">
      <c r="A90" s="37"/>
      <c r="B90" s="37"/>
      <c r="C90" s="37"/>
      <c r="D90" s="37"/>
      <c r="E90" s="36"/>
      <c r="F90" s="36"/>
      <c r="G90" s="36" t="str">
        <f t="shared" si="1"/>
        <v/>
      </c>
      <c r="H90" s="5" t="str">
        <f>IF(B90="","",IF(IFERROR(MATCH(B90,'Advances_MAR-2025'!B:B,0),0)&gt;0,"C/F","NEW"))</f>
        <v/>
      </c>
    </row>
    <row r="91">
      <c r="A91" s="37"/>
      <c r="B91" s="37"/>
      <c r="C91" s="37"/>
      <c r="D91" s="37"/>
      <c r="E91" s="36"/>
      <c r="F91" s="36"/>
      <c r="G91" s="36" t="str">
        <f t="shared" si="1"/>
        <v/>
      </c>
      <c r="H91" s="5" t="str">
        <f>IF(B91="","",IF(IFERROR(MATCH(B91,'Advances_MAR-2025'!B:B,0),0)&gt;0,"C/F","NEW"))</f>
        <v/>
      </c>
    </row>
    <row r="92">
      <c r="A92" s="37"/>
      <c r="B92" s="37"/>
      <c r="C92" s="37"/>
      <c r="D92" s="37"/>
      <c r="E92" s="36"/>
      <c r="F92" s="36"/>
      <c r="G92" s="36" t="str">
        <f t="shared" si="1"/>
        <v/>
      </c>
      <c r="H92" s="5" t="str">
        <f>IF(B92="","",IF(IFERROR(MATCH(B92,'Advances_MAR-2025'!B:B,0),0)&gt;0,"C/F","NEW"))</f>
        <v/>
      </c>
    </row>
    <row r="93">
      <c r="A93" s="37"/>
      <c r="B93" s="37"/>
      <c r="C93" s="37"/>
      <c r="D93" s="37"/>
      <c r="E93" s="36"/>
      <c r="F93" s="36"/>
      <c r="G93" s="36" t="str">
        <f t="shared" si="1"/>
        <v/>
      </c>
      <c r="H93" s="5" t="str">
        <f>IF(B93="","",IF(IFERROR(MATCH(B93,'Advances_MAR-2025'!B:B,0),0)&gt;0,"C/F","NEW"))</f>
        <v/>
      </c>
    </row>
    <row r="94">
      <c r="A94" s="37"/>
      <c r="B94" s="37"/>
      <c r="C94" s="37"/>
      <c r="D94" s="37"/>
      <c r="E94" s="36"/>
      <c r="F94" s="36"/>
      <c r="G94" s="36" t="str">
        <f t="shared" si="1"/>
        <v/>
      </c>
      <c r="H94" s="5" t="str">
        <f>IF(B94="","",IF(IFERROR(MATCH(B94,'Advances_MAR-2025'!B:B,0),0)&gt;0,"C/F","NEW"))</f>
        <v/>
      </c>
    </row>
    <row r="95">
      <c r="A95" s="37"/>
      <c r="B95" s="37"/>
      <c r="C95" s="37"/>
      <c r="D95" s="37"/>
      <c r="E95" s="36"/>
      <c r="F95" s="36"/>
      <c r="G95" s="36" t="str">
        <f t="shared" si="1"/>
        <v/>
      </c>
      <c r="H95" s="5" t="str">
        <f>IF(B95="","",IF(IFERROR(MATCH(B95,'Advances_MAR-2025'!B:B,0),0)&gt;0,"C/F","NEW"))</f>
        <v/>
      </c>
    </row>
    <row r="96">
      <c r="A96" s="37"/>
      <c r="B96" s="37"/>
      <c r="C96" s="37"/>
      <c r="D96" s="37"/>
      <c r="E96" s="36"/>
      <c r="F96" s="36"/>
      <c r="G96" s="36" t="str">
        <f t="shared" si="1"/>
        <v/>
      </c>
      <c r="H96" s="5" t="str">
        <f>IF(B96="","",IF(IFERROR(MATCH(B96,'Advances_MAR-2025'!B:B,0),0)&gt;0,"C/F","NEW"))</f>
        <v/>
      </c>
    </row>
    <row r="97">
      <c r="A97" s="37"/>
      <c r="B97" s="37"/>
      <c r="C97" s="37"/>
      <c r="D97" s="37"/>
      <c r="E97" s="36"/>
      <c r="F97" s="36"/>
      <c r="G97" s="36" t="str">
        <f t="shared" si="1"/>
        <v/>
      </c>
      <c r="H97" s="5" t="str">
        <f>IF(B97="","",IF(IFERROR(MATCH(B97,'Advances_MAR-2025'!B:B,0),0)&gt;0,"C/F","NEW"))</f>
        <v/>
      </c>
    </row>
    <row r="98">
      <c r="A98" s="37"/>
      <c r="B98" s="37"/>
      <c r="C98" s="37"/>
      <c r="D98" s="37"/>
      <c r="E98" s="36"/>
      <c r="F98" s="36"/>
      <c r="G98" s="36" t="str">
        <f t="shared" si="1"/>
        <v/>
      </c>
      <c r="H98" s="5" t="str">
        <f>IF(B98="","",IF(IFERROR(MATCH(B98,'Advances_MAR-2025'!B:B,0),0)&gt;0,"C/F","NEW"))</f>
        <v/>
      </c>
    </row>
    <row r="99">
      <c r="A99" s="37"/>
      <c r="B99" s="37"/>
      <c r="C99" s="37"/>
      <c r="D99" s="37"/>
      <c r="E99" s="36"/>
      <c r="F99" s="36"/>
      <c r="G99" s="36" t="str">
        <f t="shared" si="1"/>
        <v/>
      </c>
      <c r="H99" s="5" t="str">
        <f>IF(B99="","",IF(IFERROR(MATCH(B99,'Advances_MAR-2025'!B:B,0),0)&gt;0,"C/F","NEW"))</f>
        <v/>
      </c>
    </row>
    <row r="100">
      <c r="A100" s="37"/>
      <c r="B100" s="37"/>
      <c r="C100" s="37"/>
      <c r="D100" s="37"/>
      <c r="E100" s="36"/>
      <c r="F100" s="36"/>
      <c r="G100" s="36" t="str">
        <f t="shared" si="1"/>
        <v/>
      </c>
      <c r="H100" s="5" t="str">
        <f>IF(B100="","",IF(IFERROR(MATCH(B100,'Advances_MAR-2025'!B:B,0),0)&gt;0,"C/F","NEW"))</f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>
        <f t="shared" ref="E102:F102" si="2">SUM(E7:E101)</f>
        <v>376247.44</v>
      </c>
      <c r="F102" s="55">
        <f t="shared" si="2"/>
        <v>0</v>
      </c>
      <c r="G102" s="56"/>
    </row>
  </sheetData>
  <mergeCells count="2">
    <mergeCell ref="A1:G1"/>
    <mergeCell ref="A5:G5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2210</v>
      </c>
    </row>
    <row r="3">
      <c r="A3" s="57" t="s">
        <v>110</v>
      </c>
      <c r="B3" s="58">
        <v>-105635.53</v>
      </c>
      <c r="D3" s="57" t="s">
        <v>111</v>
      </c>
      <c r="E3" s="59">
        <f>-17267.64+SUM(E7:E1000)-SUM(F7:F1000)</f>
        <v>-72196.34</v>
      </c>
    </row>
    <row r="5">
      <c r="A5" s="7" t="s">
        <v>121</v>
      </c>
    </row>
    <row r="6">
      <c r="A6" s="41" t="s">
        <v>113</v>
      </c>
      <c r="B6" s="41" t="s">
        <v>122</v>
      </c>
      <c r="C6" s="41" t="s">
        <v>115</v>
      </c>
      <c r="D6" s="41" t="s">
        <v>123</v>
      </c>
      <c r="E6" s="41" t="s">
        <v>124</v>
      </c>
      <c r="F6" s="41" t="s">
        <v>125</v>
      </c>
      <c r="G6" s="41" t="s">
        <v>119</v>
      </c>
    </row>
    <row r="7">
      <c r="A7" s="60" t="s">
        <v>1066</v>
      </c>
      <c r="B7" s="60" t="s">
        <v>1164</v>
      </c>
      <c r="C7" s="60" t="s">
        <v>1165</v>
      </c>
      <c r="D7" s="37"/>
      <c r="E7" s="68">
        <v>0.0</v>
      </c>
      <c r="F7" s="68">
        <v>1.0</v>
      </c>
      <c r="G7" s="36">
        <f>IF(AND(E7="",F7=""),"",B3+E7-F7)</f>
        <v>-105636.53</v>
      </c>
    </row>
    <row r="8">
      <c r="A8" s="60" t="s">
        <v>1166</v>
      </c>
      <c r="B8" s="60" t="s">
        <v>1167</v>
      </c>
      <c r="C8" s="60" t="s">
        <v>1168</v>
      </c>
      <c r="D8" s="37"/>
      <c r="E8" s="68">
        <v>0.0</v>
      </c>
      <c r="F8" s="68">
        <v>2550.0</v>
      </c>
      <c r="G8" s="36">
        <f t="shared" ref="G8:G100" si="1">IF(AND(E8="",F8=""),"",G7+E8-F8)</f>
        <v>-108186.53</v>
      </c>
    </row>
    <row r="9">
      <c r="A9" s="69">
        <v>45690.0</v>
      </c>
      <c r="B9" s="60" t="s">
        <v>1169</v>
      </c>
      <c r="C9" s="60" t="s">
        <v>1160</v>
      </c>
      <c r="D9" s="37"/>
      <c r="E9" s="68">
        <v>0.0</v>
      </c>
      <c r="F9" s="68">
        <v>2500.0</v>
      </c>
      <c r="G9" s="36">
        <f t="shared" si="1"/>
        <v>-110686.53</v>
      </c>
    </row>
    <row r="10">
      <c r="A10" s="69">
        <v>45750.0</v>
      </c>
      <c r="B10" s="60" t="s">
        <v>1170</v>
      </c>
      <c r="C10" s="60" t="s">
        <v>1160</v>
      </c>
      <c r="D10" s="37"/>
      <c r="E10" s="68">
        <v>0.0</v>
      </c>
      <c r="F10" s="68">
        <v>2000.0</v>
      </c>
      <c r="G10" s="36">
        <f t="shared" si="1"/>
        <v>-112686.53</v>
      </c>
    </row>
    <row r="11">
      <c r="A11" s="63" t="s">
        <v>1171</v>
      </c>
      <c r="B11" s="85"/>
      <c r="C11" s="60" t="s">
        <v>1172</v>
      </c>
      <c r="D11" s="37"/>
      <c r="E11" s="68">
        <v>201.0</v>
      </c>
      <c r="F11" s="68">
        <v>0.0</v>
      </c>
      <c r="G11" s="36">
        <f t="shared" si="1"/>
        <v>-112485.53</v>
      </c>
    </row>
    <row r="12">
      <c r="A12" s="60" t="s">
        <v>2090</v>
      </c>
      <c r="B12" s="60" t="s">
        <v>2091</v>
      </c>
      <c r="C12" s="60" t="s">
        <v>1579</v>
      </c>
      <c r="D12" s="37"/>
      <c r="E12" s="68">
        <v>0.0</v>
      </c>
      <c r="F12" s="68">
        <v>425.0</v>
      </c>
      <c r="G12" s="36">
        <f t="shared" si="1"/>
        <v>-112910.53</v>
      </c>
    </row>
    <row r="13">
      <c r="A13" s="69">
        <v>45692.0</v>
      </c>
      <c r="B13" s="60" t="s">
        <v>2211</v>
      </c>
      <c r="C13" s="60" t="s">
        <v>1160</v>
      </c>
      <c r="D13" s="37"/>
      <c r="E13" s="68">
        <v>0.0</v>
      </c>
      <c r="F13" s="68">
        <v>490.0</v>
      </c>
      <c r="G13" s="36">
        <f t="shared" si="1"/>
        <v>-113400.53</v>
      </c>
    </row>
    <row r="14">
      <c r="A14" s="69">
        <v>45812.0</v>
      </c>
      <c r="B14" s="60" t="s">
        <v>2212</v>
      </c>
      <c r="C14" s="60" t="s">
        <v>2213</v>
      </c>
      <c r="D14" s="37"/>
      <c r="E14" s="68">
        <v>0.0</v>
      </c>
      <c r="F14" s="68">
        <v>562.0</v>
      </c>
      <c r="G14" s="36">
        <f t="shared" si="1"/>
        <v>-113962.53</v>
      </c>
    </row>
    <row r="15">
      <c r="A15" s="69">
        <v>45842.0</v>
      </c>
      <c r="B15" s="60" t="s">
        <v>2214</v>
      </c>
      <c r="C15" s="60" t="s">
        <v>1160</v>
      </c>
      <c r="D15" s="37"/>
      <c r="E15" s="68">
        <v>0.0</v>
      </c>
      <c r="F15" s="68">
        <v>496.94</v>
      </c>
      <c r="G15" s="36">
        <f t="shared" si="1"/>
        <v>-114459.47</v>
      </c>
    </row>
    <row r="16">
      <c r="A16" s="69">
        <v>45873.0</v>
      </c>
      <c r="B16" s="60" t="s">
        <v>1173</v>
      </c>
      <c r="C16" s="60" t="s">
        <v>1160</v>
      </c>
      <c r="D16" s="37"/>
      <c r="E16" s="68">
        <v>0.0</v>
      </c>
      <c r="F16" s="68">
        <v>1500.0</v>
      </c>
      <c r="G16" s="36">
        <f t="shared" si="1"/>
        <v>-115959.47</v>
      </c>
    </row>
    <row r="17">
      <c r="A17" s="69">
        <v>45873.0</v>
      </c>
      <c r="B17" s="60" t="s">
        <v>2215</v>
      </c>
      <c r="C17" s="60" t="s">
        <v>2216</v>
      </c>
      <c r="D17" s="37"/>
      <c r="E17" s="68">
        <v>0.0</v>
      </c>
      <c r="F17" s="68">
        <v>772.0</v>
      </c>
      <c r="G17" s="36">
        <f t="shared" si="1"/>
        <v>-116731.47</v>
      </c>
    </row>
    <row r="18">
      <c r="A18" s="69">
        <v>45934.0</v>
      </c>
      <c r="B18" s="60" t="s">
        <v>2217</v>
      </c>
      <c r="C18" s="60" t="s">
        <v>1484</v>
      </c>
      <c r="D18" s="37"/>
      <c r="E18" s="68">
        <v>0.0</v>
      </c>
      <c r="F18" s="68">
        <v>1321.0</v>
      </c>
      <c r="G18" s="36">
        <f t="shared" si="1"/>
        <v>-118052.47</v>
      </c>
    </row>
    <row r="19">
      <c r="A19" s="69">
        <v>45965.0</v>
      </c>
      <c r="B19" s="60" t="s">
        <v>1174</v>
      </c>
      <c r="C19" s="60" t="s">
        <v>1175</v>
      </c>
      <c r="D19" s="37"/>
      <c r="E19" s="68">
        <v>0.0</v>
      </c>
      <c r="F19" s="68">
        <v>0.02</v>
      </c>
      <c r="G19" s="36">
        <f t="shared" si="1"/>
        <v>-118052.49</v>
      </c>
    </row>
    <row r="20">
      <c r="A20" s="69">
        <v>45965.0</v>
      </c>
      <c r="B20" s="60" t="s">
        <v>2218</v>
      </c>
      <c r="C20" s="60" t="s">
        <v>2213</v>
      </c>
      <c r="D20" s="37"/>
      <c r="E20" s="68">
        <v>0.0</v>
      </c>
      <c r="F20" s="68">
        <v>102.0</v>
      </c>
      <c r="G20" s="36">
        <f t="shared" si="1"/>
        <v>-118154.49</v>
      </c>
    </row>
    <row r="21">
      <c r="A21" s="69">
        <v>45965.0</v>
      </c>
      <c r="B21" s="60" t="s">
        <v>2219</v>
      </c>
      <c r="C21" s="60" t="s">
        <v>2216</v>
      </c>
      <c r="D21" s="37"/>
      <c r="E21" s="68">
        <v>0.0</v>
      </c>
      <c r="F21" s="68">
        <v>777.0</v>
      </c>
      <c r="G21" s="36">
        <f t="shared" si="1"/>
        <v>-118931.49</v>
      </c>
    </row>
    <row r="22">
      <c r="A22" s="69">
        <v>45995.0</v>
      </c>
      <c r="B22" s="60" t="s">
        <v>2220</v>
      </c>
      <c r="C22" s="60" t="s">
        <v>2221</v>
      </c>
      <c r="D22" s="37"/>
      <c r="E22" s="68">
        <v>0.0</v>
      </c>
      <c r="F22" s="68">
        <v>208.0</v>
      </c>
      <c r="G22" s="36">
        <f t="shared" si="1"/>
        <v>-119139.49</v>
      </c>
    </row>
    <row r="23">
      <c r="A23" s="60" t="s">
        <v>2196</v>
      </c>
      <c r="B23" s="60" t="s">
        <v>2222</v>
      </c>
      <c r="C23" s="60" t="s">
        <v>1160</v>
      </c>
      <c r="D23" s="37"/>
      <c r="E23" s="68">
        <v>0.0</v>
      </c>
      <c r="F23" s="68">
        <v>242.0</v>
      </c>
      <c r="G23" s="36">
        <f t="shared" si="1"/>
        <v>-119381.49</v>
      </c>
    </row>
    <row r="24">
      <c r="A24" s="60" t="s">
        <v>2223</v>
      </c>
      <c r="B24" s="60" t="s">
        <v>2224</v>
      </c>
      <c r="C24" s="60" t="s">
        <v>2213</v>
      </c>
      <c r="D24" s="37"/>
      <c r="E24" s="68">
        <v>0.0</v>
      </c>
      <c r="F24" s="68">
        <v>163.0</v>
      </c>
      <c r="G24" s="36">
        <f t="shared" si="1"/>
        <v>-119544.49</v>
      </c>
    </row>
    <row r="25">
      <c r="A25" s="60" t="s">
        <v>2223</v>
      </c>
      <c r="B25" s="60" t="s">
        <v>2225</v>
      </c>
      <c r="C25" s="60" t="s">
        <v>1999</v>
      </c>
      <c r="D25" s="37"/>
      <c r="E25" s="68">
        <v>0.0</v>
      </c>
      <c r="F25" s="68">
        <v>386.0</v>
      </c>
      <c r="G25" s="36">
        <f t="shared" si="1"/>
        <v>-119930.49</v>
      </c>
    </row>
    <row r="26">
      <c r="A26" s="60" t="s">
        <v>2223</v>
      </c>
      <c r="B26" s="60" t="s">
        <v>2226</v>
      </c>
      <c r="C26" s="60" t="s">
        <v>1160</v>
      </c>
      <c r="D26" s="37"/>
      <c r="E26" s="68">
        <v>0.0</v>
      </c>
      <c r="F26" s="68">
        <v>300.0</v>
      </c>
      <c r="G26" s="36">
        <f t="shared" si="1"/>
        <v>-120230.49</v>
      </c>
    </row>
    <row r="27">
      <c r="A27" s="60" t="s">
        <v>2227</v>
      </c>
      <c r="B27" s="60" t="s">
        <v>2228</v>
      </c>
      <c r="C27" s="60" t="s">
        <v>2216</v>
      </c>
      <c r="D27" s="37"/>
      <c r="E27" s="68">
        <v>0.0</v>
      </c>
      <c r="F27" s="68">
        <v>2810.0</v>
      </c>
      <c r="G27" s="36">
        <f t="shared" si="1"/>
        <v>-123040.49</v>
      </c>
    </row>
    <row r="28">
      <c r="A28" s="60" t="s">
        <v>2229</v>
      </c>
      <c r="B28" s="60" t="s">
        <v>2230</v>
      </c>
      <c r="C28" s="60" t="s">
        <v>1160</v>
      </c>
      <c r="D28" s="37"/>
      <c r="E28" s="68">
        <v>0.0</v>
      </c>
      <c r="F28" s="68">
        <v>374.99</v>
      </c>
      <c r="G28" s="36">
        <f t="shared" si="1"/>
        <v>-123415.48</v>
      </c>
    </row>
    <row r="29">
      <c r="A29" s="60" t="s">
        <v>1176</v>
      </c>
      <c r="B29" s="60" t="s">
        <v>1177</v>
      </c>
      <c r="C29" s="60" t="s">
        <v>1160</v>
      </c>
      <c r="D29" s="37"/>
      <c r="E29" s="68">
        <v>0.0</v>
      </c>
      <c r="F29" s="68">
        <v>285.96</v>
      </c>
      <c r="G29" s="36">
        <f t="shared" si="1"/>
        <v>-123701.44</v>
      </c>
    </row>
    <row r="30">
      <c r="A30" s="60" t="s">
        <v>1176</v>
      </c>
      <c r="B30" s="60" t="s">
        <v>1178</v>
      </c>
      <c r="C30" s="60" t="s">
        <v>1160</v>
      </c>
      <c r="D30" s="37"/>
      <c r="E30" s="68">
        <v>0.0</v>
      </c>
      <c r="F30" s="68">
        <v>1380.0</v>
      </c>
      <c r="G30" s="36">
        <f t="shared" si="1"/>
        <v>-125081.44</v>
      </c>
    </row>
    <row r="31">
      <c r="A31" s="60" t="s">
        <v>1176</v>
      </c>
      <c r="B31" s="60" t="s">
        <v>2231</v>
      </c>
      <c r="C31" s="60" t="s">
        <v>1160</v>
      </c>
      <c r="D31" s="37"/>
      <c r="E31" s="68">
        <v>0.0</v>
      </c>
      <c r="F31" s="68">
        <v>400.0</v>
      </c>
      <c r="G31" s="36">
        <f t="shared" si="1"/>
        <v>-125481.44</v>
      </c>
    </row>
    <row r="32">
      <c r="A32" s="60" t="s">
        <v>2232</v>
      </c>
      <c r="B32" s="60" t="s">
        <v>2233</v>
      </c>
      <c r="C32" s="60" t="s">
        <v>2234</v>
      </c>
      <c r="D32" s="37"/>
      <c r="E32" s="68">
        <v>0.0</v>
      </c>
      <c r="F32" s="68">
        <v>459.94</v>
      </c>
      <c r="G32" s="36">
        <f t="shared" si="1"/>
        <v>-125941.38</v>
      </c>
    </row>
    <row r="33">
      <c r="A33" s="60" t="s">
        <v>2232</v>
      </c>
      <c r="B33" s="60" t="s">
        <v>2235</v>
      </c>
      <c r="C33" s="60" t="s">
        <v>2234</v>
      </c>
      <c r="D33" s="37"/>
      <c r="E33" s="68">
        <v>0.0</v>
      </c>
      <c r="F33" s="68">
        <v>108.0</v>
      </c>
      <c r="G33" s="36">
        <f t="shared" si="1"/>
        <v>-126049.38</v>
      </c>
    </row>
    <row r="34">
      <c r="A34" s="63" t="s">
        <v>2232</v>
      </c>
      <c r="B34" s="60" t="s">
        <v>2236</v>
      </c>
      <c r="C34" s="60" t="s">
        <v>2213</v>
      </c>
      <c r="D34" s="37"/>
      <c r="E34" s="68">
        <v>0.0</v>
      </c>
      <c r="F34" s="68">
        <v>562.0</v>
      </c>
      <c r="G34" s="36">
        <f t="shared" si="1"/>
        <v>-126611.38</v>
      </c>
    </row>
    <row r="35">
      <c r="A35" s="60" t="s">
        <v>2237</v>
      </c>
      <c r="B35" s="60" t="s">
        <v>2238</v>
      </c>
      <c r="C35" s="60" t="s">
        <v>2239</v>
      </c>
      <c r="D35" s="37"/>
      <c r="E35" s="68">
        <v>0.0</v>
      </c>
      <c r="F35" s="68">
        <v>586.0</v>
      </c>
      <c r="G35" s="36">
        <f t="shared" si="1"/>
        <v>-127197.38</v>
      </c>
    </row>
    <row r="36">
      <c r="A36" s="60" t="s">
        <v>2240</v>
      </c>
      <c r="B36" s="60" t="s">
        <v>2241</v>
      </c>
      <c r="C36" s="60" t="s">
        <v>2213</v>
      </c>
      <c r="D36" s="37"/>
      <c r="E36" s="68">
        <v>0.0</v>
      </c>
      <c r="F36" s="68">
        <v>235.0</v>
      </c>
      <c r="G36" s="36">
        <f t="shared" si="1"/>
        <v>-127432.38</v>
      </c>
    </row>
    <row r="37">
      <c r="A37" s="60" t="s">
        <v>2240</v>
      </c>
      <c r="B37" s="60" t="s">
        <v>2242</v>
      </c>
      <c r="C37" s="60" t="s">
        <v>2239</v>
      </c>
      <c r="D37" s="37"/>
      <c r="E37" s="68">
        <v>0.0</v>
      </c>
      <c r="F37" s="68">
        <v>201.0</v>
      </c>
      <c r="G37" s="36">
        <f t="shared" si="1"/>
        <v>-127633.38</v>
      </c>
    </row>
    <row r="38">
      <c r="A38" s="63" t="s">
        <v>2201</v>
      </c>
      <c r="B38" s="85"/>
      <c r="C38" s="60" t="s">
        <v>2010</v>
      </c>
      <c r="D38" s="37"/>
      <c r="E38" s="68">
        <v>562.0</v>
      </c>
      <c r="F38" s="79"/>
      <c r="G38" s="36">
        <f t="shared" si="1"/>
        <v>-127071.38</v>
      </c>
    </row>
    <row r="39">
      <c r="A39" s="60" t="s">
        <v>2201</v>
      </c>
      <c r="B39" s="60" t="s">
        <v>2243</v>
      </c>
      <c r="C39" s="60" t="s">
        <v>1557</v>
      </c>
      <c r="D39" s="37"/>
      <c r="E39" s="68">
        <v>10558.69</v>
      </c>
      <c r="F39" s="68">
        <v>0.0</v>
      </c>
      <c r="G39" s="36">
        <f t="shared" si="1"/>
        <v>-116512.69</v>
      </c>
    </row>
    <row r="40">
      <c r="A40" s="60" t="s">
        <v>2204</v>
      </c>
      <c r="B40" s="60" t="s">
        <v>2244</v>
      </c>
      <c r="C40" s="60" t="s">
        <v>1493</v>
      </c>
      <c r="D40" s="37"/>
      <c r="E40" s="68">
        <v>0.0</v>
      </c>
      <c r="F40" s="68">
        <v>121.98</v>
      </c>
      <c r="G40" s="36">
        <f t="shared" si="1"/>
        <v>-116634.67</v>
      </c>
    </row>
    <row r="41">
      <c r="A41" s="60" t="s">
        <v>2204</v>
      </c>
      <c r="B41" s="60" t="s">
        <v>2245</v>
      </c>
      <c r="C41" s="60" t="s">
        <v>1160</v>
      </c>
      <c r="D41" s="37"/>
      <c r="E41" s="68">
        <v>0.0</v>
      </c>
      <c r="F41" s="68">
        <v>1124.0</v>
      </c>
      <c r="G41" s="36">
        <f t="shared" si="1"/>
        <v>-117758.67</v>
      </c>
    </row>
    <row r="42">
      <c r="A42" s="60" t="s">
        <v>2204</v>
      </c>
      <c r="B42" s="60" t="s">
        <v>2246</v>
      </c>
      <c r="C42" s="60" t="s">
        <v>1160</v>
      </c>
      <c r="D42" s="37"/>
      <c r="E42" s="68">
        <v>0.0</v>
      </c>
      <c r="F42" s="68">
        <v>619.98</v>
      </c>
      <c r="G42" s="36">
        <f t="shared" si="1"/>
        <v>-118378.65</v>
      </c>
    </row>
    <row r="43">
      <c r="A43" s="60" t="s">
        <v>2247</v>
      </c>
      <c r="B43" s="60" t="s">
        <v>2248</v>
      </c>
      <c r="C43" s="60" t="s">
        <v>1999</v>
      </c>
      <c r="D43" s="37"/>
      <c r="E43" s="68">
        <v>0.0</v>
      </c>
      <c r="F43" s="68">
        <v>169.0</v>
      </c>
      <c r="G43" s="36">
        <f t="shared" si="1"/>
        <v>-118547.65</v>
      </c>
    </row>
    <row r="44">
      <c r="A44" s="60" t="s">
        <v>2247</v>
      </c>
      <c r="B44" s="60" t="s">
        <v>2249</v>
      </c>
      <c r="C44" s="60" t="s">
        <v>1579</v>
      </c>
      <c r="D44" s="37"/>
      <c r="E44" s="68">
        <v>0.0</v>
      </c>
      <c r="F44" s="68">
        <v>554.92</v>
      </c>
      <c r="G44" s="36">
        <f t="shared" si="1"/>
        <v>-119102.57</v>
      </c>
    </row>
    <row r="45">
      <c r="A45" s="60" t="s">
        <v>2247</v>
      </c>
      <c r="B45" s="60" t="s">
        <v>2250</v>
      </c>
      <c r="C45" s="60" t="s">
        <v>2216</v>
      </c>
      <c r="D45" s="37"/>
      <c r="E45" s="68">
        <v>0.0</v>
      </c>
      <c r="F45" s="68">
        <v>900.0</v>
      </c>
      <c r="G45" s="36">
        <f t="shared" si="1"/>
        <v>-120002.57</v>
      </c>
    </row>
    <row r="46">
      <c r="A46" s="60" t="s">
        <v>1179</v>
      </c>
      <c r="B46" s="60" t="s">
        <v>2251</v>
      </c>
      <c r="C46" s="60" t="s">
        <v>2213</v>
      </c>
      <c r="D46" s="37"/>
      <c r="E46" s="68">
        <v>0.0</v>
      </c>
      <c r="F46" s="68">
        <v>442.0</v>
      </c>
      <c r="G46" s="36">
        <f t="shared" si="1"/>
        <v>-120444.57</v>
      </c>
    </row>
    <row r="47">
      <c r="A47" s="60" t="s">
        <v>1179</v>
      </c>
      <c r="B47" s="60" t="s">
        <v>2252</v>
      </c>
      <c r="C47" s="60" t="s">
        <v>1244</v>
      </c>
      <c r="D47" s="37"/>
      <c r="E47" s="68">
        <v>0.0</v>
      </c>
      <c r="F47" s="68">
        <v>2180.77</v>
      </c>
      <c r="G47" s="36">
        <f t="shared" si="1"/>
        <v>-122625.34</v>
      </c>
    </row>
    <row r="48">
      <c r="A48" s="60" t="s">
        <v>1179</v>
      </c>
      <c r="B48" s="60" t="s">
        <v>1180</v>
      </c>
      <c r="C48" s="60" t="s">
        <v>1160</v>
      </c>
      <c r="D48" s="37"/>
      <c r="E48" s="68">
        <v>0.0</v>
      </c>
      <c r="F48" s="68">
        <v>1000.0</v>
      </c>
      <c r="G48" s="36">
        <f t="shared" si="1"/>
        <v>-123625.34</v>
      </c>
    </row>
    <row r="49">
      <c r="A49" s="60" t="s">
        <v>1179</v>
      </c>
      <c r="B49" s="60" t="s">
        <v>2253</v>
      </c>
      <c r="C49" s="60" t="s">
        <v>1160</v>
      </c>
      <c r="D49" s="37"/>
      <c r="E49" s="68">
        <v>0.0</v>
      </c>
      <c r="F49" s="68">
        <v>1700.0</v>
      </c>
      <c r="G49" s="36">
        <f t="shared" si="1"/>
        <v>-125325.34</v>
      </c>
    </row>
    <row r="50">
      <c r="A50" s="60" t="s">
        <v>1179</v>
      </c>
      <c r="B50" s="60" t="s">
        <v>2254</v>
      </c>
      <c r="C50" s="60" t="s">
        <v>1160</v>
      </c>
      <c r="D50" s="37"/>
      <c r="E50" s="68">
        <v>0.0</v>
      </c>
      <c r="F50" s="68">
        <v>400.0</v>
      </c>
      <c r="G50" s="36">
        <f t="shared" si="1"/>
        <v>-125725.34</v>
      </c>
    </row>
    <row r="51">
      <c r="A51" s="60" t="s">
        <v>2255</v>
      </c>
      <c r="B51" s="60" t="s">
        <v>2256</v>
      </c>
      <c r="C51" s="60" t="s">
        <v>2257</v>
      </c>
      <c r="D51" s="37"/>
      <c r="E51" s="68">
        <v>0.0</v>
      </c>
      <c r="F51" s="68">
        <v>313.0</v>
      </c>
      <c r="G51" s="36">
        <f t="shared" si="1"/>
        <v>-126038.34</v>
      </c>
    </row>
    <row r="52">
      <c r="A52" s="60" t="s">
        <v>2255</v>
      </c>
      <c r="B52" s="60" t="s">
        <v>2258</v>
      </c>
      <c r="C52" s="60" t="s">
        <v>2213</v>
      </c>
      <c r="D52" s="37"/>
      <c r="E52" s="68">
        <v>0.0</v>
      </c>
      <c r="F52" s="68">
        <v>805.0</v>
      </c>
      <c r="G52" s="36">
        <f t="shared" si="1"/>
        <v>-126843.34</v>
      </c>
    </row>
    <row r="53">
      <c r="A53" s="60" t="s">
        <v>2255</v>
      </c>
      <c r="B53" s="60" t="s">
        <v>2259</v>
      </c>
      <c r="C53" s="60" t="s">
        <v>1579</v>
      </c>
      <c r="D53" s="37"/>
      <c r="E53" s="68">
        <v>0.0</v>
      </c>
      <c r="F53" s="68">
        <v>578.0</v>
      </c>
      <c r="G53" s="36">
        <f t="shared" si="1"/>
        <v>-127421.34</v>
      </c>
    </row>
    <row r="54">
      <c r="A54" s="60" t="s">
        <v>2255</v>
      </c>
      <c r="B54" s="60" t="s">
        <v>2260</v>
      </c>
      <c r="C54" s="60" t="s">
        <v>1493</v>
      </c>
      <c r="D54" s="37"/>
      <c r="E54" s="68">
        <v>0.0</v>
      </c>
      <c r="F54" s="68">
        <v>166.97</v>
      </c>
      <c r="G54" s="36">
        <f t="shared" si="1"/>
        <v>-127588.31</v>
      </c>
    </row>
    <row r="55">
      <c r="A55" s="80">
        <v>45301.0</v>
      </c>
      <c r="B55" s="60" t="s">
        <v>1181</v>
      </c>
      <c r="C55" s="60" t="s">
        <v>1182</v>
      </c>
      <c r="D55" s="37"/>
      <c r="E55" s="79"/>
      <c r="F55" s="68">
        <v>4000.0</v>
      </c>
      <c r="G55" s="36">
        <f t="shared" si="1"/>
        <v>-131588.31</v>
      </c>
    </row>
    <row r="56">
      <c r="A56" s="60" t="s">
        <v>2255</v>
      </c>
      <c r="B56" s="60" t="s">
        <v>2261</v>
      </c>
      <c r="C56" s="60" t="s">
        <v>1869</v>
      </c>
      <c r="D56" s="37"/>
      <c r="E56" s="68">
        <v>0.0</v>
      </c>
      <c r="F56" s="68">
        <v>1600.77</v>
      </c>
      <c r="G56" s="36">
        <f t="shared" si="1"/>
        <v>-133189.08</v>
      </c>
    </row>
    <row r="57">
      <c r="A57" s="63" t="s">
        <v>2255</v>
      </c>
      <c r="B57" s="85"/>
      <c r="C57" s="60" t="s">
        <v>1583</v>
      </c>
      <c r="D57" s="37"/>
      <c r="E57" s="68">
        <v>1650.0</v>
      </c>
      <c r="F57" s="79"/>
      <c r="G57" s="36">
        <f t="shared" si="1"/>
        <v>-131539.08</v>
      </c>
    </row>
    <row r="58">
      <c r="A58" s="60" t="s">
        <v>2255</v>
      </c>
      <c r="B58" s="60" t="s">
        <v>2262</v>
      </c>
      <c r="C58" s="60" t="s">
        <v>1569</v>
      </c>
      <c r="D58" s="37"/>
      <c r="E58" s="68">
        <v>0.0</v>
      </c>
      <c r="F58" s="68">
        <v>1560.8</v>
      </c>
      <c r="G58" s="36">
        <f t="shared" si="1"/>
        <v>-133099.88</v>
      </c>
    </row>
    <row r="59">
      <c r="A59" s="60"/>
      <c r="B59" s="60"/>
      <c r="C59" s="60"/>
      <c r="D59" s="37"/>
      <c r="E59" s="68"/>
      <c r="F59" s="68"/>
      <c r="G59" s="36" t="str">
        <f t="shared" si="1"/>
        <v/>
      </c>
    </row>
    <row r="60">
      <c r="A60" s="60"/>
      <c r="B60" s="60"/>
      <c r="C60" s="60"/>
      <c r="D60" s="37"/>
      <c r="E60" s="68"/>
      <c r="F60" s="68"/>
      <c r="G60" s="36" t="str">
        <f t="shared" si="1"/>
        <v/>
      </c>
    </row>
    <row r="61">
      <c r="A61" s="60"/>
      <c r="B61" s="60"/>
      <c r="C61" s="60"/>
      <c r="D61" s="37"/>
      <c r="E61" s="68"/>
      <c r="F61" s="68"/>
      <c r="G61" s="36" t="str">
        <f t="shared" si="1"/>
        <v/>
      </c>
    </row>
    <row r="62">
      <c r="A62" s="60"/>
      <c r="B62" s="60"/>
      <c r="C62" s="60"/>
      <c r="D62" s="37"/>
      <c r="E62" s="68"/>
      <c r="F62" s="68"/>
      <c r="G62" s="36" t="str">
        <f t="shared" si="1"/>
        <v/>
      </c>
    </row>
    <row r="63">
      <c r="A63" s="60"/>
      <c r="B63" s="60"/>
      <c r="C63" s="60"/>
      <c r="D63" s="37"/>
      <c r="E63" s="68"/>
      <c r="F63" s="68"/>
      <c r="G63" s="36" t="str">
        <f t="shared" si="1"/>
        <v/>
      </c>
    </row>
    <row r="64">
      <c r="A64" s="60"/>
      <c r="B64" s="60"/>
      <c r="C64" s="60"/>
      <c r="D64" s="37"/>
      <c r="E64" s="68"/>
      <c r="F64" s="68"/>
      <c r="G64" s="36" t="str">
        <f t="shared" si="1"/>
        <v/>
      </c>
    </row>
    <row r="65">
      <c r="A65" s="60"/>
      <c r="B65" s="60"/>
      <c r="C65" s="60"/>
      <c r="D65" s="37"/>
      <c r="E65" s="68"/>
      <c r="F65" s="68"/>
      <c r="G65" s="36" t="str">
        <f t="shared" si="1"/>
        <v/>
      </c>
    </row>
    <row r="66">
      <c r="A66" s="60"/>
      <c r="B66" s="60"/>
      <c r="C66" s="60"/>
      <c r="D66" s="37"/>
      <c r="E66" s="68"/>
      <c r="F66" s="68"/>
      <c r="G66" s="36" t="str">
        <f t="shared" si="1"/>
        <v/>
      </c>
    </row>
    <row r="67">
      <c r="A67" s="80"/>
      <c r="B67" s="60"/>
      <c r="C67" s="60"/>
      <c r="D67" s="37"/>
      <c r="E67" s="79"/>
      <c r="F67" s="68"/>
      <c r="G67" s="36" t="str">
        <f t="shared" si="1"/>
        <v/>
      </c>
    </row>
    <row r="68">
      <c r="A68" s="60"/>
      <c r="B68" s="60"/>
      <c r="C68" s="60"/>
      <c r="D68" s="37"/>
      <c r="E68" s="68"/>
      <c r="F68" s="68"/>
      <c r="G68" s="36" t="str">
        <f t="shared" si="1"/>
        <v/>
      </c>
    </row>
    <row r="69">
      <c r="A69" s="63"/>
      <c r="B69" s="70"/>
      <c r="C69" s="60"/>
      <c r="D69" s="37"/>
      <c r="E69" s="68"/>
      <c r="F69" s="79"/>
      <c r="G69" s="36" t="str">
        <f t="shared" si="1"/>
        <v/>
      </c>
    </row>
    <row r="70">
      <c r="A70" s="60"/>
      <c r="B70" s="60"/>
      <c r="C70" s="60"/>
      <c r="D70" s="37"/>
      <c r="E70" s="68"/>
      <c r="F70" s="68"/>
      <c r="G70" s="36" t="str">
        <f t="shared" si="1"/>
        <v/>
      </c>
    </row>
    <row r="71">
      <c r="A71" s="37"/>
      <c r="B71" s="37"/>
      <c r="C71" s="37"/>
      <c r="D71" s="37"/>
      <c r="E71" s="36"/>
      <c r="F71" s="36"/>
      <c r="G71" s="36" t="str">
        <f t="shared" si="1"/>
        <v/>
      </c>
    </row>
    <row r="72">
      <c r="A72" s="37"/>
      <c r="B72" s="37"/>
      <c r="C72" s="37"/>
      <c r="D72" s="37"/>
      <c r="E72" s="36"/>
      <c r="F72" s="36"/>
      <c r="G72" s="36" t="str">
        <f t="shared" si="1"/>
        <v/>
      </c>
    </row>
    <row r="73">
      <c r="A73" s="37"/>
      <c r="B73" s="37"/>
      <c r="C73" s="37"/>
      <c r="D73" s="37"/>
      <c r="E73" s="36"/>
      <c r="F73" s="36"/>
      <c r="G73" s="36" t="str">
        <f t="shared" si="1"/>
        <v/>
      </c>
    </row>
    <row r="74">
      <c r="A74" s="37"/>
      <c r="B74" s="37"/>
      <c r="C74" s="37"/>
      <c r="D74" s="37"/>
      <c r="E74" s="36"/>
      <c r="F74" s="36"/>
      <c r="G74" s="36" t="str">
        <f t="shared" si="1"/>
        <v/>
      </c>
    </row>
    <row r="75">
      <c r="A75" s="37"/>
      <c r="B75" s="37"/>
      <c r="C75" s="37"/>
      <c r="D75" s="37"/>
      <c r="E75" s="36"/>
      <c r="F75" s="36"/>
      <c r="G75" s="36" t="str">
        <f t="shared" si="1"/>
        <v/>
      </c>
    </row>
    <row r="76">
      <c r="A76" s="37"/>
      <c r="B76" s="37"/>
      <c r="C76" s="37"/>
      <c r="D76" s="37"/>
      <c r="E76" s="36"/>
      <c r="F76" s="36"/>
      <c r="G76" s="36" t="str">
        <f t="shared" si="1"/>
        <v/>
      </c>
    </row>
    <row r="77">
      <c r="A77" s="37"/>
      <c r="B77" s="37"/>
      <c r="C77" s="37"/>
      <c r="D77" s="37"/>
      <c r="E77" s="36"/>
      <c r="F77" s="36"/>
      <c r="G77" s="36" t="str">
        <f t="shared" si="1"/>
        <v/>
      </c>
    </row>
    <row r="78">
      <c r="A78" s="37"/>
      <c r="B78" s="37"/>
      <c r="C78" s="37"/>
      <c r="D78" s="37"/>
      <c r="E78" s="36"/>
      <c r="F78" s="36"/>
      <c r="G78" s="36" t="str">
        <f t="shared" si="1"/>
        <v/>
      </c>
    </row>
    <row r="79">
      <c r="A79" s="37"/>
      <c r="B79" s="37"/>
      <c r="C79" s="37"/>
      <c r="D79" s="37"/>
      <c r="E79" s="36"/>
      <c r="F79" s="36"/>
      <c r="G79" s="36" t="str">
        <f t="shared" si="1"/>
        <v/>
      </c>
    </row>
    <row r="80">
      <c r="A80" s="37"/>
      <c r="B80" s="37"/>
      <c r="C80" s="37"/>
      <c r="D80" s="37"/>
      <c r="E80" s="36"/>
      <c r="F80" s="36"/>
      <c r="G80" s="36" t="str">
        <f t="shared" si="1"/>
        <v/>
      </c>
    </row>
    <row r="81">
      <c r="A81" s="37"/>
      <c r="B81" s="37"/>
      <c r="C81" s="37"/>
      <c r="D81" s="37"/>
      <c r="E81" s="36"/>
      <c r="F81" s="36"/>
      <c r="G81" s="36" t="str">
        <f t="shared" si="1"/>
        <v/>
      </c>
    </row>
    <row r="82">
      <c r="A82" s="37"/>
      <c r="B82" s="37"/>
      <c r="C82" s="37"/>
      <c r="D82" s="37"/>
      <c r="E82" s="36"/>
      <c r="F82" s="36"/>
      <c r="G82" s="36" t="str">
        <f t="shared" si="1"/>
        <v/>
      </c>
    </row>
    <row r="83">
      <c r="A83" s="37"/>
      <c r="B83" s="37"/>
      <c r="C83" s="37"/>
      <c r="D83" s="37"/>
      <c r="E83" s="36"/>
      <c r="F83" s="36"/>
      <c r="G83" s="36" t="str">
        <f t="shared" si="1"/>
        <v/>
      </c>
    </row>
    <row r="84">
      <c r="A84" s="37"/>
      <c r="B84" s="37"/>
      <c r="C84" s="37"/>
      <c r="D84" s="37"/>
      <c r="E84" s="36"/>
      <c r="F84" s="36"/>
      <c r="G84" s="36" t="str">
        <f t="shared" si="1"/>
        <v/>
      </c>
    </row>
    <row r="85">
      <c r="A85" s="37"/>
      <c r="B85" s="37"/>
      <c r="C85" s="37"/>
      <c r="D85" s="37"/>
      <c r="E85" s="36"/>
      <c r="F85" s="36"/>
      <c r="G85" s="36" t="str">
        <f t="shared" si="1"/>
        <v/>
      </c>
    </row>
    <row r="86">
      <c r="A86" s="37"/>
      <c r="B86" s="37"/>
      <c r="C86" s="37"/>
      <c r="D86" s="37"/>
      <c r="E86" s="36"/>
      <c r="F86" s="36"/>
      <c r="G86" s="36" t="str">
        <f t="shared" si="1"/>
        <v/>
      </c>
    </row>
    <row r="87">
      <c r="A87" s="37"/>
      <c r="B87" s="37"/>
      <c r="C87" s="37"/>
      <c r="D87" s="37"/>
      <c r="E87" s="36"/>
      <c r="F87" s="36"/>
      <c r="G87" s="36" t="str">
        <f t="shared" si="1"/>
        <v/>
      </c>
    </row>
    <row r="88">
      <c r="A88" s="37"/>
      <c r="B88" s="37"/>
      <c r="C88" s="37"/>
      <c r="D88" s="37"/>
      <c r="E88" s="36"/>
      <c r="F88" s="36"/>
      <c r="G88" s="36" t="str">
        <f t="shared" si="1"/>
        <v/>
      </c>
    </row>
    <row r="89">
      <c r="A89" s="37"/>
      <c r="B89" s="37"/>
      <c r="C89" s="37"/>
      <c r="D89" s="37"/>
      <c r="E89" s="36"/>
      <c r="F89" s="36"/>
      <c r="G89" s="36" t="str">
        <f t="shared" si="1"/>
        <v/>
      </c>
    </row>
    <row r="90">
      <c r="A90" s="37"/>
      <c r="B90" s="37"/>
      <c r="C90" s="37"/>
      <c r="D90" s="37"/>
      <c r="E90" s="36"/>
      <c r="F90" s="36"/>
      <c r="G90" s="36" t="str">
        <f t="shared" si="1"/>
        <v/>
      </c>
    </row>
    <row r="91">
      <c r="A91" s="37"/>
      <c r="B91" s="37"/>
      <c r="C91" s="37"/>
      <c r="D91" s="37"/>
      <c r="E91" s="36"/>
      <c r="F91" s="36"/>
      <c r="G91" s="36" t="str">
        <f t="shared" si="1"/>
        <v/>
      </c>
    </row>
    <row r="92">
      <c r="A92" s="37"/>
      <c r="B92" s="37"/>
      <c r="C92" s="37"/>
      <c r="D92" s="37"/>
      <c r="E92" s="36"/>
      <c r="F92" s="36"/>
      <c r="G92" s="36" t="str">
        <f t="shared" si="1"/>
        <v/>
      </c>
    </row>
    <row r="93">
      <c r="A93" s="37"/>
      <c r="B93" s="37"/>
      <c r="C93" s="37"/>
      <c r="D93" s="37"/>
      <c r="E93" s="36"/>
      <c r="F93" s="36"/>
      <c r="G93" s="36" t="str">
        <f t="shared" si="1"/>
        <v/>
      </c>
    </row>
    <row r="94">
      <c r="A94" s="37"/>
      <c r="B94" s="37"/>
      <c r="C94" s="37"/>
      <c r="D94" s="37"/>
      <c r="E94" s="36"/>
      <c r="F94" s="36"/>
      <c r="G94" s="36" t="str">
        <f t="shared" si="1"/>
        <v/>
      </c>
    </row>
    <row r="95">
      <c r="A95" s="37"/>
      <c r="B95" s="37"/>
      <c r="C95" s="37"/>
      <c r="D95" s="37"/>
      <c r="E95" s="36"/>
      <c r="F95" s="36"/>
      <c r="G95" s="36" t="str">
        <f t="shared" si="1"/>
        <v/>
      </c>
    </row>
    <row r="96">
      <c r="A96" s="37"/>
      <c r="B96" s="37"/>
      <c r="C96" s="37"/>
      <c r="D96" s="37"/>
      <c r="E96" s="36"/>
      <c r="F96" s="36"/>
      <c r="G96" s="36" t="str">
        <f t="shared" si="1"/>
        <v/>
      </c>
    </row>
    <row r="97">
      <c r="A97" s="37"/>
      <c r="B97" s="37"/>
      <c r="C97" s="37"/>
      <c r="D97" s="37"/>
      <c r="E97" s="36"/>
      <c r="F97" s="36"/>
      <c r="G97" s="36" t="str">
        <f t="shared" si="1"/>
        <v/>
      </c>
    </row>
    <row r="98">
      <c r="A98" s="37"/>
      <c r="B98" s="37"/>
      <c r="C98" s="37"/>
      <c r="D98" s="37"/>
      <c r="E98" s="36"/>
      <c r="F98" s="36"/>
      <c r="G98" s="36" t="str">
        <f t="shared" si="1"/>
        <v/>
      </c>
    </row>
    <row r="99">
      <c r="A99" s="37"/>
      <c r="B99" s="37"/>
      <c r="C99" s="37"/>
      <c r="D99" s="37"/>
      <c r="E99" s="36"/>
      <c r="F99" s="36"/>
      <c r="G99" s="36" t="str">
        <f t="shared" si="1"/>
        <v/>
      </c>
    </row>
    <row r="100">
      <c r="A100" s="37"/>
      <c r="B100" s="37"/>
      <c r="C100" s="37"/>
      <c r="D100" s="37"/>
      <c r="E100" s="36"/>
      <c r="F100" s="36"/>
      <c r="G100" s="36" t="str">
        <f t="shared" si="1"/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>
        <f t="shared" ref="E102:F102" si="2">SUM(E7:E101)</f>
        <v>12971.69</v>
      </c>
      <c r="F102" s="55">
        <f t="shared" si="2"/>
        <v>40436.04</v>
      </c>
      <c r="G102" s="56"/>
    </row>
  </sheetData>
  <mergeCells count="2">
    <mergeCell ref="A1:G1"/>
    <mergeCell ref="A5:G5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4" width="12.63"/>
    <col customWidth="1" min="5" max="7" width="15.13"/>
    <col customWidth="1" min="8" max="8" width="7.63"/>
  </cols>
  <sheetData>
    <row r="1">
      <c r="A1" s="24" t="s">
        <v>2263</v>
      </c>
    </row>
    <row r="3">
      <c r="A3" s="15" t="s">
        <v>41</v>
      </c>
    </row>
    <row r="4">
      <c r="A4" s="105" t="s">
        <v>1391</v>
      </c>
      <c r="B4" s="90">
        <f t="shared" ref="B4:B13" si="1">SUMIF($D$20:$D$503,A4,$G$20:$G$503)</f>
        <v>55220.63</v>
      </c>
      <c r="C4" s="90">
        <f t="shared" ref="C4:C13" si="2">COUNTIF($D$20:$D$503,A4)</f>
        <v>47</v>
      </c>
      <c r="D4" s="90">
        <f t="shared" ref="D4:D8" si="3">IFERROR(B4/C4,0)</f>
        <v>1174.907021</v>
      </c>
    </row>
    <row r="5">
      <c r="A5" s="34" t="s">
        <v>1392</v>
      </c>
      <c r="B5" s="36">
        <f t="shared" si="1"/>
        <v>23222.49</v>
      </c>
      <c r="C5" s="36">
        <f t="shared" si="2"/>
        <v>17</v>
      </c>
      <c r="D5" s="36">
        <f t="shared" si="3"/>
        <v>1366.028824</v>
      </c>
    </row>
    <row r="6">
      <c r="A6" s="34" t="s">
        <v>1393</v>
      </c>
      <c r="B6" s="36">
        <f t="shared" si="1"/>
        <v>14069.24</v>
      </c>
      <c r="C6" s="36">
        <f t="shared" si="2"/>
        <v>15</v>
      </c>
      <c r="D6" s="36">
        <f t="shared" si="3"/>
        <v>937.9493333</v>
      </c>
    </row>
    <row r="7">
      <c r="A7" s="34" t="s">
        <v>46</v>
      </c>
      <c r="B7" s="36">
        <f t="shared" si="1"/>
        <v>14302.95</v>
      </c>
      <c r="C7" s="36">
        <f t="shared" si="2"/>
        <v>8</v>
      </c>
      <c r="D7" s="36">
        <f t="shared" si="3"/>
        <v>1787.86875</v>
      </c>
    </row>
    <row r="8">
      <c r="A8" s="34" t="s">
        <v>47</v>
      </c>
      <c r="B8" s="36">
        <f t="shared" si="1"/>
        <v>390433.84</v>
      </c>
      <c r="C8" s="36">
        <f t="shared" si="2"/>
        <v>24</v>
      </c>
      <c r="D8" s="36">
        <f t="shared" si="3"/>
        <v>16268.07667</v>
      </c>
    </row>
    <row r="9">
      <c r="A9" s="34" t="s">
        <v>48</v>
      </c>
      <c r="B9" s="36">
        <f t="shared" si="1"/>
        <v>59897.57</v>
      </c>
      <c r="C9" s="36">
        <f t="shared" si="2"/>
        <v>33</v>
      </c>
      <c r="D9" s="36">
        <f t="shared" ref="D9:D13" si="4">IFERROR(B9/C9,0)</f>
        <v>1815.077879</v>
      </c>
    </row>
    <row r="10">
      <c r="A10" s="34" t="s">
        <v>49</v>
      </c>
      <c r="B10" s="36">
        <f t="shared" si="1"/>
        <v>809040.72</v>
      </c>
      <c r="C10" s="36">
        <f t="shared" si="2"/>
        <v>14</v>
      </c>
      <c r="D10" s="36">
        <f t="shared" si="4"/>
        <v>57788.62286</v>
      </c>
    </row>
    <row r="11">
      <c r="A11" s="34" t="s">
        <v>50</v>
      </c>
      <c r="B11" s="36">
        <f t="shared" si="1"/>
        <v>4846.35</v>
      </c>
      <c r="C11" s="36">
        <f t="shared" si="2"/>
        <v>13</v>
      </c>
      <c r="D11" s="36">
        <f t="shared" si="4"/>
        <v>372.7961538</v>
      </c>
    </row>
    <row r="12">
      <c r="A12" s="91" t="s">
        <v>52</v>
      </c>
      <c r="B12" s="36">
        <f t="shared" si="1"/>
        <v>264736.23</v>
      </c>
      <c r="C12" s="36">
        <f t="shared" si="2"/>
        <v>21</v>
      </c>
      <c r="D12" s="36">
        <f t="shared" si="4"/>
        <v>12606.48714</v>
      </c>
    </row>
    <row r="13">
      <c r="A13" s="91" t="s">
        <v>58</v>
      </c>
      <c r="B13" s="36">
        <f t="shared" si="1"/>
        <v>5859.02</v>
      </c>
      <c r="C13" s="36">
        <f t="shared" si="2"/>
        <v>9</v>
      </c>
      <c r="D13" s="36">
        <f t="shared" si="4"/>
        <v>651.0022222</v>
      </c>
    </row>
    <row r="14">
      <c r="A14" s="34" t="s">
        <v>1761</v>
      </c>
      <c r="B14" s="36">
        <f t="shared" ref="B14:B16" si="5">SUMIF($D$21:$D$504,A14,$G$21:$G$504)</f>
        <v>65418.65</v>
      </c>
      <c r="C14" s="36">
        <f>COUNTIF($D$21:$D$504,A14)</f>
        <v>111</v>
      </c>
      <c r="D14" s="36">
        <f t="shared" ref="D14:D15" si="6">IFERROR(B14/C14,0)</f>
        <v>589.3572072</v>
      </c>
    </row>
    <row r="15">
      <c r="A15" s="105" t="s">
        <v>2040</v>
      </c>
      <c r="B15" s="36">
        <f t="shared" si="5"/>
        <v>4062.21</v>
      </c>
      <c r="C15" s="36">
        <f t="shared" ref="C15:C16" si="7">COUNTIF($D$20:$D$503,A15)</f>
        <v>12</v>
      </c>
      <c r="D15" s="36">
        <f t="shared" si="6"/>
        <v>338.5175</v>
      </c>
    </row>
    <row r="16">
      <c r="A16" s="105" t="s">
        <v>2264</v>
      </c>
      <c r="B16" s="98">
        <f t="shared" si="5"/>
        <v>4990.26</v>
      </c>
      <c r="C16" s="98">
        <f t="shared" si="7"/>
        <v>34</v>
      </c>
      <c r="D16" s="98">
        <f>IFERROR(B16/C16,0)</f>
        <v>146.7723529</v>
      </c>
    </row>
    <row r="17">
      <c r="A17" s="38" t="s">
        <v>59</v>
      </c>
      <c r="B17" s="39">
        <f>SUM(B4:B16)</f>
        <v>1716100.16</v>
      </c>
      <c r="C17" s="39">
        <f>SUM(C5:C15)</f>
        <v>277</v>
      </c>
      <c r="D17" s="39">
        <f>IFERROR(B17/C17,0)</f>
        <v>6195.307437</v>
      </c>
    </row>
    <row r="19">
      <c r="A19" s="7" t="s">
        <v>1871</v>
      </c>
    </row>
    <row r="20">
      <c r="A20" s="41" t="s">
        <v>130</v>
      </c>
      <c r="B20" s="41" t="s">
        <v>131</v>
      </c>
      <c r="C20" s="41" t="s">
        <v>132</v>
      </c>
      <c r="D20" s="41" t="s">
        <v>41</v>
      </c>
      <c r="E20" s="41" t="s">
        <v>133</v>
      </c>
      <c r="F20" s="41" t="s">
        <v>134</v>
      </c>
      <c r="G20" s="41" t="s">
        <v>104</v>
      </c>
      <c r="H20" s="41" t="s">
        <v>135</v>
      </c>
    </row>
    <row r="21">
      <c r="A21" s="60" t="s">
        <v>2041</v>
      </c>
      <c r="B21" s="60" t="s">
        <v>2042</v>
      </c>
      <c r="C21" s="34" t="s">
        <v>81</v>
      </c>
      <c r="D21" s="34" t="s">
        <v>1391</v>
      </c>
      <c r="E21" s="68">
        <v>300.0</v>
      </c>
      <c r="F21" s="36"/>
      <c r="G21" s="36">
        <f t="shared" ref="G21:G504" si="8">IF(E21="","",E21-F21)</f>
        <v>300</v>
      </c>
      <c r="H21" s="37"/>
    </row>
    <row r="22">
      <c r="A22" s="60" t="s">
        <v>170</v>
      </c>
      <c r="B22" s="60" t="s">
        <v>171</v>
      </c>
      <c r="C22" s="34" t="s">
        <v>81</v>
      </c>
      <c r="D22" s="34" t="s">
        <v>1391</v>
      </c>
      <c r="E22" s="68">
        <v>135.97</v>
      </c>
      <c r="F22" s="36"/>
      <c r="G22" s="36">
        <f t="shared" si="8"/>
        <v>135.97</v>
      </c>
      <c r="H22" s="37"/>
    </row>
    <row r="23">
      <c r="A23" s="60" t="s">
        <v>174</v>
      </c>
      <c r="B23" s="60" t="s">
        <v>175</v>
      </c>
      <c r="C23" s="34" t="s">
        <v>81</v>
      </c>
      <c r="D23" s="34" t="s">
        <v>1391</v>
      </c>
      <c r="E23" s="68">
        <v>533.91</v>
      </c>
      <c r="F23" s="36"/>
      <c r="G23" s="36">
        <f t="shared" si="8"/>
        <v>533.91</v>
      </c>
      <c r="H23" s="37"/>
    </row>
    <row r="24">
      <c r="A24" s="60" t="s">
        <v>176</v>
      </c>
      <c r="B24" s="60" t="s">
        <v>177</v>
      </c>
      <c r="C24" s="34" t="s">
        <v>81</v>
      </c>
      <c r="D24" s="34" t="s">
        <v>1391</v>
      </c>
      <c r="E24" s="68">
        <v>1761.85</v>
      </c>
      <c r="F24" s="36"/>
      <c r="G24" s="36">
        <f t="shared" si="8"/>
        <v>1761.85</v>
      </c>
      <c r="H24" s="37"/>
    </row>
    <row r="25">
      <c r="A25" s="60" t="s">
        <v>178</v>
      </c>
      <c r="B25" s="60" t="s">
        <v>179</v>
      </c>
      <c r="C25" s="34" t="s">
        <v>81</v>
      </c>
      <c r="D25" s="34" t="s">
        <v>1391</v>
      </c>
      <c r="E25" s="68">
        <v>731.89</v>
      </c>
      <c r="F25" s="36"/>
      <c r="G25" s="36">
        <f t="shared" si="8"/>
        <v>731.89</v>
      </c>
      <c r="H25" s="37"/>
    </row>
    <row r="26">
      <c r="A26" s="60" t="s">
        <v>182</v>
      </c>
      <c r="B26" s="60" t="s">
        <v>183</v>
      </c>
      <c r="C26" s="34" t="s">
        <v>81</v>
      </c>
      <c r="D26" s="34" t="s">
        <v>1391</v>
      </c>
      <c r="E26" s="68">
        <v>999.85</v>
      </c>
      <c r="F26" s="36"/>
      <c r="G26" s="36">
        <f t="shared" si="8"/>
        <v>999.85</v>
      </c>
      <c r="H26" s="37"/>
    </row>
    <row r="27">
      <c r="A27" s="60" t="s">
        <v>184</v>
      </c>
      <c r="B27" s="60" t="s">
        <v>185</v>
      </c>
      <c r="C27" s="34" t="s">
        <v>81</v>
      </c>
      <c r="D27" s="34" t="s">
        <v>1391</v>
      </c>
      <c r="E27" s="68">
        <v>1532.78</v>
      </c>
      <c r="F27" s="36"/>
      <c r="G27" s="36">
        <f t="shared" si="8"/>
        <v>1532.78</v>
      </c>
      <c r="H27" s="37"/>
    </row>
    <row r="28">
      <c r="A28" s="60" t="s">
        <v>186</v>
      </c>
      <c r="B28" s="60" t="s">
        <v>187</v>
      </c>
      <c r="C28" s="34" t="s">
        <v>81</v>
      </c>
      <c r="D28" s="34" t="s">
        <v>1391</v>
      </c>
      <c r="E28" s="68">
        <v>697.9</v>
      </c>
      <c r="F28" s="36"/>
      <c r="G28" s="36">
        <f t="shared" si="8"/>
        <v>697.9</v>
      </c>
      <c r="H28" s="37"/>
    </row>
    <row r="29">
      <c r="A29" s="60" t="s">
        <v>190</v>
      </c>
      <c r="B29" s="60" t="s">
        <v>191</v>
      </c>
      <c r="C29" s="34" t="s">
        <v>81</v>
      </c>
      <c r="D29" s="34" t="s">
        <v>1391</v>
      </c>
      <c r="E29" s="68">
        <v>2886.64</v>
      </c>
      <c r="F29" s="36"/>
      <c r="G29" s="36">
        <f t="shared" si="8"/>
        <v>2886.64</v>
      </c>
      <c r="H29" s="37"/>
    </row>
    <row r="30">
      <c r="A30" s="60" t="s">
        <v>192</v>
      </c>
      <c r="B30" s="60" t="s">
        <v>193</v>
      </c>
      <c r="C30" s="34" t="s">
        <v>81</v>
      </c>
      <c r="D30" s="34" t="s">
        <v>1391</v>
      </c>
      <c r="E30" s="68">
        <v>494.93</v>
      </c>
      <c r="F30" s="36"/>
      <c r="G30" s="36">
        <f t="shared" si="8"/>
        <v>494.93</v>
      </c>
      <c r="H30" s="37"/>
    </row>
    <row r="31">
      <c r="A31" s="60" t="s">
        <v>1872</v>
      </c>
      <c r="B31" s="60" t="s">
        <v>1873</v>
      </c>
      <c r="C31" s="34" t="s">
        <v>81</v>
      </c>
      <c r="D31" s="34" t="s">
        <v>1391</v>
      </c>
      <c r="E31" s="68">
        <v>1072.87</v>
      </c>
      <c r="F31" s="36"/>
      <c r="G31" s="36">
        <f t="shared" si="8"/>
        <v>1072.87</v>
      </c>
      <c r="H31" s="37"/>
    </row>
    <row r="32">
      <c r="A32" s="60" t="s">
        <v>194</v>
      </c>
      <c r="B32" s="60" t="s">
        <v>195</v>
      </c>
      <c r="C32" s="34" t="s">
        <v>81</v>
      </c>
      <c r="D32" s="34" t="s">
        <v>1391</v>
      </c>
      <c r="E32" s="68">
        <v>1123.68</v>
      </c>
      <c r="F32" s="36"/>
      <c r="G32" s="36">
        <f t="shared" si="8"/>
        <v>1123.68</v>
      </c>
      <c r="H32" s="37"/>
    </row>
    <row r="33">
      <c r="A33" s="60" t="s">
        <v>196</v>
      </c>
      <c r="B33" s="60" t="s">
        <v>197</v>
      </c>
      <c r="C33" s="34" t="s">
        <v>81</v>
      </c>
      <c r="D33" s="34" t="s">
        <v>1391</v>
      </c>
      <c r="E33" s="68">
        <v>5391.36</v>
      </c>
      <c r="F33" s="36"/>
      <c r="G33" s="36">
        <f t="shared" si="8"/>
        <v>5391.36</v>
      </c>
      <c r="H33" s="37"/>
    </row>
    <row r="34">
      <c r="A34" s="60" t="s">
        <v>198</v>
      </c>
      <c r="B34" s="60" t="s">
        <v>199</v>
      </c>
      <c r="C34" s="34" t="s">
        <v>81</v>
      </c>
      <c r="D34" s="34" t="s">
        <v>1391</v>
      </c>
      <c r="E34" s="68">
        <v>2043.72</v>
      </c>
      <c r="F34" s="36"/>
      <c r="G34" s="36">
        <f t="shared" si="8"/>
        <v>2043.72</v>
      </c>
      <c r="H34" s="37"/>
    </row>
    <row r="35">
      <c r="A35" s="60" t="s">
        <v>200</v>
      </c>
      <c r="B35" s="60" t="s">
        <v>201</v>
      </c>
      <c r="C35" s="34" t="s">
        <v>81</v>
      </c>
      <c r="D35" s="34" t="s">
        <v>1391</v>
      </c>
      <c r="E35" s="68">
        <v>1021.87</v>
      </c>
      <c r="F35" s="36"/>
      <c r="G35" s="36">
        <f t="shared" si="8"/>
        <v>1021.87</v>
      </c>
      <c r="H35" s="37"/>
    </row>
    <row r="36">
      <c r="A36" s="60" t="s">
        <v>202</v>
      </c>
      <c r="B36" s="60" t="s">
        <v>203</v>
      </c>
      <c r="C36" s="34" t="s">
        <v>81</v>
      </c>
      <c r="D36" s="34" t="s">
        <v>1391</v>
      </c>
      <c r="E36" s="68">
        <v>384.95</v>
      </c>
      <c r="F36" s="36"/>
      <c r="G36" s="36">
        <f t="shared" si="8"/>
        <v>384.95</v>
      </c>
      <c r="H36" s="37"/>
    </row>
    <row r="37">
      <c r="A37" s="60" t="s">
        <v>204</v>
      </c>
      <c r="B37" s="60" t="s">
        <v>205</v>
      </c>
      <c r="C37" s="34" t="s">
        <v>81</v>
      </c>
      <c r="D37" s="34" t="s">
        <v>1391</v>
      </c>
      <c r="E37" s="68">
        <v>1572.77</v>
      </c>
      <c r="F37" s="36"/>
      <c r="G37" s="36">
        <f t="shared" si="8"/>
        <v>1572.77</v>
      </c>
      <c r="H37" s="37"/>
    </row>
    <row r="38">
      <c r="A38" s="60" t="s">
        <v>206</v>
      </c>
      <c r="B38" s="60" t="s">
        <v>207</v>
      </c>
      <c r="C38" s="34" t="s">
        <v>81</v>
      </c>
      <c r="D38" s="34" t="s">
        <v>1391</v>
      </c>
      <c r="E38" s="68">
        <v>1523.91</v>
      </c>
      <c r="F38" s="36"/>
      <c r="G38" s="36">
        <f t="shared" si="8"/>
        <v>1523.91</v>
      </c>
      <c r="H38" s="37"/>
    </row>
    <row r="39">
      <c r="A39" s="60" t="s">
        <v>208</v>
      </c>
      <c r="B39" s="60" t="s">
        <v>209</v>
      </c>
      <c r="C39" s="34" t="s">
        <v>81</v>
      </c>
      <c r="D39" s="34" t="s">
        <v>1391</v>
      </c>
      <c r="E39" s="68">
        <v>2093.68</v>
      </c>
      <c r="F39" s="36"/>
      <c r="G39" s="36">
        <f t="shared" si="8"/>
        <v>2093.68</v>
      </c>
      <c r="H39" s="37"/>
    </row>
    <row r="40">
      <c r="A40" s="60" t="s">
        <v>210</v>
      </c>
      <c r="B40" s="60" t="s">
        <v>211</v>
      </c>
      <c r="C40" s="34" t="s">
        <v>81</v>
      </c>
      <c r="D40" s="34" t="s">
        <v>1391</v>
      </c>
      <c r="E40" s="68">
        <v>1301.87</v>
      </c>
      <c r="F40" s="36"/>
      <c r="G40" s="36">
        <f t="shared" si="8"/>
        <v>1301.87</v>
      </c>
      <c r="H40" s="37"/>
    </row>
    <row r="41">
      <c r="A41" s="60" t="s">
        <v>1405</v>
      </c>
      <c r="B41" s="60" t="s">
        <v>1406</v>
      </c>
      <c r="C41" s="34" t="s">
        <v>81</v>
      </c>
      <c r="D41" s="34" t="s">
        <v>1391</v>
      </c>
      <c r="E41" s="68">
        <v>2047.75</v>
      </c>
      <c r="F41" s="36"/>
      <c r="G41" s="36">
        <f t="shared" si="8"/>
        <v>2047.75</v>
      </c>
      <c r="H41" s="37"/>
    </row>
    <row r="42">
      <c r="A42" s="60" t="s">
        <v>212</v>
      </c>
      <c r="B42" s="60" t="s">
        <v>2043</v>
      </c>
      <c r="C42" s="34" t="s">
        <v>81</v>
      </c>
      <c r="D42" s="34" t="s">
        <v>1391</v>
      </c>
      <c r="E42" s="68">
        <v>0.01</v>
      </c>
      <c r="F42" s="36"/>
      <c r="G42" s="36">
        <f t="shared" si="8"/>
        <v>0.01</v>
      </c>
      <c r="H42" s="37"/>
    </row>
    <row r="43">
      <c r="A43" s="60" t="s">
        <v>214</v>
      </c>
      <c r="B43" s="60" t="s">
        <v>215</v>
      </c>
      <c r="C43" s="34" t="s">
        <v>81</v>
      </c>
      <c r="D43" s="34" t="s">
        <v>1391</v>
      </c>
      <c r="E43" s="68">
        <v>234.97</v>
      </c>
      <c r="F43" s="36"/>
      <c r="G43" s="36">
        <f t="shared" si="8"/>
        <v>234.97</v>
      </c>
      <c r="H43" s="37"/>
    </row>
    <row r="44">
      <c r="A44" s="60" t="s">
        <v>1762</v>
      </c>
      <c r="B44" s="60" t="s">
        <v>1763</v>
      </c>
      <c r="C44" s="34" t="s">
        <v>81</v>
      </c>
      <c r="D44" s="34" t="s">
        <v>1391</v>
      </c>
      <c r="E44" s="68">
        <v>271.95</v>
      </c>
      <c r="F44" s="36"/>
      <c r="G44" s="36">
        <f t="shared" si="8"/>
        <v>271.95</v>
      </c>
      <c r="H44" s="37"/>
    </row>
    <row r="45">
      <c r="A45" s="60" t="s">
        <v>218</v>
      </c>
      <c r="B45" s="60" t="s">
        <v>219</v>
      </c>
      <c r="C45" s="34" t="s">
        <v>81</v>
      </c>
      <c r="D45" s="34" t="s">
        <v>1391</v>
      </c>
      <c r="E45" s="68">
        <v>6339.2</v>
      </c>
      <c r="F45" s="36"/>
      <c r="G45" s="36">
        <f t="shared" si="8"/>
        <v>6339.2</v>
      </c>
      <c r="H45" s="37"/>
    </row>
    <row r="46">
      <c r="A46" s="60" t="s">
        <v>220</v>
      </c>
      <c r="B46" s="60" t="s">
        <v>221</v>
      </c>
      <c r="C46" s="34" t="s">
        <v>81</v>
      </c>
      <c r="D46" s="34" t="s">
        <v>1391</v>
      </c>
      <c r="E46" s="68">
        <v>508.94</v>
      </c>
      <c r="F46" s="36"/>
      <c r="G46" s="36">
        <f t="shared" si="8"/>
        <v>508.94</v>
      </c>
      <c r="H46" s="37"/>
    </row>
    <row r="47">
      <c r="A47" s="60" t="s">
        <v>222</v>
      </c>
      <c r="B47" s="60" t="s">
        <v>223</v>
      </c>
      <c r="C47" s="34" t="s">
        <v>81</v>
      </c>
      <c r="D47" s="34" t="s">
        <v>1391</v>
      </c>
      <c r="E47" s="68">
        <v>74.99</v>
      </c>
      <c r="F47" s="36"/>
      <c r="G47" s="36">
        <f t="shared" si="8"/>
        <v>74.99</v>
      </c>
      <c r="H47" s="37"/>
    </row>
    <row r="48">
      <c r="A48" s="60" t="s">
        <v>226</v>
      </c>
      <c r="B48" s="60" t="s">
        <v>227</v>
      </c>
      <c r="C48" s="34" t="s">
        <v>81</v>
      </c>
      <c r="D48" s="34" t="s">
        <v>1391</v>
      </c>
      <c r="E48" s="68">
        <v>1549.8</v>
      </c>
      <c r="F48" s="36"/>
      <c r="G48" s="36">
        <f t="shared" si="8"/>
        <v>1549.8</v>
      </c>
      <c r="H48" s="37"/>
    </row>
    <row r="49">
      <c r="A49" s="60" t="s">
        <v>228</v>
      </c>
      <c r="B49" s="60" t="s">
        <v>229</v>
      </c>
      <c r="C49" s="34" t="s">
        <v>81</v>
      </c>
      <c r="D49" s="34" t="s">
        <v>1391</v>
      </c>
      <c r="E49" s="68">
        <v>187.82</v>
      </c>
      <c r="F49" s="36"/>
      <c r="G49" s="36">
        <f t="shared" si="8"/>
        <v>187.82</v>
      </c>
      <c r="H49" s="37"/>
    </row>
    <row r="50">
      <c r="A50" s="60" t="s">
        <v>1877</v>
      </c>
      <c r="B50" s="60" t="s">
        <v>1878</v>
      </c>
      <c r="C50" s="34" t="s">
        <v>81</v>
      </c>
      <c r="D50" s="34" t="s">
        <v>1391</v>
      </c>
      <c r="E50" s="68">
        <v>100.0</v>
      </c>
      <c r="F50" s="36"/>
      <c r="G50" s="36">
        <f t="shared" si="8"/>
        <v>100</v>
      </c>
      <c r="H50" s="37"/>
    </row>
    <row r="51">
      <c r="A51" s="60" t="s">
        <v>230</v>
      </c>
      <c r="B51" s="60" t="s">
        <v>231</v>
      </c>
      <c r="C51" s="34" t="s">
        <v>81</v>
      </c>
      <c r="D51" s="34" t="s">
        <v>1391</v>
      </c>
      <c r="E51" s="68">
        <v>1025.03</v>
      </c>
      <c r="F51" s="36"/>
      <c r="G51" s="36">
        <f t="shared" si="8"/>
        <v>1025.03</v>
      </c>
      <c r="H51" s="37"/>
    </row>
    <row r="52">
      <c r="A52" s="60" t="s">
        <v>232</v>
      </c>
      <c r="B52" s="60" t="s">
        <v>233</v>
      </c>
      <c r="C52" s="34" t="s">
        <v>81</v>
      </c>
      <c r="D52" s="34" t="s">
        <v>1391</v>
      </c>
      <c r="E52" s="68">
        <v>1261.8</v>
      </c>
      <c r="F52" s="36"/>
      <c r="G52" s="36">
        <f t="shared" si="8"/>
        <v>1261.8</v>
      </c>
      <c r="H52" s="37"/>
    </row>
    <row r="53">
      <c r="A53" s="60" t="s">
        <v>236</v>
      </c>
      <c r="B53" s="60" t="s">
        <v>237</v>
      </c>
      <c r="C53" s="34" t="s">
        <v>81</v>
      </c>
      <c r="D53" s="34" t="s">
        <v>1391</v>
      </c>
      <c r="E53" s="68">
        <v>292.95</v>
      </c>
      <c r="F53" s="36"/>
      <c r="G53" s="36">
        <f t="shared" si="8"/>
        <v>292.95</v>
      </c>
      <c r="H53" s="37"/>
    </row>
    <row r="54">
      <c r="A54" s="60" t="s">
        <v>238</v>
      </c>
      <c r="B54" s="60" t="s">
        <v>239</v>
      </c>
      <c r="C54" s="34" t="s">
        <v>81</v>
      </c>
      <c r="D54" s="34" t="s">
        <v>1391</v>
      </c>
      <c r="E54" s="68">
        <v>1084.79</v>
      </c>
      <c r="F54" s="36"/>
      <c r="G54" s="36">
        <f t="shared" si="8"/>
        <v>1084.79</v>
      </c>
      <c r="H54" s="37"/>
    </row>
    <row r="55">
      <c r="A55" s="60" t="s">
        <v>240</v>
      </c>
      <c r="B55" s="60" t="s">
        <v>241</v>
      </c>
      <c r="C55" s="34" t="s">
        <v>81</v>
      </c>
      <c r="D55" s="34" t="s">
        <v>1391</v>
      </c>
      <c r="E55" s="68">
        <v>4629.3</v>
      </c>
      <c r="F55" s="36"/>
      <c r="G55" s="36">
        <f t="shared" si="8"/>
        <v>4629.3</v>
      </c>
      <c r="H55" s="37"/>
    </row>
    <row r="56">
      <c r="A56" s="60" t="s">
        <v>244</v>
      </c>
      <c r="B56" s="60" t="s">
        <v>245</v>
      </c>
      <c r="C56" s="34" t="s">
        <v>81</v>
      </c>
      <c r="D56" s="34" t="s">
        <v>1391</v>
      </c>
      <c r="E56" s="68">
        <v>1078.83</v>
      </c>
      <c r="F56" s="36"/>
      <c r="G56" s="36">
        <f t="shared" si="8"/>
        <v>1078.83</v>
      </c>
      <c r="H56" s="37"/>
    </row>
    <row r="57">
      <c r="A57" s="60" t="s">
        <v>982</v>
      </c>
      <c r="B57" s="60" t="s">
        <v>983</v>
      </c>
      <c r="C57" s="34" t="s">
        <v>81</v>
      </c>
      <c r="D57" s="34" t="s">
        <v>1391</v>
      </c>
      <c r="E57" s="68">
        <v>551.98</v>
      </c>
      <c r="F57" s="36"/>
      <c r="G57" s="36">
        <f t="shared" si="8"/>
        <v>551.98</v>
      </c>
      <c r="H57" s="37"/>
    </row>
    <row r="58">
      <c r="A58" s="60" t="s">
        <v>2153</v>
      </c>
      <c r="B58" s="60" t="s">
        <v>2154</v>
      </c>
      <c r="C58" s="34" t="s">
        <v>81</v>
      </c>
      <c r="D58" s="34" t="s">
        <v>1391</v>
      </c>
      <c r="E58" s="68">
        <v>500.0</v>
      </c>
      <c r="F58" s="36"/>
      <c r="G58" s="36">
        <f t="shared" si="8"/>
        <v>500</v>
      </c>
      <c r="H58" s="37"/>
    </row>
    <row r="59">
      <c r="A59" s="60" t="s">
        <v>248</v>
      </c>
      <c r="B59" s="60" t="s">
        <v>249</v>
      </c>
      <c r="C59" s="34" t="s">
        <v>81</v>
      </c>
      <c r="D59" s="34" t="s">
        <v>1391</v>
      </c>
      <c r="E59" s="68">
        <v>1.87</v>
      </c>
      <c r="F59" s="36"/>
      <c r="G59" s="36">
        <f t="shared" si="8"/>
        <v>1.87</v>
      </c>
      <c r="H59" s="37"/>
    </row>
    <row r="60">
      <c r="A60" s="60" t="s">
        <v>250</v>
      </c>
      <c r="B60" s="60" t="s">
        <v>251</v>
      </c>
      <c r="C60" s="34" t="s">
        <v>81</v>
      </c>
      <c r="D60" s="34" t="s">
        <v>1391</v>
      </c>
      <c r="E60" s="68">
        <v>1021.86</v>
      </c>
      <c r="F60" s="36"/>
      <c r="G60" s="36">
        <f t="shared" si="8"/>
        <v>1021.86</v>
      </c>
      <c r="H60" s="37"/>
    </row>
    <row r="61">
      <c r="A61" s="60" t="s">
        <v>252</v>
      </c>
      <c r="B61" s="60" t="s">
        <v>253</v>
      </c>
      <c r="C61" s="34" t="s">
        <v>81</v>
      </c>
      <c r="D61" s="34" t="s">
        <v>1391</v>
      </c>
      <c r="E61" s="68">
        <v>387.93</v>
      </c>
      <c r="F61" s="36"/>
      <c r="G61" s="36">
        <f t="shared" si="8"/>
        <v>387.93</v>
      </c>
      <c r="H61" s="37"/>
    </row>
    <row r="62">
      <c r="A62" s="60" t="s">
        <v>254</v>
      </c>
      <c r="B62" s="60" t="s">
        <v>2155</v>
      </c>
      <c r="C62" s="34" t="s">
        <v>81</v>
      </c>
      <c r="D62" s="34" t="s">
        <v>1391</v>
      </c>
      <c r="E62" s="68">
        <v>1021.85</v>
      </c>
      <c r="F62" s="36"/>
      <c r="G62" s="36">
        <f t="shared" si="8"/>
        <v>1021.85</v>
      </c>
      <c r="H62" s="37"/>
    </row>
    <row r="63">
      <c r="A63" s="60" t="s">
        <v>256</v>
      </c>
      <c r="B63" s="60" t="s">
        <v>257</v>
      </c>
      <c r="C63" s="34" t="s">
        <v>81</v>
      </c>
      <c r="D63" s="34" t="s">
        <v>1391</v>
      </c>
      <c r="E63" s="68">
        <v>724.87</v>
      </c>
      <c r="F63" s="36"/>
      <c r="G63" s="36">
        <f t="shared" si="8"/>
        <v>724.87</v>
      </c>
      <c r="H63" s="37"/>
    </row>
    <row r="64">
      <c r="A64" s="60" t="s">
        <v>260</v>
      </c>
      <c r="B64" s="60" t="s">
        <v>261</v>
      </c>
      <c r="C64" s="34" t="s">
        <v>81</v>
      </c>
      <c r="D64" s="34" t="s">
        <v>1391</v>
      </c>
      <c r="E64" s="68">
        <v>435.95</v>
      </c>
      <c r="F64" s="36"/>
      <c r="G64" s="36">
        <f t="shared" si="8"/>
        <v>435.95</v>
      </c>
      <c r="H64" s="37"/>
    </row>
    <row r="65">
      <c r="A65" s="60" t="s">
        <v>1407</v>
      </c>
      <c r="B65" s="60" t="s">
        <v>1408</v>
      </c>
      <c r="C65" s="34" t="s">
        <v>81</v>
      </c>
      <c r="D65" s="34" t="s">
        <v>1391</v>
      </c>
      <c r="E65" s="68">
        <v>731.89</v>
      </c>
      <c r="F65" s="36"/>
      <c r="G65" s="36">
        <f t="shared" si="8"/>
        <v>731.89</v>
      </c>
      <c r="H65" s="37"/>
    </row>
    <row r="66">
      <c r="A66" s="60" t="s">
        <v>262</v>
      </c>
      <c r="B66" s="60" t="s">
        <v>263</v>
      </c>
      <c r="C66" s="34" t="s">
        <v>81</v>
      </c>
      <c r="D66" s="34" t="s">
        <v>1391</v>
      </c>
      <c r="E66" s="68">
        <v>500.0</v>
      </c>
      <c r="F66" s="36"/>
      <c r="G66" s="36">
        <f t="shared" si="8"/>
        <v>500</v>
      </c>
      <c r="H66" s="37"/>
    </row>
    <row r="67">
      <c r="A67" s="60" t="s">
        <v>264</v>
      </c>
      <c r="B67" s="60" t="s">
        <v>265</v>
      </c>
      <c r="C67" s="34" t="s">
        <v>81</v>
      </c>
      <c r="D67" s="34" t="s">
        <v>1391</v>
      </c>
      <c r="E67" s="68">
        <v>1047.9</v>
      </c>
      <c r="F67" s="36"/>
      <c r="G67" s="36">
        <f t="shared" si="8"/>
        <v>1047.9</v>
      </c>
      <c r="H67" s="37"/>
    </row>
    <row r="68">
      <c r="A68" s="60" t="s">
        <v>136</v>
      </c>
      <c r="B68" s="60" t="s">
        <v>137</v>
      </c>
      <c r="C68" s="34" t="s">
        <v>83</v>
      </c>
      <c r="D68" s="34" t="s">
        <v>1392</v>
      </c>
      <c r="E68" s="68">
        <v>849.85</v>
      </c>
      <c r="F68" s="36"/>
      <c r="G68" s="36">
        <f t="shared" si="8"/>
        <v>849.85</v>
      </c>
      <c r="H68" s="37"/>
    </row>
    <row r="69">
      <c r="A69" s="60" t="s">
        <v>138</v>
      </c>
      <c r="B69" s="60" t="s">
        <v>139</v>
      </c>
      <c r="C69" s="34" t="s">
        <v>83</v>
      </c>
      <c r="D69" s="34" t="s">
        <v>1392</v>
      </c>
      <c r="E69" s="68">
        <v>1939.7</v>
      </c>
      <c r="F69" s="36"/>
      <c r="G69" s="36">
        <f t="shared" si="8"/>
        <v>1939.7</v>
      </c>
      <c r="H69" s="37"/>
    </row>
    <row r="70">
      <c r="A70" s="60" t="s">
        <v>1879</v>
      </c>
      <c r="B70" s="60" t="s">
        <v>1880</v>
      </c>
      <c r="C70" s="34" t="s">
        <v>83</v>
      </c>
      <c r="D70" s="34" t="s">
        <v>1392</v>
      </c>
      <c r="E70" s="68">
        <v>1089.85</v>
      </c>
      <c r="F70" s="36"/>
      <c r="G70" s="36">
        <f t="shared" si="8"/>
        <v>1089.85</v>
      </c>
      <c r="H70" s="37"/>
    </row>
    <row r="71">
      <c r="A71" s="60" t="s">
        <v>1881</v>
      </c>
      <c r="B71" s="60" t="s">
        <v>1882</v>
      </c>
      <c r="C71" s="34" t="s">
        <v>83</v>
      </c>
      <c r="D71" s="34" t="s">
        <v>1392</v>
      </c>
      <c r="E71" s="68">
        <v>52.95</v>
      </c>
      <c r="F71" s="36"/>
      <c r="G71" s="36">
        <f t="shared" si="8"/>
        <v>52.95</v>
      </c>
      <c r="H71" s="37"/>
    </row>
    <row r="72">
      <c r="A72" s="60" t="s">
        <v>1883</v>
      </c>
      <c r="B72" s="60" t="s">
        <v>1884</v>
      </c>
      <c r="C72" s="34" t="s">
        <v>83</v>
      </c>
      <c r="D72" s="34" t="s">
        <v>1392</v>
      </c>
      <c r="E72" s="68">
        <v>1019.94</v>
      </c>
      <c r="F72" s="36"/>
      <c r="G72" s="36">
        <f t="shared" si="8"/>
        <v>1019.94</v>
      </c>
      <c r="H72" s="37"/>
    </row>
    <row r="73">
      <c r="A73" s="60" t="s">
        <v>142</v>
      </c>
      <c r="B73" s="60" t="s">
        <v>143</v>
      </c>
      <c r="C73" s="34" t="s">
        <v>83</v>
      </c>
      <c r="D73" s="34" t="s">
        <v>1392</v>
      </c>
      <c r="E73" s="68">
        <v>1460.78</v>
      </c>
      <c r="F73" s="36"/>
      <c r="G73" s="36">
        <f t="shared" si="8"/>
        <v>1460.78</v>
      </c>
      <c r="H73" s="37"/>
    </row>
    <row r="74">
      <c r="A74" s="60" t="s">
        <v>1602</v>
      </c>
      <c r="B74" s="60" t="s">
        <v>1603</v>
      </c>
      <c r="C74" s="34" t="s">
        <v>83</v>
      </c>
      <c r="D74" s="34" t="s">
        <v>1392</v>
      </c>
      <c r="E74" s="68">
        <v>1003.85</v>
      </c>
      <c r="F74" s="36"/>
      <c r="G74" s="36">
        <f t="shared" si="8"/>
        <v>1003.85</v>
      </c>
      <c r="H74" s="37"/>
    </row>
    <row r="75">
      <c r="A75" s="60" t="s">
        <v>2156</v>
      </c>
      <c r="B75" s="60" t="s">
        <v>2157</v>
      </c>
      <c r="C75" s="34" t="s">
        <v>83</v>
      </c>
      <c r="D75" s="34" t="s">
        <v>1392</v>
      </c>
      <c r="E75" s="68">
        <v>108.98</v>
      </c>
      <c r="F75" s="36"/>
      <c r="G75" s="36">
        <f t="shared" si="8"/>
        <v>108.98</v>
      </c>
      <c r="H75" s="37"/>
    </row>
    <row r="76">
      <c r="A76" s="60" t="s">
        <v>146</v>
      </c>
      <c r="B76" s="60" t="s">
        <v>147</v>
      </c>
      <c r="C76" s="34" t="s">
        <v>83</v>
      </c>
      <c r="D76" s="34" t="s">
        <v>1392</v>
      </c>
      <c r="E76" s="68">
        <v>629.91</v>
      </c>
      <c r="F76" s="36"/>
      <c r="G76" s="36">
        <f t="shared" si="8"/>
        <v>629.91</v>
      </c>
      <c r="H76" s="37"/>
    </row>
    <row r="77">
      <c r="A77" s="60" t="s">
        <v>1893</v>
      </c>
      <c r="B77" s="60" t="s">
        <v>1894</v>
      </c>
      <c r="C77" s="34" t="s">
        <v>83</v>
      </c>
      <c r="D77" s="34" t="s">
        <v>1392</v>
      </c>
      <c r="E77" s="68">
        <v>387.93</v>
      </c>
      <c r="F77" s="36"/>
      <c r="G77" s="36">
        <f t="shared" si="8"/>
        <v>387.93</v>
      </c>
      <c r="H77" s="37"/>
    </row>
    <row r="78">
      <c r="A78" s="60" t="s">
        <v>148</v>
      </c>
      <c r="B78" s="60" t="s">
        <v>149</v>
      </c>
      <c r="C78" s="34" t="s">
        <v>83</v>
      </c>
      <c r="D78" s="34" t="s">
        <v>1392</v>
      </c>
      <c r="E78" s="68">
        <v>2564.65</v>
      </c>
      <c r="F78" s="36"/>
      <c r="G78" s="36">
        <f t="shared" si="8"/>
        <v>2564.65</v>
      </c>
      <c r="H78" s="37"/>
    </row>
    <row r="79">
      <c r="A79" s="60" t="s">
        <v>150</v>
      </c>
      <c r="B79" s="60" t="s">
        <v>151</v>
      </c>
      <c r="C79" s="34" t="s">
        <v>83</v>
      </c>
      <c r="D79" s="34" t="s">
        <v>1392</v>
      </c>
      <c r="E79" s="68">
        <v>864.9</v>
      </c>
      <c r="F79" s="36"/>
      <c r="G79" s="36">
        <f t="shared" si="8"/>
        <v>864.9</v>
      </c>
      <c r="H79" s="37"/>
    </row>
    <row r="80">
      <c r="A80" s="60" t="s">
        <v>152</v>
      </c>
      <c r="B80" s="60" t="s">
        <v>153</v>
      </c>
      <c r="C80" s="34" t="s">
        <v>83</v>
      </c>
      <c r="D80" s="34" t="s">
        <v>1392</v>
      </c>
      <c r="E80" s="68">
        <v>5004.21</v>
      </c>
      <c r="F80" s="36"/>
      <c r="G80" s="36">
        <f t="shared" si="8"/>
        <v>5004.21</v>
      </c>
      <c r="H80" s="37"/>
    </row>
    <row r="81">
      <c r="A81" s="60" t="s">
        <v>154</v>
      </c>
      <c r="B81" s="60" t="s">
        <v>155</v>
      </c>
      <c r="C81" s="34" t="s">
        <v>83</v>
      </c>
      <c r="D81" s="34" t="s">
        <v>1392</v>
      </c>
      <c r="E81" s="68">
        <v>1241.8</v>
      </c>
      <c r="F81" s="36"/>
      <c r="G81" s="36">
        <f t="shared" si="8"/>
        <v>1241.8</v>
      </c>
      <c r="H81" s="37"/>
    </row>
    <row r="82">
      <c r="A82" s="60" t="s">
        <v>158</v>
      </c>
      <c r="B82" s="60" t="s">
        <v>159</v>
      </c>
      <c r="C82" s="34" t="s">
        <v>83</v>
      </c>
      <c r="D82" s="34" t="s">
        <v>1392</v>
      </c>
      <c r="E82" s="68">
        <v>1133.83</v>
      </c>
      <c r="F82" s="36"/>
      <c r="G82" s="36">
        <f t="shared" si="8"/>
        <v>1133.83</v>
      </c>
      <c r="H82" s="37"/>
    </row>
    <row r="83">
      <c r="A83" s="60" t="s">
        <v>160</v>
      </c>
      <c r="B83" s="60" t="s">
        <v>161</v>
      </c>
      <c r="C83" s="34" t="s">
        <v>83</v>
      </c>
      <c r="D83" s="34" t="s">
        <v>1392</v>
      </c>
      <c r="E83" s="68">
        <v>3137.47</v>
      </c>
      <c r="F83" s="36"/>
      <c r="G83" s="36">
        <f t="shared" si="8"/>
        <v>3137.47</v>
      </c>
      <c r="H83" s="37"/>
    </row>
    <row r="84">
      <c r="A84" s="60" t="s">
        <v>162</v>
      </c>
      <c r="B84" s="60" t="s">
        <v>163</v>
      </c>
      <c r="C84" s="34" t="s">
        <v>83</v>
      </c>
      <c r="D84" s="34" t="s">
        <v>1392</v>
      </c>
      <c r="E84" s="68">
        <v>731.89</v>
      </c>
      <c r="F84" s="36"/>
      <c r="G84" s="36">
        <f t="shared" si="8"/>
        <v>731.89</v>
      </c>
      <c r="H84" s="37"/>
    </row>
    <row r="85">
      <c r="A85" s="60" t="s">
        <v>278</v>
      </c>
      <c r="B85" s="60" t="s">
        <v>279</v>
      </c>
      <c r="C85" s="34" t="s">
        <v>82</v>
      </c>
      <c r="D85" s="34" t="s">
        <v>1393</v>
      </c>
      <c r="E85" s="68">
        <v>1259.82</v>
      </c>
      <c r="F85" s="36"/>
      <c r="G85" s="36">
        <f t="shared" si="8"/>
        <v>1259.82</v>
      </c>
      <c r="H85" s="37"/>
    </row>
    <row r="86">
      <c r="A86" s="60" t="s">
        <v>980</v>
      </c>
      <c r="B86" s="60" t="s">
        <v>981</v>
      </c>
      <c r="C86" s="34" t="s">
        <v>82</v>
      </c>
      <c r="D86" s="34" t="s">
        <v>1393</v>
      </c>
      <c r="E86" s="68">
        <v>899.99</v>
      </c>
      <c r="F86" s="36"/>
      <c r="G86" s="36">
        <f t="shared" si="8"/>
        <v>899.99</v>
      </c>
      <c r="H86" s="37"/>
    </row>
    <row r="87">
      <c r="A87" s="60" t="s">
        <v>280</v>
      </c>
      <c r="B87" s="60" t="s">
        <v>281</v>
      </c>
      <c r="C87" s="34" t="s">
        <v>82</v>
      </c>
      <c r="D87" s="34" t="s">
        <v>1393</v>
      </c>
      <c r="E87" s="68">
        <v>1699.99</v>
      </c>
      <c r="F87" s="36"/>
      <c r="G87" s="36">
        <f t="shared" si="8"/>
        <v>1699.99</v>
      </c>
      <c r="H87" s="37"/>
    </row>
    <row r="88">
      <c r="A88" s="60" t="s">
        <v>282</v>
      </c>
      <c r="B88" s="60" t="s">
        <v>283</v>
      </c>
      <c r="C88" s="34" t="s">
        <v>82</v>
      </c>
      <c r="D88" s="34" t="s">
        <v>1393</v>
      </c>
      <c r="E88" s="68">
        <v>849.74</v>
      </c>
      <c r="F88" s="36"/>
      <c r="G88" s="36">
        <f t="shared" si="8"/>
        <v>849.74</v>
      </c>
      <c r="H88" s="37"/>
    </row>
    <row r="89">
      <c r="A89" s="60" t="s">
        <v>284</v>
      </c>
      <c r="B89" s="60" t="s">
        <v>285</v>
      </c>
      <c r="C89" s="34" t="s">
        <v>82</v>
      </c>
      <c r="D89" s="34" t="s">
        <v>1393</v>
      </c>
      <c r="E89" s="68">
        <v>1106.95</v>
      </c>
      <c r="F89" s="36"/>
      <c r="G89" s="36">
        <f t="shared" si="8"/>
        <v>1106.95</v>
      </c>
      <c r="H89" s="37"/>
    </row>
    <row r="90">
      <c r="A90" s="60" t="s">
        <v>1769</v>
      </c>
      <c r="B90" s="60" t="s">
        <v>1770</v>
      </c>
      <c r="C90" s="34" t="s">
        <v>82</v>
      </c>
      <c r="D90" s="34" t="s">
        <v>1393</v>
      </c>
      <c r="E90" s="68">
        <v>331.98</v>
      </c>
      <c r="F90" s="36"/>
      <c r="G90" s="36">
        <f t="shared" si="8"/>
        <v>331.98</v>
      </c>
      <c r="H90" s="37"/>
    </row>
    <row r="91">
      <c r="A91" s="60" t="s">
        <v>286</v>
      </c>
      <c r="B91" s="60" t="s">
        <v>287</v>
      </c>
      <c r="C91" s="34" t="s">
        <v>82</v>
      </c>
      <c r="D91" s="34" t="s">
        <v>1393</v>
      </c>
      <c r="E91" s="68">
        <v>1013.83</v>
      </c>
      <c r="F91" s="36"/>
      <c r="G91" s="36">
        <f t="shared" si="8"/>
        <v>1013.83</v>
      </c>
      <c r="H91" s="37"/>
    </row>
    <row r="92">
      <c r="A92" s="60" t="s">
        <v>290</v>
      </c>
      <c r="B92" s="60" t="s">
        <v>291</v>
      </c>
      <c r="C92" s="34" t="s">
        <v>82</v>
      </c>
      <c r="D92" s="34" t="s">
        <v>1393</v>
      </c>
      <c r="E92" s="68">
        <v>1065.84</v>
      </c>
      <c r="F92" s="36"/>
      <c r="G92" s="36">
        <f t="shared" si="8"/>
        <v>1065.84</v>
      </c>
      <c r="H92" s="37"/>
    </row>
    <row r="93">
      <c r="A93" s="60" t="s">
        <v>294</v>
      </c>
      <c r="B93" s="60" t="s">
        <v>295</v>
      </c>
      <c r="C93" s="34" t="s">
        <v>82</v>
      </c>
      <c r="D93" s="34" t="s">
        <v>1393</v>
      </c>
      <c r="E93" s="68">
        <v>503.93</v>
      </c>
      <c r="F93" s="36"/>
      <c r="G93" s="36">
        <f t="shared" si="8"/>
        <v>503.93</v>
      </c>
      <c r="H93" s="37"/>
    </row>
    <row r="94">
      <c r="A94" s="60" t="s">
        <v>296</v>
      </c>
      <c r="B94" s="60" t="s">
        <v>297</v>
      </c>
      <c r="C94" s="34" t="s">
        <v>82</v>
      </c>
      <c r="D94" s="34" t="s">
        <v>1393</v>
      </c>
      <c r="E94" s="68">
        <v>701.57</v>
      </c>
      <c r="F94" s="36"/>
      <c r="G94" s="36">
        <f t="shared" si="8"/>
        <v>701.57</v>
      </c>
      <c r="H94" s="37"/>
    </row>
    <row r="95">
      <c r="A95" s="60" t="s">
        <v>2265</v>
      </c>
      <c r="B95" s="60" t="s">
        <v>2266</v>
      </c>
      <c r="C95" s="34" t="s">
        <v>82</v>
      </c>
      <c r="D95" s="34" t="s">
        <v>1393</v>
      </c>
      <c r="E95" s="68">
        <v>1109.84</v>
      </c>
      <c r="F95" s="36"/>
      <c r="G95" s="36">
        <f t="shared" si="8"/>
        <v>1109.84</v>
      </c>
      <c r="H95" s="37"/>
    </row>
    <row r="96">
      <c r="A96" s="60" t="s">
        <v>2267</v>
      </c>
      <c r="B96" s="60" t="s">
        <v>2268</v>
      </c>
      <c r="C96" s="34" t="s">
        <v>82</v>
      </c>
      <c r="D96" s="34" t="s">
        <v>1393</v>
      </c>
      <c r="E96" s="68">
        <v>285.96</v>
      </c>
      <c r="F96" s="36"/>
      <c r="G96" s="36">
        <f t="shared" si="8"/>
        <v>285.96</v>
      </c>
      <c r="H96" s="37"/>
    </row>
    <row r="97">
      <c r="A97" s="60" t="s">
        <v>1415</v>
      </c>
      <c r="B97" s="60" t="s">
        <v>1416</v>
      </c>
      <c r="C97" s="34" t="s">
        <v>82</v>
      </c>
      <c r="D97" s="34" t="s">
        <v>1393</v>
      </c>
      <c r="E97" s="68">
        <v>1388.26</v>
      </c>
      <c r="F97" s="36"/>
      <c r="G97" s="36">
        <f t="shared" si="8"/>
        <v>1388.26</v>
      </c>
      <c r="H97" s="37"/>
    </row>
    <row r="98">
      <c r="A98" s="60" t="s">
        <v>2160</v>
      </c>
      <c r="B98" s="60" t="s">
        <v>2161</v>
      </c>
      <c r="C98" s="34" t="s">
        <v>82</v>
      </c>
      <c r="D98" s="34" t="s">
        <v>1393</v>
      </c>
      <c r="E98" s="68">
        <v>1101.8</v>
      </c>
      <c r="F98" s="36"/>
      <c r="G98" s="36">
        <f t="shared" si="8"/>
        <v>1101.8</v>
      </c>
      <c r="H98" s="37"/>
    </row>
    <row r="99">
      <c r="A99" s="60" t="s">
        <v>2162</v>
      </c>
      <c r="B99" s="60" t="s">
        <v>2163</v>
      </c>
      <c r="C99" s="34" t="s">
        <v>82</v>
      </c>
      <c r="D99" s="34" t="s">
        <v>1393</v>
      </c>
      <c r="E99" s="68">
        <v>749.74</v>
      </c>
      <c r="F99" s="36"/>
      <c r="G99" s="36">
        <f t="shared" si="8"/>
        <v>749.74</v>
      </c>
      <c r="H99" s="37"/>
    </row>
    <row r="100">
      <c r="A100" s="60" t="s">
        <v>308</v>
      </c>
      <c r="B100" s="60" t="s">
        <v>309</v>
      </c>
      <c r="C100" s="34" t="s">
        <v>73</v>
      </c>
      <c r="D100" s="34" t="s">
        <v>52</v>
      </c>
      <c r="E100" s="68">
        <v>24842.82</v>
      </c>
      <c r="F100" s="36"/>
      <c r="G100" s="36">
        <f t="shared" si="8"/>
        <v>24842.82</v>
      </c>
      <c r="H100" s="37"/>
    </row>
    <row r="101">
      <c r="A101" s="60" t="s">
        <v>310</v>
      </c>
      <c r="B101" s="60" t="s">
        <v>311</v>
      </c>
      <c r="C101" s="34" t="s">
        <v>73</v>
      </c>
      <c r="D101" s="34" t="s">
        <v>52</v>
      </c>
      <c r="E101" s="68">
        <v>19329.37</v>
      </c>
      <c r="F101" s="36"/>
      <c r="G101" s="36">
        <f t="shared" si="8"/>
        <v>19329.37</v>
      </c>
      <c r="H101" s="37"/>
    </row>
    <row r="102">
      <c r="A102" s="60" t="s">
        <v>312</v>
      </c>
      <c r="B102" s="60" t="s">
        <v>313</v>
      </c>
      <c r="C102" s="34" t="s">
        <v>73</v>
      </c>
      <c r="D102" s="34" t="s">
        <v>52</v>
      </c>
      <c r="E102" s="68">
        <v>4964.27</v>
      </c>
      <c r="F102" s="36"/>
      <c r="G102" s="36">
        <f t="shared" si="8"/>
        <v>4964.27</v>
      </c>
      <c r="H102" s="37"/>
    </row>
    <row r="103">
      <c r="A103" s="60" t="s">
        <v>314</v>
      </c>
      <c r="B103" s="60" t="s">
        <v>315</v>
      </c>
      <c r="C103" s="34" t="s">
        <v>73</v>
      </c>
      <c r="D103" s="34" t="s">
        <v>52</v>
      </c>
      <c r="E103" s="68">
        <v>11959.27</v>
      </c>
      <c r="F103" s="36"/>
      <c r="G103" s="36">
        <f t="shared" si="8"/>
        <v>11959.27</v>
      </c>
      <c r="H103" s="37"/>
    </row>
    <row r="104">
      <c r="A104" s="60" t="s">
        <v>316</v>
      </c>
      <c r="B104" s="60" t="s">
        <v>317</v>
      </c>
      <c r="C104" s="34" t="s">
        <v>73</v>
      </c>
      <c r="D104" s="34" t="s">
        <v>52</v>
      </c>
      <c r="E104" s="68">
        <v>4731.66</v>
      </c>
      <c r="F104" s="36"/>
      <c r="G104" s="36">
        <f t="shared" si="8"/>
        <v>4731.66</v>
      </c>
      <c r="H104" s="37"/>
    </row>
    <row r="105">
      <c r="A105" s="60" t="s">
        <v>318</v>
      </c>
      <c r="B105" s="60" t="s">
        <v>319</v>
      </c>
      <c r="C105" s="34" t="s">
        <v>73</v>
      </c>
      <c r="D105" s="34" t="s">
        <v>52</v>
      </c>
      <c r="E105" s="68">
        <v>17483.53</v>
      </c>
      <c r="F105" s="36"/>
      <c r="G105" s="36">
        <f t="shared" si="8"/>
        <v>17483.53</v>
      </c>
      <c r="H105" s="37"/>
    </row>
    <row r="106">
      <c r="A106" s="60" t="s">
        <v>320</v>
      </c>
      <c r="B106" s="60" t="s">
        <v>321</v>
      </c>
      <c r="C106" s="34" t="s">
        <v>73</v>
      </c>
      <c r="D106" s="34" t="s">
        <v>52</v>
      </c>
      <c r="E106" s="68">
        <v>3223.25</v>
      </c>
      <c r="F106" s="36"/>
      <c r="G106" s="36">
        <f t="shared" si="8"/>
        <v>3223.25</v>
      </c>
      <c r="H106" s="37"/>
    </row>
    <row r="107">
      <c r="A107" s="60" t="s">
        <v>322</v>
      </c>
      <c r="B107" s="60" t="s">
        <v>323</v>
      </c>
      <c r="C107" s="34" t="s">
        <v>73</v>
      </c>
      <c r="D107" s="34" t="s">
        <v>52</v>
      </c>
      <c r="E107" s="68">
        <v>9374.41</v>
      </c>
      <c r="F107" s="36"/>
      <c r="G107" s="36">
        <f t="shared" si="8"/>
        <v>9374.41</v>
      </c>
      <c r="H107" s="37"/>
    </row>
    <row r="108">
      <c r="A108" s="60" t="s">
        <v>1612</v>
      </c>
      <c r="B108" s="60" t="s">
        <v>1613</v>
      </c>
      <c r="C108" s="34" t="s">
        <v>73</v>
      </c>
      <c r="D108" s="34" t="s">
        <v>52</v>
      </c>
      <c r="E108" s="68">
        <v>3890.3</v>
      </c>
      <c r="F108" s="36"/>
      <c r="G108" s="36">
        <f t="shared" si="8"/>
        <v>3890.3</v>
      </c>
      <c r="H108" s="37"/>
    </row>
    <row r="109">
      <c r="A109" s="60" t="s">
        <v>326</v>
      </c>
      <c r="B109" s="60" t="s">
        <v>327</v>
      </c>
      <c r="C109" s="34" t="s">
        <v>73</v>
      </c>
      <c r="D109" s="34" t="s">
        <v>52</v>
      </c>
      <c r="E109" s="68">
        <v>1019.99</v>
      </c>
      <c r="F109" s="36"/>
      <c r="G109" s="36">
        <f t="shared" si="8"/>
        <v>1019.99</v>
      </c>
      <c r="H109" s="37"/>
    </row>
    <row r="110">
      <c r="A110" s="60" t="s">
        <v>328</v>
      </c>
      <c r="B110" s="60" t="s">
        <v>329</v>
      </c>
      <c r="C110" s="34" t="s">
        <v>73</v>
      </c>
      <c r="D110" s="34" t="s">
        <v>52</v>
      </c>
      <c r="E110" s="68">
        <v>6281.63</v>
      </c>
      <c r="F110" s="36"/>
      <c r="G110" s="36">
        <f t="shared" si="8"/>
        <v>6281.63</v>
      </c>
      <c r="H110" s="37"/>
    </row>
    <row r="111">
      <c r="A111" s="60" t="s">
        <v>330</v>
      </c>
      <c r="B111" s="60" t="s">
        <v>331</v>
      </c>
      <c r="C111" s="34" t="s">
        <v>73</v>
      </c>
      <c r="D111" s="34" t="s">
        <v>52</v>
      </c>
      <c r="E111" s="68">
        <v>3399.98</v>
      </c>
      <c r="F111" s="36"/>
      <c r="G111" s="36">
        <f t="shared" si="8"/>
        <v>3399.98</v>
      </c>
      <c r="H111" s="37"/>
    </row>
    <row r="112">
      <c r="A112" s="60" t="s">
        <v>332</v>
      </c>
      <c r="B112" s="60" t="s">
        <v>333</v>
      </c>
      <c r="C112" s="34" t="s">
        <v>73</v>
      </c>
      <c r="D112" s="34" t="s">
        <v>52</v>
      </c>
      <c r="E112" s="68">
        <v>550.75</v>
      </c>
      <c r="F112" s="36"/>
      <c r="G112" s="36">
        <f t="shared" si="8"/>
        <v>550.75</v>
      </c>
      <c r="H112" s="37"/>
    </row>
    <row r="113">
      <c r="A113" s="60" t="s">
        <v>334</v>
      </c>
      <c r="B113" s="60" t="s">
        <v>335</v>
      </c>
      <c r="C113" s="34" t="s">
        <v>73</v>
      </c>
      <c r="D113" s="34" t="s">
        <v>52</v>
      </c>
      <c r="E113" s="68">
        <v>125112.2</v>
      </c>
      <c r="F113" s="36"/>
      <c r="G113" s="36">
        <f t="shared" si="8"/>
        <v>125112.2</v>
      </c>
      <c r="H113" s="37"/>
    </row>
    <row r="114">
      <c r="A114" s="60" t="s">
        <v>336</v>
      </c>
      <c r="B114" s="60" t="s">
        <v>337</v>
      </c>
      <c r="C114" s="34" t="s">
        <v>73</v>
      </c>
      <c r="D114" s="34" t="s">
        <v>52</v>
      </c>
      <c r="E114" s="68">
        <v>1845.49</v>
      </c>
      <c r="F114" s="36"/>
      <c r="G114" s="36">
        <f t="shared" si="8"/>
        <v>1845.49</v>
      </c>
      <c r="H114" s="37"/>
    </row>
    <row r="115">
      <c r="A115" s="60" t="s">
        <v>338</v>
      </c>
      <c r="B115" s="60" t="s">
        <v>339</v>
      </c>
      <c r="C115" s="34" t="s">
        <v>73</v>
      </c>
      <c r="D115" s="34" t="s">
        <v>52</v>
      </c>
      <c r="E115" s="68">
        <v>2549.84</v>
      </c>
      <c r="F115" s="36"/>
      <c r="G115" s="36">
        <f t="shared" si="8"/>
        <v>2549.84</v>
      </c>
      <c r="H115" s="37"/>
    </row>
    <row r="116">
      <c r="A116" s="60" t="s">
        <v>340</v>
      </c>
      <c r="B116" s="60" t="s">
        <v>341</v>
      </c>
      <c r="C116" s="34" t="s">
        <v>73</v>
      </c>
      <c r="D116" s="34" t="s">
        <v>52</v>
      </c>
      <c r="E116" s="68">
        <v>3814.94</v>
      </c>
      <c r="F116" s="36"/>
      <c r="G116" s="36">
        <f t="shared" si="8"/>
        <v>3814.94</v>
      </c>
      <c r="H116" s="37"/>
    </row>
    <row r="117">
      <c r="A117" s="60" t="s">
        <v>1910</v>
      </c>
      <c r="B117" s="60" t="s">
        <v>1911</v>
      </c>
      <c r="C117" s="34" t="s">
        <v>73</v>
      </c>
      <c r="D117" s="34" t="s">
        <v>52</v>
      </c>
      <c r="E117" s="68">
        <v>1010.01</v>
      </c>
      <c r="F117" s="36"/>
      <c r="G117" s="36">
        <f t="shared" si="8"/>
        <v>1010.01</v>
      </c>
      <c r="H117" s="37"/>
    </row>
    <row r="118">
      <c r="A118" s="60" t="s">
        <v>342</v>
      </c>
      <c r="B118" s="60" t="s">
        <v>343</v>
      </c>
      <c r="C118" s="34" t="s">
        <v>73</v>
      </c>
      <c r="D118" s="34" t="s">
        <v>52</v>
      </c>
      <c r="E118" s="68">
        <v>6325.0</v>
      </c>
      <c r="F118" s="36"/>
      <c r="G118" s="36">
        <f t="shared" si="8"/>
        <v>6325</v>
      </c>
      <c r="H118" s="37"/>
    </row>
    <row r="119">
      <c r="A119" s="60" t="s">
        <v>344</v>
      </c>
      <c r="B119" s="60" t="s">
        <v>345</v>
      </c>
      <c r="C119" s="34" t="s">
        <v>73</v>
      </c>
      <c r="D119" s="34" t="s">
        <v>52</v>
      </c>
      <c r="E119" s="68">
        <v>12397.5</v>
      </c>
      <c r="F119" s="36"/>
      <c r="G119" s="36">
        <f t="shared" si="8"/>
        <v>12397.5</v>
      </c>
      <c r="H119" s="37"/>
    </row>
    <row r="120">
      <c r="A120" s="60" t="s">
        <v>1912</v>
      </c>
      <c r="B120" s="60" t="s">
        <v>1913</v>
      </c>
      <c r="C120" s="34" t="s">
        <v>73</v>
      </c>
      <c r="D120" s="34" t="s">
        <v>52</v>
      </c>
      <c r="E120" s="68">
        <v>630.02</v>
      </c>
      <c r="F120" s="36"/>
      <c r="G120" s="36">
        <f t="shared" si="8"/>
        <v>630.02</v>
      </c>
      <c r="H120" s="37"/>
    </row>
    <row r="121">
      <c r="A121" s="60" t="s">
        <v>426</v>
      </c>
      <c r="B121" s="60" t="s">
        <v>1914</v>
      </c>
      <c r="C121" s="34" t="s">
        <v>75</v>
      </c>
      <c r="D121" s="34" t="s">
        <v>2269</v>
      </c>
      <c r="E121" s="68">
        <v>234.97</v>
      </c>
      <c r="F121" s="36"/>
      <c r="G121" s="36">
        <f t="shared" si="8"/>
        <v>234.97</v>
      </c>
      <c r="H121" s="37"/>
    </row>
    <row r="122">
      <c r="A122" s="60" t="s">
        <v>432</v>
      </c>
      <c r="B122" s="60" t="s">
        <v>433</v>
      </c>
      <c r="C122" s="34" t="s">
        <v>75</v>
      </c>
      <c r="D122" s="34" t="s">
        <v>2269</v>
      </c>
      <c r="E122" s="68">
        <v>562.02</v>
      </c>
      <c r="F122" s="36"/>
      <c r="G122" s="36">
        <f t="shared" si="8"/>
        <v>562.02</v>
      </c>
      <c r="H122" s="37"/>
    </row>
    <row r="123">
      <c r="A123" s="60" t="s">
        <v>436</v>
      </c>
      <c r="B123" s="60" t="s">
        <v>437</v>
      </c>
      <c r="C123" s="34" t="s">
        <v>75</v>
      </c>
      <c r="D123" s="34" t="s">
        <v>2269</v>
      </c>
      <c r="E123" s="68">
        <v>67.99</v>
      </c>
      <c r="F123" s="36"/>
      <c r="G123" s="36">
        <f t="shared" si="8"/>
        <v>67.99</v>
      </c>
      <c r="H123" s="37"/>
    </row>
    <row r="124">
      <c r="A124" s="60" t="s">
        <v>438</v>
      </c>
      <c r="B124" s="60" t="s">
        <v>439</v>
      </c>
      <c r="C124" s="34" t="s">
        <v>75</v>
      </c>
      <c r="D124" s="34" t="s">
        <v>2269</v>
      </c>
      <c r="E124" s="68">
        <v>1022.04</v>
      </c>
      <c r="F124" s="36"/>
      <c r="G124" s="36">
        <f t="shared" si="8"/>
        <v>1022.04</v>
      </c>
      <c r="H124" s="37"/>
    </row>
    <row r="125">
      <c r="A125" s="60" t="s">
        <v>442</v>
      </c>
      <c r="B125" s="60" t="s">
        <v>443</v>
      </c>
      <c r="C125" s="34" t="s">
        <v>75</v>
      </c>
      <c r="D125" s="34" t="s">
        <v>2269</v>
      </c>
      <c r="E125" s="68">
        <v>7701.17</v>
      </c>
      <c r="F125" s="36"/>
      <c r="G125" s="36">
        <f t="shared" si="8"/>
        <v>7701.17</v>
      </c>
      <c r="H125" s="37"/>
    </row>
    <row r="126">
      <c r="A126" s="60" t="s">
        <v>2270</v>
      </c>
      <c r="B126" s="60" t="s">
        <v>2271</v>
      </c>
      <c r="C126" s="34" t="s">
        <v>75</v>
      </c>
      <c r="D126" s="34" t="s">
        <v>2269</v>
      </c>
      <c r="E126" s="68">
        <v>169.97</v>
      </c>
      <c r="F126" s="36"/>
      <c r="G126" s="36">
        <f t="shared" si="8"/>
        <v>169.97</v>
      </c>
      <c r="H126" s="37"/>
    </row>
    <row r="127">
      <c r="A127" s="60" t="s">
        <v>450</v>
      </c>
      <c r="B127" s="60" t="s">
        <v>451</v>
      </c>
      <c r="C127" s="34" t="s">
        <v>75</v>
      </c>
      <c r="D127" s="34" t="s">
        <v>2269</v>
      </c>
      <c r="E127" s="68">
        <v>1723.8</v>
      </c>
      <c r="F127" s="36"/>
      <c r="G127" s="36">
        <f t="shared" si="8"/>
        <v>1723.8</v>
      </c>
      <c r="H127" s="37"/>
    </row>
    <row r="128">
      <c r="A128" s="60" t="s">
        <v>2272</v>
      </c>
      <c r="B128" s="60" t="s">
        <v>2273</v>
      </c>
      <c r="C128" s="34" t="s">
        <v>75</v>
      </c>
      <c r="D128" s="34" t="s">
        <v>2269</v>
      </c>
      <c r="E128" s="68">
        <v>325.96</v>
      </c>
      <c r="F128" s="36"/>
      <c r="G128" s="36">
        <f t="shared" si="8"/>
        <v>325.96</v>
      </c>
      <c r="H128" s="37"/>
    </row>
    <row r="129">
      <c r="A129" s="60" t="s">
        <v>460</v>
      </c>
      <c r="B129" s="60" t="s">
        <v>461</v>
      </c>
      <c r="C129" s="34" t="s">
        <v>75</v>
      </c>
      <c r="D129" s="34" t="s">
        <v>2269</v>
      </c>
      <c r="E129" s="68">
        <v>252.64</v>
      </c>
      <c r="F129" s="36"/>
      <c r="G129" s="36">
        <f t="shared" si="8"/>
        <v>252.64</v>
      </c>
      <c r="H129" s="37"/>
    </row>
    <row r="130">
      <c r="A130" s="60" t="s">
        <v>462</v>
      </c>
      <c r="B130" s="60" t="s">
        <v>463</v>
      </c>
      <c r="C130" s="34" t="s">
        <v>75</v>
      </c>
      <c r="D130" s="34" t="s">
        <v>2269</v>
      </c>
      <c r="E130" s="68">
        <v>6840.65</v>
      </c>
      <c r="F130" s="36"/>
      <c r="G130" s="36">
        <f t="shared" si="8"/>
        <v>6840.65</v>
      </c>
      <c r="H130" s="37"/>
    </row>
    <row r="131">
      <c r="A131" s="60" t="s">
        <v>466</v>
      </c>
      <c r="B131" s="60" t="s">
        <v>467</v>
      </c>
      <c r="C131" s="34" t="s">
        <v>75</v>
      </c>
      <c r="D131" s="34" t="s">
        <v>2269</v>
      </c>
      <c r="E131" s="68">
        <v>2282.0</v>
      </c>
      <c r="F131" s="36"/>
      <c r="G131" s="36">
        <f t="shared" si="8"/>
        <v>2282</v>
      </c>
      <c r="H131" s="37"/>
    </row>
    <row r="132">
      <c r="A132" s="60" t="s">
        <v>468</v>
      </c>
      <c r="B132" s="60" t="s">
        <v>469</v>
      </c>
      <c r="C132" s="34" t="s">
        <v>75</v>
      </c>
      <c r="D132" s="34" t="s">
        <v>2269</v>
      </c>
      <c r="E132" s="68">
        <v>1472.03</v>
      </c>
      <c r="F132" s="36"/>
      <c r="G132" s="36">
        <f t="shared" si="8"/>
        <v>1472.03</v>
      </c>
      <c r="H132" s="37"/>
    </row>
    <row r="133">
      <c r="A133" s="60" t="s">
        <v>470</v>
      </c>
      <c r="B133" s="60" t="s">
        <v>471</v>
      </c>
      <c r="C133" s="34" t="s">
        <v>75</v>
      </c>
      <c r="D133" s="34" t="s">
        <v>2269</v>
      </c>
      <c r="E133" s="68">
        <v>272.02</v>
      </c>
      <c r="F133" s="36"/>
      <c r="G133" s="36">
        <f t="shared" si="8"/>
        <v>272.02</v>
      </c>
      <c r="H133" s="37"/>
    </row>
    <row r="134">
      <c r="A134" s="60" t="s">
        <v>350</v>
      </c>
      <c r="B134" s="60" t="s">
        <v>351</v>
      </c>
      <c r="C134" s="34" t="s">
        <v>75</v>
      </c>
      <c r="D134" s="34" t="s">
        <v>2269</v>
      </c>
      <c r="E134" s="68">
        <v>100.0</v>
      </c>
      <c r="F134" s="36"/>
      <c r="G134" s="36">
        <f t="shared" si="8"/>
        <v>100</v>
      </c>
      <c r="H134" s="37"/>
    </row>
    <row r="135">
      <c r="A135" s="60" t="s">
        <v>352</v>
      </c>
      <c r="B135" s="60" t="s">
        <v>353</v>
      </c>
      <c r="C135" s="34" t="s">
        <v>75</v>
      </c>
      <c r="D135" s="34" t="s">
        <v>2269</v>
      </c>
      <c r="E135" s="68">
        <v>108.98</v>
      </c>
      <c r="F135" s="36"/>
      <c r="G135" s="36">
        <f t="shared" si="8"/>
        <v>108.98</v>
      </c>
      <c r="H135" s="37"/>
    </row>
    <row r="136">
      <c r="A136" s="60" t="s">
        <v>354</v>
      </c>
      <c r="B136" s="60" t="s">
        <v>355</v>
      </c>
      <c r="C136" s="34" t="s">
        <v>75</v>
      </c>
      <c r="D136" s="34" t="s">
        <v>2269</v>
      </c>
      <c r="E136" s="68">
        <v>542.93</v>
      </c>
      <c r="F136" s="36"/>
      <c r="G136" s="36">
        <f t="shared" si="8"/>
        <v>542.93</v>
      </c>
      <c r="H136" s="37"/>
    </row>
    <row r="137">
      <c r="A137" s="60" t="s">
        <v>356</v>
      </c>
      <c r="B137" s="60" t="s">
        <v>357</v>
      </c>
      <c r="C137" s="34" t="s">
        <v>75</v>
      </c>
      <c r="D137" s="34" t="s">
        <v>2269</v>
      </c>
      <c r="E137" s="68">
        <v>149.98</v>
      </c>
      <c r="F137" s="36"/>
      <c r="G137" s="36">
        <f t="shared" si="8"/>
        <v>149.98</v>
      </c>
      <c r="H137" s="37"/>
    </row>
    <row r="138">
      <c r="A138" s="60" t="s">
        <v>358</v>
      </c>
      <c r="B138" s="60" t="s">
        <v>359</v>
      </c>
      <c r="C138" s="34" t="s">
        <v>75</v>
      </c>
      <c r="D138" s="34" t="s">
        <v>2269</v>
      </c>
      <c r="E138" s="68">
        <v>207.98</v>
      </c>
      <c r="F138" s="36"/>
      <c r="G138" s="36">
        <f t="shared" si="8"/>
        <v>207.98</v>
      </c>
      <c r="H138" s="37"/>
    </row>
    <row r="139">
      <c r="A139" s="60" t="s">
        <v>362</v>
      </c>
      <c r="B139" s="60" t="s">
        <v>363</v>
      </c>
      <c r="C139" s="34" t="s">
        <v>75</v>
      </c>
      <c r="D139" s="34" t="s">
        <v>2269</v>
      </c>
      <c r="E139" s="68">
        <v>142.98</v>
      </c>
      <c r="F139" s="36"/>
      <c r="G139" s="36">
        <f t="shared" si="8"/>
        <v>142.98</v>
      </c>
      <c r="H139" s="37"/>
    </row>
    <row r="140">
      <c r="A140" s="60" t="s">
        <v>364</v>
      </c>
      <c r="B140" s="60" t="s">
        <v>365</v>
      </c>
      <c r="C140" s="34" t="s">
        <v>75</v>
      </c>
      <c r="D140" s="34" t="s">
        <v>2269</v>
      </c>
      <c r="E140" s="68">
        <v>5507.78</v>
      </c>
      <c r="F140" s="36"/>
      <c r="G140" s="36">
        <f t="shared" si="8"/>
        <v>5507.78</v>
      </c>
      <c r="H140" s="37"/>
    </row>
    <row r="141">
      <c r="A141" s="60" t="s">
        <v>366</v>
      </c>
      <c r="B141" s="60" t="s">
        <v>367</v>
      </c>
      <c r="C141" s="34" t="s">
        <v>75</v>
      </c>
      <c r="D141" s="34" t="s">
        <v>2269</v>
      </c>
      <c r="E141" s="68">
        <v>868.89</v>
      </c>
      <c r="F141" s="36"/>
      <c r="G141" s="36">
        <f t="shared" si="8"/>
        <v>868.89</v>
      </c>
      <c r="H141" s="37"/>
    </row>
    <row r="142">
      <c r="A142" s="60" t="s">
        <v>368</v>
      </c>
      <c r="B142" s="60" t="s">
        <v>1618</v>
      </c>
      <c r="C142" s="34" t="s">
        <v>75</v>
      </c>
      <c r="D142" s="34" t="s">
        <v>2269</v>
      </c>
      <c r="E142" s="68">
        <v>7658.72</v>
      </c>
      <c r="F142" s="36"/>
      <c r="G142" s="36">
        <f t="shared" si="8"/>
        <v>7658.72</v>
      </c>
      <c r="H142" s="37"/>
    </row>
    <row r="143">
      <c r="A143" s="60" t="s">
        <v>1443</v>
      </c>
      <c r="B143" s="60" t="s">
        <v>1444</v>
      </c>
      <c r="C143" s="34" t="s">
        <v>75</v>
      </c>
      <c r="D143" s="34" t="s">
        <v>2269</v>
      </c>
      <c r="E143" s="68">
        <v>5110.2</v>
      </c>
      <c r="F143" s="36"/>
      <c r="G143" s="36">
        <f t="shared" si="8"/>
        <v>5110.2</v>
      </c>
      <c r="H143" s="37"/>
    </row>
    <row r="144">
      <c r="A144" s="60" t="s">
        <v>716</v>
      </c>
      <c r="B144" s="60" t="s">
        <v>2274</v>
      </c>
      <c r="C144" s="34" t="s">
        <v>75</v>
      </c>
      <c r="D144" s="34" t="s">
        <v>2269</v>
      </c>
      <c r="E144" s="68">
        <v>1482.07</v>
      </c>
      <c r="F144" s="36"/>
      <c r="G144" s="36">
        <f t="shared" si="8"/>
        <v>1482.07</v>
      </c>
      <c r="H144" s="37"/>
    </row>
    <row r="145">
      <c r="A145" s="60" t="s">
        <v>1445</v>
      </c>
      <c r="B145" s="60" t="s">
        <v>1446</v>
      </c>
      <c r="C145" s="34" t="s">
        <v>75</v>
      </c>
      <c r="D145" s="34" t="s">
        <v>2269</v>
      </c>
      <c r="E145" s="68">
        <v>511.02</v>
      </c>
      <c r="F145" s="36"/>
      <c r="G145" s="36">
        <f t="shared" si="8"/>
        <v>511.02</v>
      </c>
      <c r="H145" s="37"/>
    </row>
    <row r="146">
      <c r="A146" s="60" t="s">
        <v>370</v>
      </c>
      <c r="B146" s="60" t="s">
        <v>371</v>
      </c>
      <c r="C146" s="34" t="s">
        <v>75</v>
      </c>
      <c r="D146" s="34" t="s">
        <v>2269</v>
      </c>
      <c r="E146" s="68">
        <v>4600.15</v>
      </c>
      <c r="F146" s="36"/>
      <c r="G146" s="36">
        <f t="shared" si="8"/>
        <v>4600.15</v>
      </c>
      <c r="H146" s="37"/>
    </row>
    <row r="147">
      <c r="A147" s="60" t="s">
        <v>2047</v>
      </c>
      <c r="B147" s="60" t="s">
        <v>2048</v>
      </c>
      <c r="C147" s="34" t="s">
        <v>75</v>
      </c>
      <c r="D147" s="34" t="s">
        <v>2269</v>
      </c>
      <c r="E147" s="68">
        <v>1380.07</v>
      </c>
      <c r="F147" s="36"/>
      <c r="G147" s="36">
        <f t="shared" si="8"/>
        <v>1380.07</v>
      </c>
      <c r="H147" s="37"/>
    </row>
    <row r="148">
      <c r="A148" s="60" t="s">
        <v>376</v>
      </c>
      <c r="B148" s="60" t="s">
        <v>377</v>
      </c>
      <c r="C148" s="34" t="s">
        <v>75</v>
      </c>
      <c r="D148" s="34" t="s">
        <v>2269</v>
      </c>
      <c r="E148" s="68">
        <v>2615.93</v>
      </c>
      <c r="F148" s="36"/>
      <c r="G148" s="36">
        <f t="shared" si="8"/>
        <v>2615.93</v>
      </c>
      <c r="H148" s="37"/>
    </row>
    <row r="149">
      <c r="A149" s="60" t="s">
        <v>384</v>
      </c>
      <c r="B149" s="60" t="s">
        <v>385</v>
      </c>
      <c r="C149" s="34" t="s">
        <v>75</v>
      </c>
      <c r="D149" s="34" t="s">
        <v>2269</v>
      </c>
      <c r="E149" s="68">
        <v>2469.68</v>
      </c>
      <c r="F149" s="36"/>
      <c r="G149" s="36">
        <f t="shared" si="8"/>
        <v>2469.68</v>
      </c>
      <c r="H149" s="37"/>
    </row>
    <row r="150">
      <c r="A150" s="60" t="s">
        <v>386</v>
      </c>
      <c r="B150" s="60" t="s">
        <v>387</v>
      </c>
      <c r="C150" s="34" t="s">
        <v>75</v>
      </c>
      <c r="D150" s="34" t="s">
        <v>2269</v>
      </c>
      <c r="E150" s="68">
        <v>333.96</v>
      </c>
      <c r="F150" s="36"/>
      <c r="G150" s="36">
        <f t="shared" si="8"/>
        <v>333.96</v>
      </c>
      <c r="H150" s="37"/>
    </row>
    <row r="151">
      <c r="A151" s="60" t="s">
        <v>388</v>
      </c>
      <c r="B151" s="60" t="s">
        <v>389</v>
      </c>
      <c r="C151" s="34" t="s">
        <v>75</v>
      </c>
      <c r="D151" s="34" t="s">
        <v>2269</v>
      </c>
      <c r="E151" s="68">
        <v>513.92</v>
      </c>
      <c r="F151" s="36"/>
      <c r="G151" s="36">
        <f t="shared" si="8"/>
        <v>513.92</v>
      </c>
      <c r="H151" s="37"/>
    </row>
    <row r="152">
      <c r="A152" s="60" t="s">
        <v>746</v>
      </c>
      <c r="B152" s="60" t="s">
        <v>747</v>
      </c>
      <c r="C152" s="34" t="s">
        <v>75</v>
      </c>
      <c r="D152" s="34" t="s">
        <v>2269</v>
      </c>
      <c r="E152" s="68">
        <v>2146.08</v>
      </c>
      <c r="F152" s="36"/>
      <c r="G152" s="36">
        <f t="shared" si="8"/>
        <v>2146.08</v>
      </c>
      <c r="H152" s="37"/>
    </row>
    <row r="153">
      <c r="A153" s="60" t="s">
        <v>396</v>
      </c>
      <c r="B153" s="60" t="s">
        <v>397</v>
      </c>
      <c r="C153" s="34" t="s">
        <v>75</v>
      </c>
      <c r="D153" s="34" t="s">
        <v>2269</v>
      </c>
      <c r="E153" s="68">
        <v>518.99</v>
      </c>
      <c r="F153" s="36"/>
      <c r="G153" s="36">
        <f t="shared" si="8"/>
        <v>518.99</v>
      </c>
      <c r="H153" s="37"/>
    </row>
    <row r="154">
      <c r="A154" s="60" t="s">
        <v>472</v>
      </c>
      <c r="B154" s="60" t="s">
        <v>473</v>
      </c>
      <c r="C154" s="34" t="s">
        <v>75</v>
      </c>
      <c r="D154" s="34" t="s">
        <v>1761</v>
      </c>
      <c r="E154" s="68">
        <v>108.98</v>
      </c>
      <c r="F154" s="36"/>
      <c r="G154" s="36">
        <f t="shared" si="8"/>
        <v>108.98</v>
      </c>
      <c r="H154" s="37"/>
    </row>
    <row r="155">
      <c r="A155" s="60" t="s">
        <v>474</v>
      </c>
      <c r="B155" s="60" t="s">
        <v>475</v>
      </c>
      <c r="C155" s="34" t="s">
        <v>75</v>
      </c>
      <c r="D155" s="34" t="s">
        <v>1761</v>
      </c>
      <c r="E155" s="68">
        <v>47.28</v>
      </c>
      <c r="F155" s="36"/>
      <c r="G155" s="36">
        <f t="shared" si="8"/>
        <v>47.28</v>
      </c>
      <c r="H155" s="37"/>
    </row>
    <row r="156">
      <c r="A156" s="60" t="s">
        <v>476</v>
      </c>
      <c r="B156" s="60" t="s">
        <v>477</v>
      </c>
      <c r="C156" s="34" t="s">
        <v>75</v>
      </c>
      <c r="D156" s="34" t="s">
        <v>1761</v>
      </c>
      <c r="E156" s="68">
        <v>101.98</v>
      </c>
      <c r="F156" s="36"/>
      <c r="G156" s="36">
        <f t="shared" si="8"/>
        <v>101.98</v>
      </c>
      <c r="H156" s="37"/>
    </row>
    <row r="157">
      <c r="A157" s="60" t="s">
        <v>478</v>
      </c>
      <c r="B157" s="60" t="s">
        <v>479</v>
      </c>
      <c r="C157" s="34" t="s">
        <v>75</v>
      </c>
      <c r="D157" s="34" t="s">
        <v>1761</v>
      </c>
      <c r="E157" s="68">
        <v>569.01</v>
      </c>
      <c r="F157" s="36"/>
      <c r="G157" s="36">
        <f t="shared" si="8"/>
        <v>569.01</v>
      </c>
      <c r="H157" s="37"/>
    </row>
    <row r="158">
      <c r="A158" s="60" t="s">
        <v>480</v>
      </c>
      <c r="B158" s="60" t="s">
        <v>481</v>
      </c>
      <c r="C158" s="34" t="s">
        <v>75</v>
      </c>
      <c r="D158" s="34" t="s">
        <v>1761</v>
      </c>
      <c r="E158" s="68">
        <v>200.98</v>
      </c>
      <c r="F158" s="36"/>
      <c r="G158" s="36">
        <f t="shared" si="8"/>
        <v>200.98</v>
      </c>
      <c r="H158" s="37"/>
    </row>
    <row r="159">
      <c r="A159" s="60" t="s">
        <v>482</v>
      </c>
      <c r="B159" s="60" t="s">
        <v>483</v>
      </c>
      <c r="C159" s="34" t="s">
        <v>75</v>
      </c>
      <c r="D159" s="34" t="s">
        <v>1761</v>
      </c>
      <c r="E159" s="68">
        <v>258.97</v>
      </c>
      <c r="F159" s="36"/>
      <c r="G159" s="36">
        <f t="shared" si="8"/>
        <v>258.97</v>
      </c>
      <c r="H159" s="37"/>
    </row>
    <row r="160">
      <c r="A160" s="60" t="s">
        <v>484</v>
      </c>
      <c r="B160" s="60" t="s">
        <v>485</v>
      </c>
      <c r="C160" s="34" t="s">
        <v>75</v>
      </c>
      <c r="D160" s="34" t="s">
        <v>1761</v>
      </c>
      <c r="E160" s="68">
        <v>560.06</v>
      </c>
      <c r="F160" s="36"/>
      <c r="G160" s="36">
        <f t="shared" si="8"/>
        <v>560.06</v>
      </c>
      <c r="H160" s="37"/>
    </row>
    <row r="161">
      <c r="A161" s="60" t="s">
        <v>486</v>
      </c>
      <c r="B161" s="60" t="s">
        <v>487</v>
      </c>
      <c r="C161" s="34" t="s">
        <v>75</v>
      </c>
      <c r="D161" s="34" t="s">
        <v>1761</v>
      </c>
      <c r="E161" s="68">
        <v>408.98</v>
      </c>
      <c r="F161" s="36"/>
      <c r="G161" s="36">
        <f t="shared" si="8"/>
        <v>408.98</v>
      </c>
      <c r="H161" s="37"/>
    </row>
    <row r="162">
      <c r="A162" s="60" t="s">
        <v>1920</v>
      </c>
      <c r="B162" s="60" t="s">
        <v>1921</v>
      </c>
      <c r="C162" s="34" t="s">
        <v>75</v>
      </c>
      <c r="D162" s="34" t="s">
        <v>1761</v>
      </c>
      <c r="E162" s="68">
        <v>517.5</v>
      </c>
      <c r="F162" s="36"/>
      <c r="G162" s="36">
        <f t="shared" si="8"/>
        <v>517.5</v>
      </c>
      <c r="H162" s="37"/>
    </row>
    <row r="163">
      <c r="A163" s="60" t="s">
        <v>490</v>
      </c>
      <c r="B163" s="60" t="s">
        <v>491</v>
      </c>
      <c r="C163" s="34" t="s">
        <v>75</v>
      </c>
      <c r="D163" s="34" t="s">
        <v>1761</v>
      </c>
      <c r="E163" s="68">
        <v>285.96</v>
      </c>
      <c r="F163" s="36"/>
      <c r="G163" s="36">
        <f t="shared" si="8"/>
        <v>285.96</v>
      </c>
      <c r="H163" s="37"/>
    </row>
    <row r="164">
      <c r="A164" s="60" t="s">
        <v>494</v>
      </c>
      <c r="B164" s="60" t="s">
        <v>495</v>
      </c>
      <c r="C164" s="34" t="s">
        <v>75</v>
      </c>
      <c r="D164" s="34" t="s">
        <v>1761</v>
      </c>
      <c r="E164" s="68">
        <v>108.98</v>
      </c>
      <c r="F164" s="36"/>
      <c r="G164" s="36">
        <f t="shared" si="8"/>
        <v>108.98</v>
      </c>
      <c r="H164" s="37"/>
    </row>
    <row r="165">
      <c r="A165" s="60" t="s">
        <v>496</v>
      </c>
      <c r="B165" s="60" t="s">
        <v>497</v>
      </c>
      <c r="C165" s="34" t="s">
        <v>75</v>
      </c>
      <c r="D165" s="34" t="s">
        <v>1761</v>
      </c>
      <c r="E165" s="68">
        <v>91.98</v>
      </c>
      <c r="F165" s="36"/>
      <c r="G165" s="36">
        <f t="shared" si="8"/>
        <v>91.98</v>
      </c>
      <c r="H165" s="37"/>
    </row>
    <row r="166">
      <c r="A166" s="60" t="s">
        <v>498</v>
      </c>
      <c r="B166" s="60" t="s">
        <v>499</v>
      </c>
      <c r="C166" s="34" t="s">
        <v>75</v>
      </c>
      <c r="D166" s="34" t="s">
        <v>1761</v>
      </c>
      <c r="E166" s="68">
        <v>357.96</v>
      </c>
      <c r="F166" s="36"/>
      <c r="G166" s="36">
        <f t="shared" si="8"/>
        <v>357.96</v>
      </c>
      <c r="H166" s="37"/>
    </row>
    <row r="167">
      <c r="A167" s="60" t="s">
        <v>500</v>
      </c>
      <c r="B167" s="60" t="s">
        <v>501</v>
      </c>
      <c r="C167" s="34" t="s">
        <v>75</v>
      </c>
      <c r="D167" s="34" t="s">
        <v>1761</v>
      </c>
      <c r="E167" s="68">
        <v>67.99</v>
      </c>
      <c r="F167" s="36"/>
      <c r="G167" s="36">
        <f t="shared" si="8"/>
        <v>67.99</v>
      </c>
      <c r="H167" s="37"/>
    </row>
    <row r="168">
      <c r="A168" s="60" t="s">
        <v>502</v>
      </c>
      <c r="B168" s="60" t="s">
        <v>503</v>
      </c>
      <c r="C168" s="34" t="s">
        <v>75</v>
      </c>
      <c r="D168" s="34" t="s">
        <v>1761</v>
      </c>
      <c r="E168" s="68">
        <v>53.98</v>
      </c>
      <c r="F168" s="36"/>
      <c r="G168" s="36">
        <f t="shared" si="8"/>
        <v>53.98</v>
      </c>
      <c r="H168" s="37"/>
    </row>
    <row r="169">
      <c r="A169" s="60" t="s">
        <v>504</v>
      </c>
      <c r="B169" s="60" t="s">
        <v>505</v>
      </c>
      <c r="C169" s="34" t="s">
        <v>75</v>
      </c>
      <c r="D169" s="34" t="s">
        <v>1761</v>
      </c>
      <c r="E169" s="68">
        <v>217.97</v>
      </c>
      <c r="F169" s="36"/>
      <c r="G169" s="36">
        <f t="shared" si="8"/>
        <v>217.97</v>
      </c>
      <c r="H169" s="37"/>
    </row>
    <row r="170">
      <c r="A170" s="60" t="s">
        <v>506</v>
      </c>
      <c r="B170" s="60" t="s">
        <v>507</v>
      </c>
      <c r="C170" s="34" t="s">
        <v>75</v>
      </c>
      <c r="D170" s="34" t="s">
        <v>1761</v>
      </c>
      <c r="E170" s="68">
        <v>1522.29</v>
      </c>
      <c r="F170" s="36"/>
      <c r="G170" s="36">
        <f t="shared" si="8"/>
        <v>1522.29</v>
      </c>
      <c r="H170" s="37"/>
    </row>
    <row r="171">
      <c r="A171" s="60" t="s">
        <v>508</v>
      </c>
      <c r="B171" s="60" t="s">
        <v>509</v>
      </c>
      <c r="C171" s="34" t="s">
        <v>75</v>
      </c>
      <c r="D171" s="34" t="s">
        <v>1761</v>
      </c>
      <c r="E171" s="68">
        <v>460.03</v>
      </c>
      <c r="F171" s="36"/>
      <c r="G171" s="36">
        <f t="shared" si="8"/>
        <v>460.03</v>
      </c>
      <c r="H171" s="37"/>
    </row>
    <row r="172">
      <c r="A172" s="60" t="s">
        <v>510</v>
      </c>
      <c r="B172" s="60" t="s">
        <v>511</v>
      </c>
      <c r="C172" s="34" t="s">
        <v>75</v>
      </c>
      <c r="D172" s="34" t="s">
        <v>1761</v>
      </c>
      <c r="E172" s="68">
        <v>494.02</v>
      </c>
      <c r="F172" s="36"/>
      <c r="G172" s="36">
        <f t="shared" si="8"/>
        <v>494.02</v>
      </c>
      <c r="H172" s="37"/>
    </row>
    <row r="173">
      <c r="A173" s="60" t="s">
        <v>1924</v>
      </c>
      <c r="B173" s="60" t="s">
        <v>1925</v>
      </c>
      <c r="C173" s="34" t="s">
        <v>75</v>
      </c>
      <c r="D173" s="34" t="s">
        <v>1761</v>
      </c>
      <c r="E173" s="68">
        <v>207.97</v>
      </c>
      <c r="F173" s="36"/>
      <c r="G173" s="36">
        <f t="shared" si="8"/>
        <v>207.97</v>
      </c>
      <c r="H173" s="37"/>
    </row>
    <row r="174">
      <c r="A174" s="60" t="s">
        <v>512</v>
      </c>
      <c r="B174" s="60" t="s">
        <v>513</v>
      </c>
      <c r="C174" s="34" t="s">
        <v>75</v>
      </c>
      <c r="D174" s="34" t="s">
        <v>1761</v>
      </c>
      <c r="E174" s="68">
        <v>414.0</v>
      </c>
      <c r="F174" s="36"/>
      <c r="G174" s="36">
        <f t="shared" si="8"/>
        <v>414</v>
      </c>
      <c r="H174" s="37"/>
    </row>
    <row r="175">
      <c r="A175" s="60" t="s">
        <v>514</v>
      </c>
      <c r="B175" s="60" t="s">
        <v>515</v>
      </c>
      <c r="C175" s="34" t="s">
        <v>75</v>
      </c>
      <c r="D175" s="34" t="s">
        <v>1761</v>
      </c>
      <c r="E175" s="68">
        <v>125.97</v>
      </c>
      <c r="F175" s="36"/>
      <c r="G175" s="36">
        <f t="shared" si="8"/>
        <v>125.97</v>
      </c>
      <c r="H175" s="37"/>
    </row>
    <row r="176">
      <c r="A176" s="60" t="s">
        <v>516</v>
      </c>
      <c r="B176" s="60" t="s">
        <v>517</v>
      </c>
      <c r="C176" s="34" t="s">
        <v>75</v>
      </c>
      <c r="D176" s="34" t="s">
        <v>1761</v>
      </c>
      <c r="E176" s="68">
        <v>173.98</v>
      </c>
      <c r="F176" s="36"/>
      <c r="G176" s="36">
        <f t="shared" si="8"/>
        <v>173.98</v>
      </c>
      <c r="H176" s="37"/>
    </row>
    <row r="177">
      <c r="A177" s="60" t="s">
        <v>518</v>
      </c>
      <c r="B177" s="60" t="s">
        <v>519</v>
      </c>
      <c r="C177" s="34" t="s">
        <v>75</v>
      </c>
      <c r="D177" s="34" t="s">
        <v>1761</v>
      </c>
      <c r="E177" s="68">
        <v>561.93</v>
      </c>
      <c r="F177" s="36"/>
      <c r="G177" s="36">
        <f t="shared" si="8"/>
        <v>561.93</v>
      </c>
      <c r="H177" s="37"/>
    </row>
    <row r="178">
      <c r="A178" s="60" t="s">
        <v>522</v>
      </c>
      <c r="B178" s="60" t="s">
        <v>523</v>
      </c>
      <c r="C178" s="34" t="s">
        <v>75</v>
      </c>
      <c r="D178" s="34" t="s">
        <v>1761</v>
      </c>
      <c r="E178" s="68">
        <v>91.98</v>
      </c>
      <c r="F178" s="36"/>
      <c r="G178" s="36">
        <f t="shared" si="8"/>
        <v>91.98</v>
      </c>
      <c r="H178" s="37"/>
    </row>
    <row r="179">
      <c r="A179" s="60" t="s">
        <v>524</v>
      </c>
      <c r="B179" s="60" t="s">
        <v>525</v>
      </c>
      <c r="C179" s="34" t="s">
        <v>75</v>
      </c>
      <c r="D179" s="34" t="s">
        <v>1761</v>
      </c>
      <c r="E179" s="68">
        <v>5460.42</v>
      </c>
      <c r="F179" s="36"/>
      <c r="G179" s="36">
        <f t="shared" si="8"/>
        <v>5460.42</v>
      </c>
      <c r="H179" s="37"/>
    </row>
    <row r="180">
      <c r="A180" s="60" t="s">
        <v>1775</v>
      </c>
      <c r="B180" s="60" t="s">
        <v>1776</v>
      </c>
      <c r="C180" s="34" t="s">
        <v>75</v>
      </c>
      <c r="D180" s="34" t="s">
        <v>1761</v>
      </c>
      <c r="E180" s="68">
        <v>3220.0</v>
      </c>
      <c r="F180" s="36"/>
      <c r="G180" s="36">
        <f t="shared" si="8"/>
        <v>3220</v>
      </c>
      <c r="H180" s="37"/>
    </row>
    <row r="181">
      <c r="A181" s="60" t="s">
        <v>526</v>
      </c>
      <c r="B181" s="60" t="s">
        <v>527</v>
      </c>
      <c r="C181" s="34" t="s">
        <v>75</v>
      </c>
      <c r="D181" s="34" t="s">
        <v>1761</v>
      </c>
      <c r="E181" s="68">
        <v>108.98</v>
      </c>
      <c r="F181" s="36"/>
      <c r="G181" s="36">
        <f t="shared" si="8"/>
        <v>108.98</v>
      </c>
      <c r="H181" s="37"/>
    </row>
    <row r="182">
      <c r="A182" s="60" t="s">
        <v>530</v>
      </c>
      <c r="B182" s="60" t="s">
        <v>531</v>
      </c>
      <c r="C182" s="34" t="s">
        <v>75</v>
      </c>
      <c r="D182" s="34" t="s">
        <v>1761</v>
      </c>
      <c r="E182" s="68">
        <v>511.02</v>
      </c>
      <c r="F182" s="36"/>
      <c r="G182" s="36">
        <f t="shared" si="8"/>
        <v>511.02</v>
      </c>
      <c r="H182" s="37"/>
    </row>
    <row r="183">
      <c r="A183" s="60" t="s">
        <v>532</v>
      </c>
      <c r="B183" s="60" t="s">
        <v>533</v>
      </c>
      <c r="C183" s="34" t="s">
        <v>75</v>
      </c>
      <c r="D183" s="34" t="s">
        <v>1761</v>
      </c>
      <c r="E183" s="68">
        <v>166.98</v>
      </c>
      <c r="F183" s="36"/>
      <c r="G183" s="36">
        <f t="shared" si="8"/>
        <v>166.98</v>
      </c>
      <c r="H183" s="37"/>
    </row>
    <row r="184">
      <c r="A184" s="60" t="s">
        <v>534</v>
      </c>
      <c r="B184" s="60" t="s">
        <v>535</v>
      </c>
      <c r="C184" s="34" t="s">
        <v>75</v>
      </c>
      <c r="D184" s="34" t="s">
        <v>1761</v>
      </c>
      <c r="E184" s="68">
        <v>50.99</v>
      </c>
      <c r="F184" s="36"/>
      <c r="G184" s="36">
        <f t="shared" si="8"/>
        <v>50.99</v>
      </c>
      <c r="H184" s="37"/>
    </row>
    <row r="185">
      <c r="A185" s="60" t="s">
        <v>536</v>
      </c>
      <c r="B185" s="60" t="s">
        <v>537</v>
      </c>
      <c r="C185" s="34" t="s">
        <v>75</v>
      </c>
      <c r="D185" s="34" t="s">
        <v>1761</v>
      </c>
      <c r="E185" s="68">
        <v>200.98</v>
      </c>
      <c r="F185" s="36"/>
      <c r="G185" s="36">
        <f t="shared" si="8"/>
        <v>200.98</v>
      </c>
      <c r="H185" s="37"/>
    </row>
    <row r="186">
      <c r="A186" s="60" t="s">
        <v>538</v>
      </c>
      <c r="B186" s="60" t="s">
        <v>539</v>
      </c>
      <c r="C186" s="34" t="s">
        <v>75</v>
      </c>
      <c r="D186" s="34" t="s">
        <v>1761</v>
      </c>
      <c r="E186" s="68">
        <v>460.03</v>
      </c>
      <c r="F186" s="36"/>
      <c r="G186" s="36">
        <f t="shared" si="8"/>
        <v>460.03</v>
      </c>
      <c r="H186" s="37"/>
    </row>
    <row r="187">
      <c r="A187" s="60" t="s">
        <v>540</v>
      </c>
      <c r="B187" s="60" t="s">
        <v>541</v>
      </c>
      <c r="C187" s="34" t="s">
        <v>75</v>
      </c>
      <c r="D187" s="34" t="s">
        <v>1761</v>
      </c>
      <c r="E187" s="68">
        <v>231.98</v>
      </c>
      <c r="F187" s="36"/>
      <c r="G187" s="36">
        <f t="shared" si="8"/>
        <v>231.98</v>
      </c>
      <c r="H187" s="37"/>
    </row>
    <row r="188">
      <c r="A188" s="60" t="s">
        <v>542</v>
      </c>
      <c r="B188" s="60" t="s">
        <v>543</v>
      </c>
      <c r="C188" s="34" t="s">
        <v>75</v>
      </c>
      <c r="D188" s="34" t="s">
        <v>1761</v>
      </c>
      <c r="E188" s="68">
        <v>1211.42</v>
      </c>
      <c r="F188" s="36"/>
      <c r="G188" s="36">
        <f t="shared" si="8"/>
        <v>1211.42</v>
      </c>
      <c r="H188" s="37"/>
    </row>
    <row r="189">
      <c r="A189" s="60" t="s">
        <v>544</v>
      </c>
      <c r="B189" s="60" t="s">
        <v>545</v>
      </c>
      <c r="C189" s="34" t="s">
        <v>75</v>
      </c>
      <c r="D189" s="34" t="s">
        <v>1761</v>
      </c>
      <c r="E189" s="68">
        <v>493.93</v>
      </c>
      <c r="F189" s="36"/>
      <c r="G189" s="36">
        <f t="shared" si="8"/>
        <v>493.93</v>
      </c>
      <c r="H189" s="37"/>
    </row>
    <row r="190">
      <c r="A190" s="60" t="s">
        <v>546</v>
      </c>
      <c r="B190" s="60" t="s">
        <v>547</v>
      </c>
      <c r="C190" s="34" t="s">
        <v>75</v>
      </c>
      <c r="D190" s="34" t="s">
        <v>1761</v>
      </c>
      <c r="E190" s="68">
        <v>251.96</v>
      </c>
      <c r="F190" s="36"/>
      <c r="G190" s="36">
        <f t="shared" si="8"/>
        <v>251.96</v>
      </c>
      <c r="H190" s="37"/>
    </row>
    <row r="191">
      <c r="A191" s="60" t="s">
        <v>1928</v>
      </c>
      <c r="B191" s="60" t="s">
        <v>1929</v>
      </c>
      <c r="C191" s="34" t="s">
        <v>75</v>
      </c>
      <c r="D191" s="34" t="s">
        <v>1761</v>
      </c>
      <c r="E191" s="68">
        <v>108.98</v>
      </c>
      <c r="F191" s="36"/>
      <c r="G191" s="36">
        <f t="shared" si="8"/>
        <v>108.98</v>
      </c>
      <c r="H191" s="37"/>
    </row>
    <row r="192">
      <c r="A192" s="60" t="s">
        <v>548</v>
      </c>
      <c r="B192" s="60" t="s">
        <v>549</v>
      </c>
      <c r="C192" s="34" t="s">
        <v>75</v>
      </c>
      <c r="D192" s="34" t="s">
        <v>1761</v>
      </c>
      <c r="E192" s="68">
        <v>241.97</v>
      </c>
      <c r="F192" s="36"/>
      <c r="G192" s="36">
        <f t="shared" si="8"/>
        <v>241.97</v>
      </c>
      <c r="H192" s="37"/>
    </row>
    <row r="193">
      <c r="A193" s="60" t="s">
        <v>550</v>
      </c>
      <c r="B193" s="60" t="s">
        <v>551</v>
      </c>
      <c r="C193" s="34" t="s">
        <v>75</v>
      </c>
      <c r="D193" s="34" t="s">
        <v>1761</v>
      </c>
      <c r="E193" s="68">
        <v>309.95</v>
      </c>
      <c r="F193" s="36"/>
      <c r="G193" s="36">
        <f t="shared" si="8"/>
        <v>309.95</v>
      </c>
      <c r="H193" s="37"/>
    </row>
    <row r="194">
      <c r="A194" s="60" t="s">
        <v>1425</v>
      </c>
      <c r="B194" s="60" t="s">
        <v>1426</v>
      </c>
      <c r="C194" s="34" t="s">
        <v>75</v>
      </c>
      <c r="D194" s="34" t="s">
        <v>1761</v>
      </c>
      <c r="E194" s="68">
        <v>0.26</v>
      </c>
      <c r="F194" s="36"/>
      <c r="G194" s="36">
        <f t="shared" si="8"/>
        <v>0.26</v>
      </c>
      <c r="H194" s="37"/>
    </row>
    <row r="195">
      <c r="A195" s="60" t="s">
        <v>552</v>
      </c>
      <c r="B195" s="60" t="s">
        <v>553</v>
      </c>
      <c r="C195" s="34" t="s">
        <v>75</v>
      </c>
      <c r="D195" s="34" t="s">
        <v>1761</v>
      </c>
      <c r="E195" s="68">
        <v>1203.94</v>
      </c>
      <c r="F195" s="36"/>
      <c r="G195" s="36">
        <f t="shared" si="8"/>
        <v>1203.94</v>
      </c>
      <c r="H195" s="37"/>
    </row>
    <row r="196">
      <c r="A196" s="60" t="s">
        <v>556</v>
      </c>
      <c r="B196" s="60" t="s">
        <v>557</v>
      </c>
      <c r="C196" s="34" t="s">
        <v>75</v>
      </c>
      <c r="D196" s="34" t="s">
        <v>1761</v>
      </c>
      <c r="E196" s="68">
        <v>275.96</v>
      </c>
      <c r="F196" s="36"/>
      <c r="G196" s="36">
        <f t="shared" si="8"/>
        <v>275.96</v>
      </c>
      <c r="H196" s="37"/>
    </row>
    <row r="197">
      <c r="A197" s="60" t="s">
        <v>1930</v>
      </c>
      <c r="B197" s="60" t="s">
        <v>1931</v>
      </c>
      <c r="C197" s="34" t="s">
        <v>75</v>
      </c>
      <c r="D197" s="34" t="s">
        <v>1761</v>
      </c>
      <c r="E197" s="68">
        <v>200.98</v>
      </c>
      <c r="F197" s="36"/>
      <c r="G197" s="36">
        <f t="shared" si="8"/>
        <v>200.98</v>
      </c>
      <c r="H197" s="37"/>
    </row>
    <row r="198">
      <c r="A198" s="60" t="s">
        <v>558</v>
      </c>
      <c r="B198" s="60" t="s">
        <v>559</v>
      </c>
      <c r="C198" s="34" t="s">
        <v>75</v>
      </c>
      <c r="D198" s="34" t="s">
        <v>1761</v>
      </c>
      <c r="E198" s="68">
        <v>391.95</v>
      </c>
      <c r="F198" s="36"/>
      <c r="G198" s="36">
        <f t="shared" si="8"/>
        <v>391.95</v>
      </c>
      <c r="H198" s="37"/>
    </row>
    <row r="199">
      <c r="A199" s="60" t="s">
        <v>560</v>
      </c>
      <c r="B199" s="60" t="s">
        <v>561</v>
      </c>
      <c r="C199" s="34" t="s">
        <v>75</v>
      </c>
      <c r="D199" s="34" t="s">
        <v>1761</v>
      </c>
      <c r="E199" s="68">
        <v>268.96</v>
      </c>
      <c r="F199" s="36"/>
      <c r="G199" s="36">
        <f t="shared" si="8"/>
        <v>268.96</v>
      </c>
      <c r="H199" s="37"/>
    </row>
    <row r="200">
      <c r="A200" s="60" t="s">
        <v>562</v>
      </c>
      <c r="B200" s="60" t="s">
        <v>563</v>
      </c>
      <c r="C200" s="34" t="s">
        <v>75</v>
      </c>
      <c r="D200" s="34" t="s">
        <v>1761</v>
      </c>
      <c r="E200" s="68">
        <v>84.99</v>
      </c>
      <c r="F200" s="36"/>
      <c r="G200" s="36">
        <f t="shared" si="8"/>
        <v>84.99</v>
      </c>
      <c r="H200" s="37"/>
    </row>
    <row r="201">
      <c r="A201" s="60" t="s">
        <v>564</v>
      </c>
      <c r="B201" s="60" t="s">
        <v>565</v>
      </c>
      <c r="C201" s="34" t="s">
        <v>75</v>
      </c>
      <c r="D201" s="34" t="s">
        <v>1761</v>
      </c>
      <c r="E201" s="68">
        <v>108.98</v>
      </c>
      <c r="F201" s="36"/>
      <c r="G201" s="36">
        <f t="shared" si="8"/>
        <v>108.98</v>
      </c>
      <c r="H201" s="37"/>
    </row>
    <row r="202">
      <c r="A202" s="60" t="s">
        <v>566</v>
      </c>
      <c r="B202" s="60" t="s">
        <v>567</v>
      </c>
      <c r="C202" s="34" t="s">
        <v>75</v>
      </c>
      <c r="D202" s="34" t="s">
        <v>1761</v>
      </c>
      <c r="E202" s="68">
        <v>275.96</v>
      </c>
      <c r="F202" s="36"/>
      <c r="G202" s="36">
        <f t="shared" si="8"/>
        <v>275.96</v>
      </c>
      <c r="H202" s="37"/>
    </row>
    <row r="203">
      <c r="A203" s="60" t="s">
        <v>1932</v>
      </c>
      <c r="B203" s="60" t="s">
        <v>1933</v>
      </c>
      <c r="C203" s="34" t="s">
        <v>75</v>
      </c>
      <c r="D203" s="34" t="s">
        <v>1761</v>
      </c>
      <c r="E203" s="68">
        <v>183.98</v>
      </c>
      <c r="F203" s="36"/>
      <c r="G203" s="36">
        <f t="shared" si="8"/>
        <v>183.98</v>
      </c>
      <c r="H203" s="37"/>
    </row>
    <row r="204">
      <c r="A204" s="60" t="s">
        <v>568</v>
      </c>
      <c r="B204" s="60" t="s">
        <v>569</v>
      </c>
      <c r="C204" s="34" t="s">
        <v>75</v>
      </c>
      <c r="D204" s="34" t="s">
        <v>1761</v>
      </c>
      <c r="E204" s="68">
        <v>1955.0</v>
      </c>
      <c r="F204" s="36"/>
      <c r="G204" s="36">
        <f t="shared" si="8"/>
        <v>1955</v>
      </c>
      <c r="H204" s="37"/>
    </row>
    <row r="205">
      <c r="A205" s="60" t="s">
        <v>1934</v>
      </c>
      <c r="B205" s="60" t="s">
        <v>1935</v>
      </c>
      <c r="C205" s="34" t="s">
        <v>75</v>
      </c>
      <c r="D205" s="34" t="s">
        <v>1761</v>
      </c>
      <c r="E205" s="68">
        <v>459.94</v>
      </c>
      <c r="F205" s="36"/>
      <c r="G205" s="36">
        <f t="shared" si="8"/>
        <v>459.94</v>
      </c>
      <c r="H205" s="37"/>
    </row>
    <row r="206">
      <c r="A206" s="60" t="s">
        <v>570</v>
      </c>
      <c r="B206" s="60" t="s">
        <v>571</v>
      </c>
      <c r="C206" s="34" t="s">
        <v>75</v>
      </c>
      <c r="D206" s="34" t="s">
        <v>1761</v>
      </c>
      <c r="E206" s="68">
        <v>309.95</v>
      </c>
      <c r="F206" s="36"/>
      <c r="G206" s="36">
        <f t="shared" si="8"/>
        <v>309.95</v>
      </c>
      <c r="H206" s="37"/>
    </row>
    <row r="207">
      <c r="A207" s="60" t="s">
        <v>572</v>
      </c>
      <c r="B207" s="60" t="s">
        <v>573</v>
      </c>
      <c r="C207" s="34" t="s">
        <v>75</v>
      </c>
      <c r="D207" s="34" t="s">
        <v>1761</v>
      </c>
      <c r="E207" s="68">
        <v>115.99</v>
      </c>
      <c r="F207" s="36"/>
      <c r="G207" s="36">
        <f t="shared" si="8"/>
        <v>115.99</v>
      </c>
      <c r="H207" s="37"/>
    </row>
    <row r="208">
      <c r="A208" s="60" t="s">
        <v>574</v>
      </c>
      <c r="B208" s="60" t="s">
        <v>575</v>
      </c>
      <c r="C208" s="34" t="s">
        <v>75</v>
      </c>
      <c r="D208" s="34" t="s">
        <v>1761</v>
      </c>
      <c r="E208" s="68">
        <v>108.98</v>
      </c>
      <c r="F208" s="36"/>
      <c r="G208" s="36">
        <f t="shared" si="8"/>
        <v>108.98</v>
      </c>
      <c r="H208" s="37"/>
    </row>
    <row r="209">
      <c r="A209" s="60" t="s">
        <v>576</v>
      </c>
      <c r="B209" s="60" t="s">
        <v>577</v>
      </c>
      <c r="C209" s="34" t="s">
        <v>75</v>
      </c>
      <c r="D209" s="34" t="s">
        <v>1761</v>
      </c>
      <c r="E209" s="68">
        <v>200.98</v>
      </c>
      <c r="F209" s="36"/>
      <c r="G209" s="36">
        <f t="shared" si="8"/>
        <v>200.98</v>
      </c>
      <c r="H209" s="37"/>
    </row>
    <row r="210">
      <c r="A210" s="60" t="s">
        <v>578</v>
      </c>
      <c r="B210" s="60" t="s">
        <v>579</v>
      </c>
      <c r="C210" s="34" t="s">
        <v>75</v>
      </c>
      <c r="D210" s="34" t="s">
        <v>1761</v>
      </c>
      <c r="E210" s="68">
        <v>183.98</v>
      </c>
      <c r="F210" s="36"/>
      <c r="G210" s="36">
        <f t="shared" si="8"/>
        <v>183.98</v>
      </c>
      <c r="H210" s="37"/>
    </row>
    <row r="211">
      <c r="A211" s="60" t="s">
        <v>580</v>
      </c>
      <c r="B211" s="60" t="s">
        <v>581</v>
      </c>
      <c r="C211" s="34" t="s">
        <v>75</v>
      </c>
      <c r="D211" s="34" t="s">
        <v>1761</v>
      </c>
      <c r="E211" s="68">
        <v>149.98</v>
      </c>
      <c r="F211" s="36"/>
      <c r="G211" s="36">
        <f t="shared" si="8"/>
        <v>149.98</v>
      </c>
      <c r="H211" s="37"/>
    </row>
    <row r="212">
      <c r="A212" s="60" t="s">
        <v>582</v>
      </c>
      <c r="B212" s="60" t="s">
        <v>583</v>
      </c>
      <c r="C212" s="34" t="s">
        <v>75</v>
      </c>
      <c r="D212" s="34" t="s">
        <v>1761</v>
      </c>
      <c r="E212" s="68">
        <v>217.97</v>
      </c>
      <c r="F212" s="36"/>
      <c r="G212" s="36">
        <f t="shared" si="8"/>
        <v>217.97</v>
      </c>
      <c r="H212" s="37"/>
    </row>
    <row r="213">
      <c r="A213" s="60" t="s">
        <v>1936</v>
      </c>
      <c r="B213" s="60" t="s">
        <v>1937</v>
      </c>
      <c r="C213" s="34" t="s">
        <v>75</v>
      </c>
      <c r="D213" s="34" t="s">
        <v>1761</v>
      </c>
      <c r="E213" s="68">
        <v>275.96</v>
      </c>
      <c r="F213" s="36"/>
      <c r="G213" s="36">
        <f t="shared" si="8"/>
        <v>275.96</v>
      </c>
      <c r="H213" s="37"/>
    </row>
    <row r="214">
      <c r="A214" s="60" t="s">
        <v>586</v>
      </c>
      <c r="B214" s="60" t="s">
        <v>587</v>
      </c>
      <c r="C214" s="34" t="s">
        <v>75</v>
      </c>
      <c r="D214" s="34" t="s">
        <v>1761</v>
      </c>
      <c r="E214" s="68">
        <v>200.98</v>
      </c>
      <c r="F214" s="36"/>
      <c r="G214" s="36">
        <f t="shared" si="8"/>
        <v>200.98</v>
      </c>
      <c r="H214" s="37"/>
    </row>
    <row r="215">
      <c r="A215" s="60" t="s">
        <v>588</v>
      </c>
      <c r="B215" s="60" t="s">
        <v>589</v>
      </c>
      <c r="C215" s="34" t="s">
        <v>75</v>
      </c>
      <c r="D215" s="34" t="s">
        <v>1761</v>
      </c>
      <c r="E215" s="68">
        <v>527.93</v>
      </c>
      <c r="F215" s="36"/>
      <c r="G215" s="36">
        <f t="shared" si="8"/>
        <v>527.93</v>
      </c>
      <c r="H215" s="37"/>
    </row>
    <row r="216">
      <c r="A216" s="60" t="s">
        <v>1777</v>
      </c>
      <c r="B216" s="60" t="s">
        <v>1778</v>
      </c>
      <c r="C216" s="34" t="s">
        <v>75</v>
      </c>
      <c r="D216" s="34" t="s">
        <v>1761</v>
      </c>
      <c r="E216" s="68">
        <v>91.98</v>
      </c>
      <c r="F216" s="36"/>
      <c r="G216" s="36">
        <f t="shared" si="8"/>
        <v>91.98</v>
      </c>
      <c r="H216" s="37"/>
    </row>
    <row r="217">
      <c r="A217" s="60" t="s">
        <v>590</v>
      </c>
      <c r="B217" s="60" t="s">
        <v>591</v>
      </c>
      <c r="C217" s="34" t="s">
        <v>75</v>
      </c>
      <c r="D217" s="34" t="s">
        <v>1761</v>
      </c>
      <c r="E217" s="68">
        <v>108.98</v>
      </c>
      <c r="F217" s="36"/>
      <c r="G217" s="36">
        <f t="shared" si="8"/>
        <v>108.98</v>
      </c>
      <c r="H217" s="37"/>
    </row>
    <row r="218">
      <c r="A218" s="60" t="s">
        <v>592</v>
      </c>
      <c r="B218" s="60" t="s">
        <v>593</v>
      </c>
      <c r="C218" s="34" t="s">
        <v>75</v>
      </c>
      <c r="D218" s="34" t="s">
        <v>1761</v>
      </c>
      <c r="E218" s="68">
        <v>108.98</v>
      </c>
      <c r="F218" s="36"/>
      <c r="G218" s="36">
        <f t="shared" si="8"/>
        <v>108.98</v>
      </c>
      <c r="H218" s="37"/>
    </row>
    <row r="219">
      <c r="A219" s="60" t="s">
        <v>594</v>
      </c>
      <c r="B219" s="60" t="s">
        <v>595</v>
      </c>
      <c r="C219" s="34" t="s">
        <v>75</v>
      </c>
      <c r="D219" s="34" t="s">
        <v>1761</v>
      </c>
      <c r="E219" s="68">
        <v>217.97</v>
      </c>
      <c r="F219" s="36"/>
      <c r="G219" s="36">
        <f t="shared" si="8"/>
        <v>217.97</v>
      </c>
      <c r="H219" s="37"/>
    </row>
    <row r="220">
      <c r="A220" s="60" t="s">
        <v>596</v>
      </c>
      <c r="B220" s="60" t="s">
        <v>597</v>
      </c>
      <c r="C220" s="34" t="s">
        <v>75</v>
      </c>
      <c r="D220" s="34" t="s">
        <v>1761</v>
      </c>
      <c r="E220" s="68">
        <v>108.98</v>
      </c>
      <c r="F220" s="36"/>
      <c r="G220" s="36">
        <f t="shared" si="8"/>
        <v>108.98</v>
      </c>
      <c r="H220" s="37"/>
    </row>
    <row r="221">
      <c r="A221" s="60" t="s">
        <v>598</v>
      </c>
      <c r="B221" s="60" t="s">
        <v>599</v>
      </c>
      <c r="C221" s="34" t="s">
        <v>75</v>
      </c>
      <c r="D221" s="34" t="s">
        <v>1761</v>
      </c>
      <c r="E221" s="68">
        <v>333.96</v>
      </c>
      <c r="F221" s="36"/>
      <c r="G221" s="36">
        <f t="shared" si="8"/>
        <v>333.96</v>
      </c>
      <c r="H221" s="37"/>
    </row>
    <row r="222">
      <c r="A222" s="60" t="s">
        <v>1940</v>
      </c>
      <c r="B222" s="60" t="s">
        <v>1941</v>
      </c>
      <c r="C222" s="34" t="s">
        <v>75</v>
      </c>
      <c r="D222" s="34" t="s">
        <v>1761</v>
      </c>
      <c r="E222" s="68">
        <v>108.98</v>
      </c>
      <c r="F222" s="36"/>
      <c r="G222" s="36">
        <f t="shared" si="8"/>
        <v>108.98</v>
      </c>
      <c r="H222" s="37"/>
    </row>
    <row r="223">
      <c r="A223" s="60" t="s">
        <v>600</v>
      </c>
      <c r="B223" s="60" t="s">
        <v>601</v>
      </c>
      <c r="C223" s="34" t="s">
        <v>75</v>
      </c>
      <c r="D223" s="34" t="s">
        <v>1761</v>
      </c>
      <c r="E223" s="68">
        <v>217.97</v>
      </c>
      <c r="F223" s="36"/>
      <c r="G223" s="36">
        <f t="shared" si="8"/>
        <v>217.97</v>
      </c>
      <c r="H223" s="37"/>
    </row>
    <row r="224">
      <c r="A224" s="60" t="s">
        <v>602</v>
      </c>
      <c r="B224" s="60" t="s">
        <v>603</v>
      </c>
      <c r="C224" s="34" t="s">
        <v>75</v>
      </c>
      <c r="D224" s="34" t="s">
        <v>1761</v>
      </c>
      <c r="E224" s="68">
        <v>3253.66</v>
      </c>
      <c r="F224" s="36"/>
      <c r="G224" s="36">
        <f t="shared" si="8"/>
        <v>3253.66</v>
      </c>
      <c r="H224" s="37"/>
    </row>
    <row r="225">
      <c r="A225" s="60" t="s">
        <v>604</v>
      </c>
      <c r="B225" s="60" t="s">
        <v>605</v>
      </c>
      <c r="C225" s="34" t="s">
        <v>75</v>
      </c>
      <c r="D225" s="34" t="s">
        <v>1761</v>
      </c>
      <c r="E225" s="68">
        <v>108.98</v>
      </c>
      <c r="F225" s="36"/>
      <c r="G225" s="36">
        <f t="shared" si="8"/>
        <v>108.98</v>
      </c>
      <c r="H225" s="37"/>
    </row>
    <row r="226">
      <c r="A226" s="60" t="s">
        <v>606</v>
      </c>
      <c r="B226" s="60" t="s">
        <v>1942</v>
      </c>
      <c r="C226" s="34" t="s">
        <v>75</v>
      </c>
      <c r="D226" s="34" t="s">
        <v>1761</v>
      </c>
      <c r="E226" s="68">
        <v>3580.49</v>
      </c>
      <c r="F226" s="36"/>
      <c r="G226" s="36">
        <f t="shared" si="8"/>
        <v>3580.49</v>
      </c>
      <c r="H226" s="37"/>
    </row>
    <row r="227">
      <c r="A227" s="60" t="s">
        <v>1943</v>
      </c>
      <c r="B227" s="60" t="s">
        <v>1944</v>
      </c>
      <c r="C227" s="34" t="s">
        <v>75</v>
      </c>
      <c r="D227" s="34" t="s">
        <v>1761</v>
      </c>
      <c r="E227" s="68">
        <v>149.98</v>
      </c>
      <c r="F227" s="36"/>
      <c r="G227" s="36">
        <f t="shared" si="8"/>
        <v>149.98</v>
      </c>
      <c r="H227" s="37"/>
    </row>
    <row r="228">
      <c r="A228" s="60" t="s">
        <v>608</v>
      </c>
      <c r="B228" s="60" t="s">
        <v>609</v>
      </c>
      <c r="C228" s="34" t="s">
        <v>75</v>
      </c>
      <c r="D228" s="34" t="s">
        <v>1761</v>
      </c>
      <c r="E228" s="68">
        <v>217.97</v>
      </c>
      <c r="F228" s="36"/>
      <c r="G228" s="36">
        <f t="shared" si="8"/>
        <v>217.97</v>
      </c>
      <c r="H228" s="37"/>
    </row>
    <row r="229">
      <c r="A229" s="60" t="s">
        <v>610</v>
      </c>
      <c r="B229" s="60" t="s">
        <v>611</v>
      </c>
      <c r="C229" s="34" t="s">
        <v>75</v>
      </c>
      <c r="D229" s="34" t="s">
        <v>1761</v>
      </c>
      <c r="E229" s="68">
        <v>1424.44</v>
      </c>
      <c r="F229" s="36"/>
      <c r="G229" s="36">
        <f t="shared" si="8"/>
        <v>1424.44</v>
      </c>
      <c r="H229" s="37"/>
    </row>
    <row r="230">
      <c r="A230" s="60" t="s">
        <v>612</v>
      </c>
      <c r="B230" s="60" t="s">
        <v>613</v>
      </c>
      <c r="C230" s="34" t="s">
        <v>75</v>
      </c>
      <c r="D230" s="34" t="s">
        <v>1761</v>
      </c>
      <c r="E230" s="68">
        <v>517.5</v>
      </c>
      <c r="F230" s="36"/>
      <c r="G230" s="36">
        <f t="shared" si="8"/>
        <v>517.5</v>
      </c>
      <c r="H230" s="37"/>
    </row>
    <row r="231">
      <c r="A231" s="60" t="s">
        <v>1947</v>
      </c>
      <c r="B231" s="60" t="s">
        <v>1948</v>
      </c>
      <c r="C231" s="34" t="s">
        <v>75</v>
      </c>
      <c r="D231" s="34" t="s">
        <v>1761</v>
      </c>
      <c r="E231" s="68">
        <v>217.97</v>
      </c>
      <c r="F231" s="36"/>
      <c r="G231" s="36">
        <f t="shared" si="8"/>
        <v>217.97</v>
      </c>
      <c r="H231" s="37"/>
    </row>
    <row r="232">
      <c r="A232" s="60" t="s">
        <v>614</v>
      </c>
      <c r="B232" s="60" t="s">
        <v>615</v>
      </c>
      <c r="C232" s="34" t="s">
        <v>75</v>
      </c>
      <c r="D232" s="34" t="s">
        <v>1761</v>
      </c>
      <c r="E232" s="68">
        <v>108.98</v>
      </c>
      <c r="F232" s="36"/>
      <c r="G232" s="36">
        <f t="shared" si="8"/>
        <v>108.98</v>
      </c>
      <c r="H232" s="37"/>
    </row>
    <row r="233">
      <c r="A233" s="60" t="s">
        <v>616</v>
      </c>
      <c r="B233" s="60" t="s">
        <v>617</v>
      </c>
      <c r="C233" s="34" t="s">
        <v>75</v>
      </c>
      <c r="D233" s="34" t="s">
        <v>1761</v>
      </c>
      <c r="E233" s="68">
        <v>108.98</v>
      </c>
      <c r="F233" s="36"/>
      <c r="G233" s="36">
        <f t="shared" si="8"/>
        <v>108.98</v>
      </c>
      <c r="H233" s="37"/>
    </row>
    <row r="234">
      <c r="A234" s="60" t="s">
        <v>618</v>
      </c>
      <c r="B234" s="60" t="s">
        <v>619</v>
      </c>
      <c r="C234" s="34" t="s">
        <v>75</v>
      </c>
      <c r="D234" s="34" t="s">
        <v>1761</v>
      </c>
      <c r="E234" s="68">
        <v>91.98</v>
      </c>
      <c r="F234" s="36"/>
      <c r="G234" s="36">
        <f t="shared" si="8"/>
        <v>91.98</v>
      </c>
      <c r="H234" s="37"/>
    </row>
    <row r="235">
      <c r="A235" s="60" t="s">
        <v>620</v>
      </c>
      <c r="B235" s="60" t="s">
        <v>621</v>
      </c>
      <c r="C235" s="34" t="s">
        <v>75</v>
      </c>
      <c r="D235" s="34" t="s">
        <v>1761</v>
      </c>
      <c r="E235" s="68">
        <v>326.95</v>
      </c>
      <c r="F235" s="36"/>
      <c r="G235" s="36">
        <f t="shared" si="8"/>
        <v>326.95</v>
      </c>
      <c r="H235" s="37"/>
    </row>
    <row r="236">
      <c r="A236" s="60" t="s">
        <v>622</v>
      </c>
      <c r="B236" s="60" t="s">
        <v>623</v>
      </c>
      <c r="C236" s="34" t="s">
        <v>75</v>
      </c>
      <c r="D236" s="34" t="s">
        <v>1761</v>
      </c>
      <c r="E236" s="68">
        <v>217.97</v>
      </c>
      <c r="F236" s="36"/>
      <c r="G236" s="36">
        <f t="shared" si="8"/>
        <v>217.97</v>
      </c>
      <c r="H236" s="37"/>
    </row>
    <row r="237">
      <c r="A237" s="60" t="s">
        <v>624</v>
      </c>
      <c r="B237" s="60" t="s">
        <v>625</v>
      </c>
      <c r="C237" s="34" t="s">
        <v>75</v>
      </c>
      <c r="D237" s="34" t="s">
        <v>1761</v>
      </c>
      <c r="E237" s="68">
        <v>1125.06</v>
      </c>
      <c r="F237" s="36"/>
      <c r="G237" s="36">
        <f t="shared" si="8"/>
        <v>1125.06</v>
      </c>
      <c r="H237" s="37"/>
    </row>
    <row r="238">
      <c r="A238" s="60" t="s">
        <v>626</v>
      </c>
      <c r="B238" s="60" t="s">
        <v>627</v>
      </c>
      <c r="C238" s="34" t="s">
        <v>75</v>
      </c>
      <c r="D238" s="34" t="s">
        <v>1761</v>
      </c>
      <c r="E238" s="68">
        <v>84.98</v>
      </c>
      <c r="F238" s="36"/>
      <c r="G238" s="36">
        <f t="shared" si="8"/>
        <v>84.98</v>
      </c>
      <c r="H238" s="37"/>
    </row>
    <row r="239">
      <c r="A239" s="60" t="s">
        <v>628</v>
      </c>
      <c r="B239" s="60" t="s">
        <v>629</v>
      </c>
      <c r="C239" s="34" t="s">
        <v>75</v>
      </c>
      <c r="D239" s="34" t="s">
        <v>1761</v>
      </c>
      <c r="E239" s="68">
        <v>108.98</v>
      </c>
      <c r="F239" s="36"/>
      <c r="G239" s="36">
        <f t="shared" si="8"/>
        <v>108.98</v>
      </c>
      <c r="H239" s="37"/>
    </row>
    <row r="240">
      <c r="A240" s="60" t="s">
        <v>630</v>
      </c>
      <c r="B240" s="60" t="s">
        <v>631</v>
      </c>
      <c r="C240" s="34" t="s">
        <v>75</v>
      </c>
      <c r="D240" s="34" t="s">
        <v>1761</v>
      </c>
      <c r="E240" s="68">
        <v>2840.91</v>
      </c>
      <c r="F240" s="36"/>
      <c r="G240" s="36">
        <f t="shared" si="8"/>
        <v>2840.91</v>
      </c>
      <c r="H240" s="37"/>
    </row>
    <row r="241">
      <c r="A241" s="60" t="s">
        <v>632</v>
      </c>
      <c r="B241" s="60" t="s">
        <v>633</v>
      </c>
      <c r="C241" s="34" t="s">
        <v>75</v>
      </c>
      <c r="D241" s="34" t="s">
        <v>1761</v>
      </c>
      <c r="E241" s="68">
        <v>2923.9</v>
      </c>
      <c r="F241" s="36"/>
      <c r="G241" s="36">
        <f t="shared" si="8"/>
        <v>2923.9</v>
      </c>
      <c r="H241" s="37"/>
    </row>
    <row r="242">
      <c r="A242" s="60" t="s">
        <v>634</v>
      </c>
      <c r="B242" s="60" t="s">
        <v>635</v>
      </c>
      <c r="C242" s="34" t="s">
        <v>75</v>
      </c>
      <c r="D242" s="34" t="s">
        <v>1761</v>
      </c>
      <c r="E242" s="68">
        <v>200.98</v>
      </c>
      <c r="F242" s="36"/>
      <c r="G242" s="36">
        <f t="shared" si="8"/>
        <v>200.98</v>
      </c>
      <c r="H242" s="37"/>
    </row>
    <row r="243">
      <c r="A243" s="60" t="s">
        <v>636</v>
      </c>
      <c r="B243" s="60" t="s">
        <v>637</v>
      </c>
      <c r="C243" s="34" t="s">
        <v>75</v>
      </c>
      <c r="D243" s="34" t="s">
        <v>1761</v>
      </c>
      <c r="E243" s="68">
        <v>511.02</v>
      </c>
      <c r="F243" s="36"/>
      <c r="G243" s="36">
        <f t="shared" si="8"/>
        <v>511.02</v>
      </c>
      <c r="H243" s="37"/>
    </row>
    <row r="244">
      <c r="A244" s="60" t="s">
        <v>638</v>
      </c>
      <c r="B244" s="60" t="s">
        <v>639</v>
      </c>
      <c r="C244" s="34" t="s">
        <v>75</v>
      </c>
      <c r="D244" s="34" t="s">
        <v>1761</v>
      </c>
      <c r="E244" s="68">
        <v>2725.78</v>
      </c>
      <c r="F244" s="36"/>
      <c r="G244" s="36">
        <f t="shared" si="8"/>
        <v>2725.78</v>
      </c>
      <c r="H244" s="37"/>
    </row>
    <row r="245">
      <c r="A245" s="60" t="s">
        <v>2051</v>
      </c>
      <c r="B245" s="60" t="s">
        <v>2052</v>
      </c>
      <c r="C245" s="34" t="s">
        <v>75</v>
      </c>
      <c r="D245" s="34" t="s">
        <v>1761</v>
      </c>
      <c r="E245" s="68">
        <v>125.97</v>
      </c>
      <c r="F245" s="36"/>
      <c r="G245" s="36">
        <f t="shared" si="8"/>
        <v>125.97</v>
      </c>
      <c r="H245" s="37"/>
    </row>
    <row r="246">
      <c r="A246" s="60" t="s">
        <v>640</v>
      </c>
      <c r="B246" s="60" t="s">
        <v>641</v>
      </c>
      <c r="C246" s="34" t="s">
        <v>75</v>
      </c>
      <c r="D246" s="34" t="s">
        <v>1761</v>
      </c>
      <c r="E246" s="68">
        <v>0.01</v>
      </c>
      <c r="F246" s="36"/>
      <c r="G246" s="36">
        <f t="shared" si="8"/>
        <v>0.01</v>
      </c>
      <c r="H246" s="37"/>
    </row>
    <row r="247">
      <c r="A247" s="60" t="s">
        <v>644</v>
      </c>
      <c r="B247" s="60" t="s">
        <v>645</v>
      </c>
      <c r="C247" s="34" t="s">
        <v>75</v>
      </c>
      <c r="D247" s="34" t="s">
        <v>1761</v>
      </c>
      <c r="E247" s="68">
        <v>2730.22</v>
      </c>
      <c r="F247" s="36"/>
      <c r="G247" s="36">
        <f t="shared" si="8"/>
        <v>2730.22</v>
      </c>
      <c r="H247" s="37"/>
    </row>
    <row r="248">
      <c r="A248" s="60" t="s">
        <v>646</v>
      </c>
      <c r="B248" s="60" t="s">
        <v>647</v>
      </c>
      <c r="C248" s="34" t="s">
        <v>75</v>
      </c>
      <c r="D248" s="34" t="s">
        <v>1761</v>
      </c>
      <c r="E248" s="68">
        <v>200.98</v>
      </c>
      <c r="F248" s="36"/>
      <c r="G248" s="36">
        <f t="shared" si="8"/>
        <v>200.98</v>
      </c>
      <c r="H248" s="37"/>
    </row>
    <row r="249">
      <c r="A249" s="60" t="s">
        <v>650</v>
      </c>
      <c r="B249" s="60" t="s">
        <v>651</v>
      </c>
      <c r="C249" s="34" t="s">
        <v>75</v>
      </c>
      <c r="D249" s="34" t="s">
        <v>1761</v>
      </c>
      <c r="E249" s="68">
        <v>527.93</v>
      </c>
      <c r="F249" s="36"/>
      <c r="G249" s="36">
        <f t="shared" si="8"/>
        <v>527.93</v>
      </c>
      <c r="H249" s="37"/>
    </row>
    <row r="250">
      <c r="A250" s="60" t="s">
        <v>652</v>
      </c>
      <c r="B250" s="60" t="s">
        <v>653</v>
      </c>
      <c r="C250" s="34" t="s">
        <v>75</v>
      </c>
      <c r="D250" s="34" t="s">
        <v>1761</v>
      </c>
      <c r="E250" s="68">
        <v>217.97</v>
      </c>
      <c r="F250" s="36"/>
      <c r="G250" s="36">
        <f t="shared" si="8"/>
        <v>217.97</v>
      </c>
      <c r="H250" s="37"/>
    </row>
    <row r="251">
      <c r="A251" s="60" t="s">
        <v>654</v>
      </c>
      <c r="B251" s="60" t="s">
        <v>655</v>
      </c>
      <c r="C251" s="34" t="s">
        <v>75</v>
      </c>
      <c r="D251" s="34" t="s">
        <v>1761</v>
      </c>
      <c r="E251" s="68">
        <v>217.97</v>
      </c>
      <c r="F251" s="36"/>
      <c r="G251" s="36">
        <f t="shared" si="8"/>
        <v>217.97</v>
      </c>
      <c r="H251" s="37"/>
    </row>
    <row r="252">
      <c r="A252" s="60" t="s">
        <v>656</v>
      </c>
      <c r="B252" s="60" t="s">
        <v>657</v>
      </c>
      <c r="C252" s="34" t="s">
        <v>75</v>
      </c>
      <c r="D252" s="34" t="s">
        <v>1761</v>
      </c>
      <c r="E252" s="68">
        <v>108.98</v>
      </c>
      <c r="F252" s="36"/>
      <c r="G252" s="36">
        <f t="shared" si="8"/>
        <v>108.98</v>
      </c>
      <c r="H252" s="37"/>
    </row>
    <row r="253">
      <c r="A253" s="60" t="s">
        <v>2275</v>
      </c>
      <c r="B253" s="60" t="s">
        <v>2276</v>
      </c>
      <c r="C253" s="34" t="s">
        <v>75</v>
      </c>
      <c r="D253" s="34" t="s">
        <v>1761</v>
      </c>
      <c r="E253" s="68">
        <v>2760.0</v>
      </c>
      <c r="F253" s="36"/>
      <c r="G253" s="36">
        <f t="shared" si="8"/>
        <v>2760</v>
      </c>
      <c r="H253" s="37"/>
    </row>
    <row r="254">
      <c r="A254" s="60" t="s">
        <v>658</v>
      </c>
      <c r="B254" s="60" t="s">
        <v>659</v>
      </c>
      <c r="C254" s="34" t="s">
        <v>75</v>
      </c>
      <c r="D254" s="34" t="s">
        <v>1761</v>
      </c>
      <c r="E254" s="68">
        <v>125.97</v>
      </c>
      <c r="F254" s="36"/>
      <c r="G254" s="36">
        <f t="shared" si="8"/>
        <v>125.97</v>
      </c>
      <c r="H254" s="37"/>
    </row>
    <row r="255">
      <c r="A255" s="60" t="s">
        <v>1427</v>
      </c>
      <c r="B255" s="60" t="s">
        <v>1428</v>
      </c>
      <c r="C255" s="34" t="s">
        <v>75</v>
      </c>
      <c r="D255" s="34" t="s">
        <v>1761</v>
      </c>
      <c r="E255" s="68">
        <v>2386.89</v>
      </c>
      <c r="F255" s="36"/>
      <c r="G255" s="36">
        <f t="shared" si="8"/>
        <v>2386.89</v>
      </c>
      <c r="H255" s="37"/>
    </row>
    <row r="256">
      <c r="A256" s="60" t="s">
        <v>660</v>
      </c>
      <c r="B256" s="60" t="s">
        <v>661</v>
      </c>
      <c r="C256" s="34" t="s">
        <v>75</v>
      </c>
      <c r="D256" s="34" t="s">
        <v>1761</v>
      </c>
      <c r="E256" s="68">
        <v>964.6</v>
      </c>
      <c r="F256" s="36"/>
      <c r="G256" s="36">
        <f t="shared" si="8"/>
        <v>964.6</v>
      </c>
      <c r="H256" s="37"/>
    </row>
    <row r="257">
      <c r="A257" s="60" t="s">
        <v>2277</v>
      </c>
      <c r="B257" s="60" t="s">
        <v>2278</v>
      </c>
      <c r="C257" s="34" t="s">
        <v>75</v>
      </c>
      <c r="D257" s="34" t="s">
        <v>1761</v>
      </c>
      <c r="E257" s="68">
        <v>460.0</v>
      </c>
      <c r="F257" s="36"/>
      <c r="G257" s="36">
        <f t="shared" si="8"/>
        <v>460</v>
      </c>
      <c r="H257" s="37"/>
    </row>
    <row r="258">
      <c r="A258" s="60" t="s">
        <v>662</v>
      </c>
      <c r="B258" s="60" t="s">
        <v>663</v>
      </c>
      <c r="C258" s="34" t="s">
        <v>75</v>
      </c>
      <c r="D258" s="34" t="s">
        <v>1761</v>
      </c>
      <c r="E258" s="68">
        <v>108.98</v>
      </c>
      <c r="F258" s="36"/>
      <c r="G258" s="36">
        <f t="shared" si="8"/>
        <v>108.98</v>
      </c>
      <c r="H258" s="37"/>
    </row>
    <row r="259">
      <c r="A259" s="60" t="s">
        <v>2279</v>
      </c>
      <c r="B259" s="60" t="s">
        <v>2280</v>
      </c>
      <c r="C259" s="34" t="s">
        <v>75</v>
      </c>
      <c r="D259" s="34" t="s">
        <v>1761</v>
      </c>
      <c r="E259" s="68">
        <v>2415.0</v>
      </c>
      <c r="F259" s="36"/>
      <c r="G259" s="36">
        <f t="shared" si="8"/>
        <v>2415</v>
      </c>
      <c r="H259" s="37"/>
    </row>
    <row r="260">
      <c r="A260" s="60" t="s">
        <v>664</v>
      </c>
      <c r="B260" s="60" t="s">
        <v>665</v>
      </c>
      <c r="C260" s="34" t="s">
        <v>75</v>
      </c>
      <c r="D260" s="34" t="s">
        <v>1761</v>
      </c>
      <c r="E260" s="68">
        <v>67.99</v>
      </c>
      <c r="F260" s="36"/>
      <c r="G260" s="36">
        <f t="shared" si="8"/>
        <v>67.99</v>
      </c>
      <c r="H260" s="37"/>
    </row>
    <row r="261">
      <c r="A261" s="60" t="s">
        <v>666</v>
      </c>
      <c r="B261" s="60" t="s">
        <v>667</v>
      </c>
      <c r="C261" s="34" t="s">
        <v>75</v>
      </c>
      <c r="D261" s="34" t="s">
        <v>1761</v>
      </c>
      <c r="E261" s="68">
        <v>192.86</v>
      </c>
      <c r="F261" s="36"/>
      <c r="G261" s="36">
        <f t="shared" si="8"/>
        <v>192.86</v>
      </c>
      <c r="H261" s="37"/>
    </row>
    <row r="262">
      <c r="A262" s="60" t="s">
        <v>668</v>
      </c>
      <c r="B262" s="60" t="s">
        <v>2281</v>
      </c>
      <c r="C262" s="34" t="s">
        <v>75</v>
      </c>
      <c r="D262" s="34" t="s">
        <v>1761</v>
      </c>
      <c r="E262" s="68">
        <v>199.88</v>
      </c>
      <c r="F262" s="36"/>
      <c r="G262" s="36">
        <f t="shared" si="8"/>
        <v>199.88</v>
      </c>
      <c r="H262" s="37"/>
    </row>
    <row r="263">
      <c r="A263" s="60" t="s">
        <v>2282</v>
      </c>
      <c r="B263" s="60" t="s">
        <v>2283</v>
      </c>
      <c r="C263" s="34" t="s">
        <v>75</v>
      </c>
      <c r="D263" s="34" t="s">
        <v>1761</v>
      </c>
      <c r="E263" s="68">
        <v>234.97</v>
      </c>
      <c r="F263" s="36"/>
      <c r="G263" s="36">
        <f t="shared" si="8"/>
        <v>234.97</v>
      </c>
      <c r="H263" s="37"/>
    </row>
    <row r="264">
      <c r="A264" s="60" t="s">
        <v>672</v>
      </c>
      <c r="B264" s="60" t="s">
        <v>673</v>
      </c>
      <c r="C264" s="34" t="s">
        <v>75</v>
      </c>
      <c r="D264" s="34" t="s">
        <v>1761</v>
      </c>
      <c r="E264" s="68">
        <v>482.3</v>
      </c>
      <c r="F264" s="36"/>
      <c r="G264" s="36">
        <f t="shared" si="8"/>
        <v>482.3</v>
      </c>
      <c r="H264" s="37"/>
    </row>
    <row r="265">
      <c r="A265" s="60" t="s">
        <v>2168</v>
      </c>
      <c r="B265" s="60" t="s">
        <v>2169</v>
      </c>
      <c r="C265" s="34" t="s">
        <v>84</v>
      </c>
      <c r="D265" s="34" t="s">
        <v>58</v>
      </c>
      <c r="E265" s="68">
        <v>732.0</v>
      </c>
      <c r="F265" s="36"/>
      <c r="G265" s="36">
        <f t="shared" si="8"/>
        <v>732</v>
      </c>
      <c r="H265" s="37"/>
    </row>
    <row r="266">
      <c r="A266" s="60" t="s">
        <v>698</v>
      </c>
      <c r="B266" s="60" t="s">
        <v>699</v>
      </c>
      <c r="C266" s="34" t="s">
        <v>84</v>
      </c>
      <c r="D266" s="34" t="s">
        <v>58</v>
      </c>
      <c r="E266" s="68">
        <v>222.0</v>
      </c>
      <c r="F266" s="36"/>
      <c r="G266" s="36">
        <f t="shared" si="8"/>
        <v>222</v>
      </c>
      <c r="H266" s="37"/>
    </row>
    <row r="267">
      <c r="A267" s="60" t="s">
        <v>1953</v>
      </c>
      <c r="B267" s="60" t="s">
        <v>1954</v>
      </c>
      <c r="C267" s="34" t="s">
        <v>84</v>
      </c>
      <c r="D267" s="34" t="s">
        <v>58</v>
      </c>
      <c r="E267" s="68">
        <v>290.02</v>
      </c>
      <c r="F267" s="36"/>
      <c r="G267" s="36">
        <f t="shared" si="8"/>
        <v>290.02</v>
      </c>
      <c r="H267" s="37"/>
    </row>
    <row r="268">
      <c r="A268" s="60" t="s">
        <v>704</v>
      </c>
      <c r="B268" s="60" t="s">
        <v>705</v>
      </c>
      <c r="C268" s="34" t="s">
        <v>84</v>
      </c>
      <c r="D268" s="34" t="s">
        <v>58</v>
      </c>
      <c r="E268" s="68">
        <v>630.0</v>
      </c>
      <c r="F268" s="36"/>
      <c r="G268" s="36">
        <f t="shared" si="8"/>
        <v>630</v>
      </c>
      <c r="H268" s="37"/>
    </row>
    <row r="269">
      <c r="A269" s="60" t="s">
        <v>2172</v>
      </c>
      <c r="B269" s="60" t="s">
        <v>2173</v>
      </c>
      <c r="C269" s="34" t="s">
        <v>84</v>
      </c>
      <c r="D269" s="34" t="s">
        <v>58</v>
      </c>
      <c r="E269" s="68">
        <v>664.0</v>
      </c>
      <c r="F269" s="36"/>
      <c r="G269" s="36">
        <f t="shared" si="8"/>
        <v>664</v>
      </c>
      <c r="H269" s="37"/>
    </row>
    <row r="270">
      <c r="A270" s="60" t="s">
        <v>1435</v>
      </c>
      <c r="B270" s="60" t="s">
        <v>1436</v>
      </c>
      <c r="C270" s="34" t="s">
        <v>84</v>
      </c>
      <c r="D270" s="34" t="s">
        <v>58</v>
      </c>
      <c r="E270" s="68">
        <v>1259.0</v>
      </c>
      <c r="F270" s="36"/>
      <c r="G270" s="36">
        <f t="shared" si="8"/>
        <v>1259</v>
      </c>
      <c r="H270" s="37"/>
    </row>
    <row r="271">
      <c r="A271" s="60" t="s">
        <v>2284</v>
      </c>
      <c r="B271" s="60" t="s">
        <v>2285</v>
      </c>
      <c r="C271" s="34" t="s">
        <v>84</v>
      </c>
      <c r="D271" s="34" t="s">
        <v>58</v>
      </c>
      <c r="E271" s="68">
        <v>607.0</v>
      </c>
      <c r="F271" s="36"/>
      <c r="G271" s="36">
        <f t="shared" si="8"/>
        <v>607</v>
      </c>
      <c r="H271" s="37"/>
    </row>
    <row r="272">
      <c r="A272" s="60" t="s">
        <v>708</v>
      </c>
      <c r="B272" s="60" t="s">
        <v>2286</v>
      </c>
      <c r="C272" s="34" t="s">
        <v>84</v>
      </c>
      <c r="D272" s="34" t="s">
        <v>58</v>
      </c>
      <c r="E272" s="68">
        <v>822.0</v>
      </c>
      <c r="F272" s="36"/>
      <c r="G272" s="36">
        <f t="shared" si="8"/>
        <v>822</v>
      </c>
      <c r="H272" s="37"/>
    </row>
    <row r="273">
      <c r="A273" s="60" t="s">
        <v>2176</v>
      </c>
      <c r="B273" s="60" t="s">
        <v>2177</v>
      </c>
      <c r="C273" s="34" t="s">
        <v>84</v>
      </c>
      <c r="D273" s="34" t="s">
        <v>58</v>
      </c>
      <c r="E273" s="68">
        <v>633.0</v>
      </c>
      <c r="F273" s="36"/>
      <c r="G273" s="36">
        <f t="shared" si="8"/>
        <v>633</v>
      </c>
      <c r="H273" s="37"/>
    </row>
    <row r="274">
      <c r="A274" s="60" t="s">
        <v>722</v>
      </c>
      <c r="B274" s="60" t="s">
        <v>723</v>
      </c>
      <c r="C274" s="34" t="s">
        <v>85</v>
      </c>
      <c r="D274" s="34" t="s">
        <v>51</v>
      </c>
      <c r="E274" s="68">
        <v>664.38</v>
      </c>
      <c r="F274" s="36"/>
      <c r="G274" s="36">
        <f t="shared" si="8"/>
        <v>664.38</v>
      </c>
      <c r="H274" s="37"/>
    </row>
    <row r="275">
      <c r="A275" s="60" t="s">
        <v>2287</v>
      </c>
      <c r="B275" s="60" t="s">
        <v>2288</v>
      </c>
      <c r="C275" s="34" t="s">
        <v>85</v>
      </c>
      <c r="D275" s="34" t="s">
        <v>51</v>
      </c>
      <c r="E275" s="68">
        <v>330.0</v>
      </c>
      <c r="F275" s="36"/>
      <c r="G275" s="36">
        <f t="shared" si="8"/>
        <v>330</v>
      </c>
      <c r="H275" s="37"/>
    </row>
    <row r="276">
      <c r="A276" s="60" t="s">
        <v>724</v>
      </c>
      <c r="B276" s="60" t="s">
        <v>725</v>
      </c>
      <c r="C276" s="34" t="s">
        <v>85</v>
      </c>
      <c r="D276" s="34" t="s">
        <v>51</v>
      </c>
      <c r="E276" s="68">
        <v>309.95</v>
      </c>
      <c r="F276" s="36"/>
      <c r="G276" s="36">
        <f t="shared" si="8"/>
        <v>309.95</v>
      </c>
      <c r="H276" s="37"/>
    </row>
    <row r="277">
      <c r="A277" s="60" t="s">
        <v>728</v>
      </c>
      <c r="B277" s="60" t="s">
        <v>729</v>
      </c>
      <c r="C277" s="34" t="s">
        <v>85</v>
      </c>
      <c r="D277" s="34" t="s">
        <v>51</v>
      </c>
      <c r="E277" s="68">
        <v>183.02</v>
      </c>
      <c r="F277" s="36"/>
      <c r="G277" s="36">
        <f t="shared" si="8"/>
        <v>183.02</v>
      </c>
      <c r="H277" s="37"/>
    </row>
    <row r="278">
      <c r="A278" s="60" t="s">
        <v>730</v>
      </c>
      <c r="B278" s="60" t="s">
        <v>731</v>
      </c>
      <c r="C278" s="34" t="s">
        <v>85</v>
      </c>
      <c r="D278" s="34" t="s">
        <v>51</v>
      </c>
      <c r="E278" s="68">
        <v>101.98</v>
      </c>
      <c r="F278" s="36"/>
      <c r="G278" s="36">
        <f t="shared" si="8"/>
        <v>101.98</v>
      </c>
      <c r="H278" s="37"/>
    </row>
    <row r="279">
      <c r="A279" s="60" t="s">
        <v>734</v>
      </c>
      <c r="B279" s="60" t="s">
        <v>735</v>
      </c>
      <c r="C279" s="34" t="s">
        <v>85</v>
      </c>
      <c r="D279" s="34" t="s">
        <v>51</v>
      </c>
      <c r="E279" s="68">
        <v>125.98</v>
      </c>
      <c r="F279" s="36"/>
      <c r="G279" s="36">
        <f t="shared" si="8"/>
        <v>125.98</v>
      </c>
      <c r="H279" s="37"/>
    </row>
    <row r="280">
      <c r="A280" s="60" t="s">
        <v>736</v>
      </c>
      <c r="B280" s="60" t="s">
        <v>737</v>
      </c>
      <c r="C280" s="34" t="s">
        <v>85</v>
      </c>
      <c r="D280" s="34" t="s">
        <v>51</v>
      </c>
      <c r="E280" s="68">
        <v>735.85</v>
      </c>
      <c r="F280" s="36"/>
      <c r="G280" s="36">
        <f t="shared" si="8"/>
        <v>735.85</v>
      </c>
      <c r="H280" s="37"/>
    </row>
    <row r="281">
      <c r="A281" s="60" t="s">
        <v>738</v>
      </c>
      <c r="B281" s="60" t="s">
        <v>739</v>
      </c>
      <c r="C281" s="34" t="s">
        <v>85</v>
      </c>
      <c r="D281" s="34" t="s">
        <v>51</v>
      </c>
      <c r="E281" s="68">
        <v>91.98</v>
      </c>
      <c r="F281" s="36"/>
      <c r="G281" s="36">
        <f t="shared" si="8"/>
        <v>91.98</v>
      </c>
      <c r="H281" s="37"/>
    </row>
    <row r="282">
      <c r="A282" s="60" t="s">
        <v>1957</v>
      </c>
      <c r="B282" s="60" t="s">
        <v>1958</v>
      </c>
      <c r="C282" s="34" t="s">
        <v>85</v>
      </c>
      <c r="D282" s="34" t="s">
        <v>51</v>
      </c>
      <c r="E282" s="68">
        <v>234.0</v>
      </c>
      <c r="F282" s="36"/>
      <c r="G282" s="36">
        <f t="shared" si="8"/>
        <v>234</v>
      </c>
      <c r="H282" s="37"/>
    </row>
    <row r="283">
      <c r="A283" s="60" t="s">
        <v>740</v>
      </c>
      <c r="B283" s="60" t="s">
        <v>741</v>
      </c>
      <c r="C283" s="34" t="s">
        <v>85</v>
      </c>
      <c r="D283" s="34" t="s">
        <v>51</v>
      </c>
      <c r="E283" s="68">
        <v>532.01</v>
      </c>
      <c r="F283" s="36"/>
      <c r="G283" s="36">
        <f t="shared" si="8"/>
        <v>532.01</v>
      </c>
      <c r="H283" s="37"/>
    </row>
    <row r="284">
      <c r="A284" s="60" t="s">
        <v>744</v>
      </c>
      <c r="B284" s="60" t="s">
        <v>745</v>
      </c>
      <c r="C284" s="34" t="s">
        <v>85</v>
      </c>
      <c r="D284" s="34" t="s">
        <v>51</v>
      </c>
      <c r="E284" s="68">
        <v>385.03</v>
      </c>
      <c r="F284" s="36"/>
      <c r="G284" s="36">
        <f t="shared" si="8"/>
        <v>385.03</v>
      </c>
      <c r="H284" s="37"/>
    </row>
    <row r="285">
      <c r="A285" s="60" t="s">
        <v>2178</v>
      </c>
      <c r="B285" s="60" t="s">
        <v>2179</v>
      </c>
      <c r="C285" s="34" t="s">
        <v>85</v>
      </c>
      <c r="D285" s="34" t="s">
        <v>51</v>
      </c>
      <c r="E285" s="68">
        <v>368.03</v>
      </c>
      <c r="F285" s="36"/>
      <c r="G285" s="36">
        <f t="shared" si="8"/>
        <v>368.03</v>
      </c>
      <c r="H285" s="37"/>
    </row>
    <row r="286">
      <c r="A286" s="60" t="s">
        <v>796</v>
      </c>
      <c r="B286" s="60" t="s">
        <v>797</v>
      </c>
      <c r="C286" s="34" t="s">
        <v>77</v>
      </c>
      <c r="D286" s="34" t="s">
        <v>47</v>
      </c>
      <c r="E286" s="68">
        <v>35710.33</v>
      </c>
      <c r="F286" s="36"/>
      <c r="G286" s="36">
        <f t="shared" si="8"/>
        <v>35710.33</v>
      </c>
      <c r="H286" s="37"/>
    </row>
    <row r="287">
      <c r="A287" s="60" t="s">
        <v>798</v>
      </c>
      <c r="B287" s="60" t="s">
        <v>799</v>
      </c>
      <c r="C287" s="34" t="s">
        <v>77</v>
      </c>
      <c r="D287" s="34" t="s">
        <v>47</v>
      </c>
      <c r="E287" s="68">
        <v>26883.94</v>
      </c>
      <c r="F287" s="36"/>
      <c r="G287" s="36">
        <f t="shared" si="8"/>
        <v>26883.94</v>
      </c>
      <c r="H287" s="37"/>
    </row>
    <row r="288">
      <c r="A288" s="60" t="s">
        <v>800</v>
      </c>
      <c r="B288" s="60" t="s">
        <v>801</v>
      </c>
      <c r="C288" s="34" t="s">
        <v>77</v>
      </c>
      <c r="D288" s="34" t="s">
        <v>47</v>
      </c>
      <c r="E288" s="68">
        <v>6840.67</v>
      </c>
      <c r="F288" s="36"/>
      <c r="G288" s="36">
        <f t="shared" si="8"/>
        <v>6840.67</v>
      </c>
      <c r="H288" s="37"/>
    </row>
    <row r="289">
      <c r="A289" s="60" t="s">
        <v>802</v>
      </c>
      <c r="B289" s="60" t="s">
        <v>803</v>
      </c>
      <c r="C289" s="34" t="s">
        <v>77</v>
      </c>
      <c r="D289" s="34" t="s">
        <v>47</v>
      </c>
      <c r="E289" s="68">
        <v>28930.0</v>
      </c>
      <c r="F289" s="36"/>
      <c r="G289" s="36">
        <f t="shared" si="8"/>
        <v>28930</v>
      </c>
      <c r="H289" s="37"/>
    </row>
    <row r="290">
      <c r="A290" s="60" t="s">
        <v>804</v>
      </c>
      <c r="B290" s="60" t="s">
        <v>805</v>
      </c>
      <c r="C290" s="34" t="s">
        <v>77</v>
      </c>
      <c r="D290" s="34" t="s">
        <v>47</v>
      </c>
      <c r="E290" s="68">
        <v>6805.32</v>
      </c>
      <c r="F290" s="36"/>
      <c r="G290" s="36">
        <f t="shared" si="8"/>
        <v>6805.32</v>
      </c>
      <c r="H290" s="37"/>
    </row>
    <row r="291">
      <c r="A291" s="60" t="s">
        <v>806</v>
      </c>
      <c r="B291" s="60" t="s">
        <v>807</v>
      </c>
      <c r="C291" s="34" t="s">
        <v>77</v>
      </c>
      <c r="D291" s="34" t="s">
        <v>47</v>
      </c>
      <c r="E291" s="68">
        <v>4185.0</v>
      </c>
      <c r="F291" s="36"/>
      <c r="G291" s="36">
        <f t="shared" si="8"/>
        <v>4185</v>
      </c>
      <c r="H291" s="37"/>
    </row>
    <row r="292">
      <c r="A292" s="60" t="s">
        <v>808</v>
      </c>
      <c r="B292" s="60" t="s">
        <v>809</v>
      </c>
      <c r="C292" s="34" t="s">
        <v>77</v>
      </c>
      <c r="D292" s="34" t="s">
        <v>47</v>
      </c>
      <c r="E292" s="68">
        <v>25391.0</v>
      </c>
      <c r="F292" s="36"/>
      <c r="G292" s="36">
        <f t="shared" si="8"/>
        <v>25391</v>
      </c>
      <c r="H292" s="37"/>
    </row>
    <row r="293">
      <c r="A293" s="60" t="s">
        <v>810</v>
      </c>
      <c r="B293" s="60" t="s">
        <v>811</v>
      </c>
      <c r="C293" s="34" t="s">
        <v>77</v>
      </c>
      <c r="D293" s="34" t="s">
        <v>47</v>
      </c>
      <c r="E293" s="68">
        <v>7386.9</v>
      </c>
      <c r="F293" s="36"/>
      <c r="G293" s="36">
        <f t="shared" si="8"/>
        <v>7386.9</v>
      </c>
      <c r="H293" s="37"/>
    </row>
    <row r="294">
      <c r="A294" s="60" t="s">
        <v>812</v>
      </c>
      <c r="B294" s="60" t="s">
        <v>813</v>
      </c>
      <c r="C294" s="34" t="s">
        <v>77</v>
      </c>
      <c r="D294" s="34" t="s">
        <v>47</v>
      </c>
      <c r="E294" s="68">
        <v>8188.01</v>
      </c>
      <c r="F294" s="36"/>
      <c r="G294" s="36">
        <f t="shared" si="8"/>
        <v>8188.01</v>
      </c>
      <c r="H294" s="37"/>
    </row>
    <row r="295">
      <c r="A295" s="60" t="s">
        <v>814</v>
      </c>
      <c r="B295" s="60" t="s">
        <v>815</v>
      </c>
      <c r="C295" s="34" t="s">
        <v>77</v>
      </c>
      <c r="D295" s="34" t="s">
        <v>47</v>
      </c>
      <c r="E295" s="68">
        <v>3806.0</v>
      </c>
      <c r="F295" s="36"/>
      <c r="G295" s="36">
        <f t="shared" si="8"/>
        <v>3806</v>
      </c>
      <c r="H295" s="37"/>
    </row>
    <row r="296">
      <c r="A296" s="60" t="s">
        <v>818</v>
      </c>
      <c r="B296" s="60" t="s">
        <v>819</v>
      </c>
      <c r="C296" s="34" t="s">
        <v>77</v>
      </c>
      <c r="D296" s="34" t="s">
        <v>47</v>
      </c>
      <c r="E296" s="68">
        <v>132495.94</v>
      </c>
      <c r="F296" s="36"/>
      <c r="G296" s="36">
        <f t="shared" si="8"/>
        <v>132495.94</v>
      </c>
      <c r="H296" s="37"/>
    </row>
    <row r="297">
      <c r="A297" s="60" t="s">
        <v>822</v>
      </c>
      <c r="B297" s="60" t="s">
        <v>823</v>
      </c>
      <c r="C297" s="34" t="s">
        <v>77</v>
      </c>
      <c r="D297" s="34" t="s">
        <v>47</v>
      </c>
      <c r="E297" s="68">
        <v>540.0</v>
      </c>
      <c r="F297" s="36"/>
      <c r="G297" s="36">
        <f t="shared" si="8"/>
        <v>540</v>
      </c>
      <c r="H297" s="37"/>
    </row>
    <row r="298">
      <c r="A298" s="60" t="s">
        <v>824</v>
      </c>
      <c r="B298" s="60" t="s">
        <v>825</v>
      </c>
      <c r="C298" s="34" t="s">
        <v>77</v>
      </c>
      <c r="D298" s="34" t="s">
        <v>47</v>
      </c>
      <c r="E298" s="68">
        <v>117.04</v>
      </c>
      <c r="F298" s="36"/>
      <c r="G298" s="36">
        <f t="shared" si="8"/>
        <v>117.04</v>
      </c>
      <c r="H298" s="37"/>
    </row>
    <row r="299">
      <c r="A299" s="60" t="s">
        <v>826</v>
      </c>
      <c r="B299" s="60" t="s">
        <v>827</v>
      </c>
      <c r="C299" s="34" t="s">
        <v>77</v>
      </c>
      <c r="D299" s="34" t="s">
        <v>47</v>
      </c>
      <c r="E299" s="68">
        <v>21000.0</v>
      </c>
      <c r="F299" s="36"/>
      <c r="G299" s="36">
        <f t="shared" si="8"/>
        <v>21000</v>
      </c>
      <c r="H299" s="37"/>
    </row>
    <row r="300">
      <c r="A300" s="60" t="s">
        <v>828</v>
      </c>
      <c r="B300" s="60" t="s">
        <v>829</v>
      </c>
      <c r="C300" s="34" t="s">
        <v>77</v>
      </c>
      <c r="D300" s="34" t="s">
        <v>47</v>
      </c>
      <c r="E300" s="68">
        <v>4311.79</v>
      </c>
      <c r="F300" s="36"/>
      <c r="G300" s="36">
        <f t="shared" si="8"/>
        <v>4311.79</v>
      </c>
      <c r="H300" s="37"/>
    </row>
    <row r="301">
      <c r="A301" s="60" t="s">
        <v>830</v>
      </c>
      <c r="B301" s="60" t="s">
        <v>831</v>
      </c>
      <c r="C301" s="34" t="s">
        <v>77</v>
      </c>
      <c r="D301" s="34" t="s">
        <v>47</v>
      </c>
      <c r="E301" s="68">
        <v>4152.0</v>
      </c>
      <c r="F301" s="36"/>
      <c r="G301" s="36">
        <f t="shared" si="8"/>
        <v>4152</v>
      </c>
      <c r="H301" s="37"/>
    </row>
    <row r="302">
      <c r="A302" s="60" t="s">
        <v>2289</v>
      </c>
      <c r="B302" s="60" t="s">
        <v>2290</v>
      </c>
      <c r="C302" s="34" t="s">
        <v>77</v>
      </c>
      <c r="D302" s="34" t="s">
        <v>47</v>
      </c>
      <c r="E302" s="68">
        <v>12230.0</v>
      </c>
      <c r="F302" s="36"/>
      <c r="G302" s="36">
        <f t="shared" si="8"/>
        <v>12230</v>
      </c>
      <c r="H302" s="37"/>
    </row>
    <row r="303">
      <c r="A303" s="60" t="s">
        <v>832</v>
      </c>
      <c r="B303" s="60" t="s">
        <v>833</v>
      </c>
      <c r="C303" s="34" t="s">
        <v>77</v>
      </c>
      <c r="D303" s="34" t="s">
        <v>47</v>
      </c>
      <c r="E303" s="68">
        <v>4121.9</v>
      </c>
      <c r="F303" s="36"/>
      <c r="G303" s="36">
        <f t="shared" si="8"/>
        <v>4121.9</v>
      </c>
      <c r="H303" s="37"/>
    </row>
    <row r="304">
      <c r="A304" s="60" t="s">
        <v>834</v>
      </c>
      <c r="B304" s="60" t="s">
        <v>835</v>
      </c>
      <c r="C304" s="34" t="s">
        <v>77</v>
      </c>
      <c r="D304" s="34" t="s">
        <v>47</v>
      </c>
      <c r="E304" s="68">
        <v>3844.0</v>
      </c>
      <c r="F304" s="36"/>
      <c r="G304" s="36">
        <f t="shared" si="8"/>
        <v>3844</v>
      </c>
      <c r="H304" s="37"/>
    </row>
    <row r="305">
      <c r="A305" s="60" t="s">
        <v>836</v>
      </c>
      <c r="B305" s="60" t="s">
        <v>837</v>
      </c>
      <c r="C305" s="34" t="s">
        <v>77</v>
      </c>
      <c r="D305" s="34" t="s">
        <v>47</v>
      </c>
      <c r="E305" s="68">
        <v>8190.0</v>
      </c>
      <c r="F305" s="36"/>
      <c r="G305" s="36">
        <f t="shared" si="8"/>
        <v>8190</v>
      </c>
      <c r="H305" s="37"/>
    </row>
    <row r="306">
      <c r="A306" s="60" t="s">
        <v>838</v>
      </c>
      <c r="B306" s="60" t="s">
        <v>839</v>
      </c>
      <c r="C306" s="34" t="s">
        <v>77</v>
      </c>
      <c r="D306" s="34" t="s">
        <v>47</v>
      </c>
      <c r="E306" s="68">
        <v>3872.0</v>
      </c>
      <c r="F306" s="36"/>
      <c r="G306" s="36">
        <f t="shared" si="8"/>
        <v>3872</v>
      </c>
      <c r="H306" s="37"/>
    </row>
    <row r="307">
      <c r="A307" s="60" t="s">
        <v>840</v>
      </c>
      <c r="B307" s="60" t="s">
        <v>1785</v>
      </c>
      <c r="C307" s="34" t="s">
        <v>77</v>
      </c>
      <c r="D307" s="34" t="s">
        <v>47</v>
      </c>
      <c r="E307" s="68">
        <v>4078.0</v>
      </c>
      <c r="F307" s="36"/>
      <c r="G307" s="36">
        <f t="shared" si="8"/>
        <v>4078</v>
      </c>
      <c r="H307" s="37"/>
    </row>
    <row r="308">
      <c r="A308" s="60" t="s">
        <v>842</v>
      </c>
      <c r="B308" s="60" t="s">
        <v>843</v>
      </c>
      <c r="C308" s="34" t="s">
        <v>77</v>
      </c>
      <c r="D308" s="34" t="s">
        <v>47</v>
      </c>
      <c r="E308" s="68">
        <v>1092.0</v>
      </c>
      <c r="F308" s="36"/>
      <c r="G308" s="36">
        <f t="shared" si="8"/>
        <v>1092</v>
      </c>
      <c r="H308" s="37"/>
    </row>
    <row r="309">
      <c r="A309" s="60" t="s">
        <v>844</v>
      </c>
      <c r="B309" s="60" t="s">
        <v>845</v>
      </c>
      <c r="C309" s="34" t="s">
        <v>77</v>
      </c>
      <c r="D309" s="34" t="s">
        <v>47</v>
      </c>
      <c r="E309" s="68">
        <v>36262.0</v>
      </c>
      <c r="F309" s="36"/>
      <c r="G309" s="36">
        <f t="shared" si="8"/>
        <v>36262</v>
      </c>
      <c r="H309" s="37"/>
    </row>
    <row r="310">
      <c r="A310" s="60" t="s">
        <v>766</v>
      </c>
      <c r="B310" s="60" t="s">
        <v>767</v>
      </c>
      <c r="C310" s="34" t="s">
        <v>79</v>
      </c>
      <c r="D310" s="34" t="s">
        <v>49</v>
      </c>
      <c r="E310" s="68">
        <v>634.0</v>
      </c>
      <c r="F310" s="36"/>
      <c r="G310" s="36">
        <f t="shared" si="8"/>
        <v>634</v>
      </c>
      <c r="H310" s="37"/>
    </row>
    <row r="311">
      <c r="A311" s="60" t="s">
        <v>768</v>
      </c>
      <c r="B311" s="60" t="s">
        <v>769</v>
      </c>
      <c r="C311" s="34" t="s">
        <v>79</v>
      </c>
      <c r="D311" s="34" t="s">
        <v>49</v>
      </c>
      <c r="E311" s="68">
        <v>85854.3</v>
      </c>
      <c r="F311" s="36"/>
      <c r="G311" s="36">
        <f t="shared" si="8"/>
        <v>85854.3</v>
      </c>
      <c r="H311" s="37"/>
    </row>
    <row r="312">
      <c r="A312" s="60" t="s">
        <v>770</v>
      </c>
      <c r="B312" s="60" t="s">
        <v>771</v>
      </c>
      <c r="C312" s="34" t="s">
        <v>79</v>
      </c>
      <c r="D312" s="34" t="s">
        <v>49</v>
      </c>
      <c r="E312" s="68">
        <v>54510.0</v>
      </c>
      <c r="F312" s="36"/>
      <c r="G312" s="36">
        <f t="shared" si="8"/>
        <v>54510</v>
      </c>
      <c r="H312" s="37"/>
    </row>
    <row r="313">
      <c r="A313" s="60" t="s">
        <v>772</v>
      </c>
      <c r="B313" s="60" t="s">
        <v>773</v>
      </c>
      <c r="C313" s="34" t="s">
        <v>79</v>
      </c>
      <c r="D313" s="34" t="s">
        <v>49</v>
      </c>
      <c r="E313" s="68">
        <v>79536.07</v>
      </c>
      <c r="F313" s="36"/>
      <c r="G313" s="36">
        <f t="shared" si="8"/>
        <v>79536.07</v>
      </c>
      <c r="H313" s="37"/>
    </row>
    <row r="314">
      <c r="A314" s="60" t="s">
        <v>780</v>
      </c>
      <c r="B314" s="60" t="s">
        <v>781</v>
      </c>
      <c r="C314" s="34" t="s">
        <v>79</v>
      </c>
      <c r="D314" s="34" t="s">
        <v>49</v>
      </c>
      <c r="E314" s="68">
        <v>195.5</v>
      </c>
      <c r="F314" s="36"/>
      <c r="G314" s="36">
        <f t="shared" si="8"/>
        <v>195.5</v>
      </c>
      <c r="H314" s="37"/>
    </row>
    <row r="315">
      <c r="A315" s="60" t="s">
        <v>782</v>
      </c>
      <c r="B315" s="60" t="s">
        <v>783</v>
      </c>
      <c r="C315" s="34" t="s">
        <v>79</v>
      </c>
      <c r="D315" s="34" t="s">
        <v>49</v>
      </c>
      <c r="E315" s="68">
        <v>97.75</v>
      </c>
      <c r="F315" s="36"/>
      <c r="G315" s="36">
        <f t="shared" si="8"/>
        <v>97.75</v>
      </c>
      <c r="H315" s="37"/>
    </row>
    <row r="316">
      <c r="A316" s="60" t="s">
        <v>784</v>
      </c>
      <c r="B316" s="60" t="s">
        <v>785</v>
      </c>
      <c r="C316" s="34" t="s">
        <v>79</v>
      </c>
      <c r="D316" s="34" t="s">
        <v>49</v>
      </c>
      <c r="E316" s="68">
        <v>48209.01</v>
      </c>
      <c r="F316" s="36"/>
      <c r="G316" s="36">
        <f t="shared" si="8"/>
        <v>48209.01</v>
      </c>
      <c r="H316" s="37"/>
    </row>
    <row r="317">
      <c r="A317" s="60" t="s">
        <v>786</v>
      </c>
      <c r="B317" s="60" t="s">
        <v>787</v>
      </c>
      <c r="C317" s="34" t="s">
        <v>79</v>
      </c>
      <c r="D317" s="34" t="s">
        <v>49</v>
      </c>
      <c r="E317" s="68">
        <v>920.0</v>
      </c>
      <c r="F317" s="36"/>
      <c r="G317" s="36">
        <f t="shared" si="8"/>
        <v>920</v>
      </c>
      <c r="H317" s="37"/>
    </row>
    <row r="318">
      <c r="A318" s="60" t="s">
        <v>788</v>
      </c>
      <c r="B318" s="60" t="s">
        <v>789</v>
      </c>
      <c r="C318" s="34" t="s">
        <v>79</v>
      </c>
      <c r="D318" s="34" t="s">
        <v>49</v>
      </c>
      <c r="E318" s="68">
        <v>84496.25</v>
      </c>
      <c r="F318" s="36"/>
      <c r="G318" s="36">
        <f t="shared" si="8"/>
        <v>84496.25</v>
      </c>
      <c r="H318" s="37"/>
    </row>
    <row r="319">
      <c r="A319" s="60" t="s">
        <v>790</v>
      </c>
      <c r="B319" s="60" t="s">
        <v>791</v>
      </c>
      <c r="C319" s="34" t="s">
        <v>79</v>
      </c>
      <c r="D319" s="34" t="s">
        <v>49</v>
      </c>
      <c r="E319" s="68">
        <v>120.0</v>
      </c>
      <c r="F319" s="36"/>
      <c r="G319" s="36">
        <f t="shared" si="8"/>
        <v>120</v>
      </c>
      <c r="H319" s="37"/>
    </row>
    <row r="320">
      <c r="A320" s="60" t="s">
        <v>792</v>
      </c>
      <c r="B320" s="60" t="s">
        <v>793</v>
      </c>
      <c r="C320" s="34" t="s">
        <v>79</v>
      </c>
      <c r="D320" s="34" t="s">
        <v>49</v>
      </c>
      <c r="E320" s="68">
        <v>14337.5</v>
      </c>
      <c r="F320" s="36"/>
      <c r="G320" s="36">
        <f t="shared" si="8"/>
        <v>14337.5</v>
      </c>
      <c r="H320" s="37"/>
    </row>
    <row r="321">
      <c r="A321" s="60" t="s">
        <v>242</v>
      </c>
      <c r="B321" s="60" t="s">
        <v>243</v>
      </c>
      <c r="C321" s="34" t="s">
        <v>79</v>
      </c>
      <c r="D321" s="34" t="s">
        <v>49</v>
      </c>
      <c r="E321" s="68">
        <v>34371.45</v>
      </c>
      <c r="F321" s="36"/>
      <c r="G321" s="36">
        <f t="shared" si="8"/>
        <v>34371.45</v>
      </c>
      <c r="H321" s="37"/>
    </row>
    <row r="322">
      <c r="A322" s="60" t="s">
        <v>794</v>
      </c>
      <c r="B322" s="60" t="s">
        <v>795</v>
      </c>
      <c r="C322" s="34" t="s">
        <v>79</v>
      </c>
      <c r="D322" s="34" t="s">
        <v>49</v>
      </c>
      <c r="E322" s="68">
        <v>214056.19</v>
      </c>
      <c r="F322" s="36"/>
      <c r="G322" s="36">
        <f t="shared" si="8"/>
        <v>214056.19</v>
      </c>
      <c r="H322" s="37"/>
    </row>
    <row r="323">
      <c r="A323" s="60" t="s">
        <v>1781</v>
      </c>
      <c r="B323" s="60" t="s">
        <v>1782</v>
      </c>
      <c r="C323" s="34" t="s">
        <v>79</v>
      </c>
      <c r="D323" s="34" t="s">
        <v>49</v>
      </c>
      <c r="E323" s="68">
        <v>191702.7</v>
      </c>
      <c r="F323" s="36"/>
      <c r="G323" s="36">
        <f t="shared" si="8"/>
        <v>191702.7</v>
      </c>
      <c r="H323" s="37"/>
    </row>
    <row r="324">
      <c r="A324" s="103" t="s">
        <v>952</v>
      </c>
      <c r="B324" s="103" t="s">
        <v>953</v>
      </c>
      <c r="C324" s="34" t="s">
        <v>80</v>
      </c>
      <c r="D324" s="34" t="s">
        <v>46</v>
      </c>
      <c r="E324" s="35">
        <v>561.92</v>
      </c>
      <c r="F324" s="36"/>
      <c r="G324" s="36">
        <f t="shared" si="8"/>
        <v>561.92</v>
      </c>
      <c r="H324" s="37"/>
    </row>
    <row r="325">
      <c r="A325" s="103" t="s">
        <v>954</v>
      </c>
      <c r="B325" s="103" t="s">
        <v>1634</v>
      </c>
      <c r="C325" s="34" t="s">
        <v>80</v>
      </c>
      <c r="D325" s="34" t="s">
        <v>46</v>
      </c>
      <c r="E325" s="35">
        <v>960.0</v>
      </c>
      <c r="F325" s="36"/>
      <c r="G325" s="36">
        <f t="shared" si="8"/>
        <v>960</v>
      </c>
      <c r="H325" s="37"/>
    </row>
    <row r="326">
      <c r="A326" s="103" t="s">
        <v>956</v>
      </c>
      <c r="B326" s="103" t="s">
        <v>957</v>
      </c>
      <c r="C326" s="34" t="s">
        <v>80</v>
      </c>
      <c r="D326" s="34" t="s">
        <v>46</v>
      </c>
      <c r="E326" s="35">
        <v>1119.93</v>
      </c>
      <c r="F326" s="36"/>
      <c r="G326" s="36">
        <f t="shared" si="8"/>
        <v>1119.93</v>
      </c>
      <c r="H326" s="37"/>
    </row>
    <row r="327">
      <c r="A327" s="103" t="s">
        <v>1453</v>
      </c>
      <c r="B327" s="103" t="s">
        <v>1454</v>
      </c>
      <c r="C327" s="34" t="s">
        <v>80</v>
      </c>
      <c r="D327" s="34" t="s">
        <v>46</v>
      </c>
      <c r="E327" s="35">
        <v>1156.97</v>
      </c>
      <c r="F327" s="36"/>
      <c r="G327" s="36">
        <f t="shared" si="8"/>
        <v>1156.97</v>
      </c>
      <c r="H327" s="37"/>
    </row>
    <row r="328">
      <c r="A328" s="103" t="s">
        <v>998</v>
      </c>
      <c r="B328" s="103" t="s">
        <v>999</v>
      </c>
      <c r="C328" s="34" t="s">
        <v>80</v>
      </c>
      <c r="D328" s="34" t="s">
        <v>46</v>
      </c>
      <c r="E328" s="35">
        <v>1349.98</v>
      </c>
      <c r="F328" s="36"/>
      <c r="G328" s="36">
        <f t="shared" si="8"/>
        <v>1349.98</v>
      </c>
      <c r="H328" s="37"/>
    </row>
    <row r="329">
      <c r="A329" s="103" t="s">
        <v>960</v>
      </c>
      <c r="B329" s="103" t="s">
        <v>961</v>
      </c>
      <c r="C329" s="34" t="s">
        <v>80</v>
      </c>
      <c r="D329" s="34" t="s">
        <v>46</v>
      </c>
      <c r="E329" s="35">
        <v>5419.66</v>
      </c>
      <c r="F329" s="36"/>
      <c r="G329" s="36">
        <f t="shared" si="8"/>
        <v>5419.66</v>
      </c>
      <c r="H329" s="37"/>
    </row>
    <row r="330">
      <c r="A330" s="103" t="s">
        <v>962</v>
      </c>
      <c r="B330" s="106" t="s">
        <v>963</v>
      </c>
      <c r="C330" s="34" t="s">
        <v>80</v>
      </c>
      <c r="D330" s="34" t="s">
        <v>46</v>
      </c>
      <c r="E330" s="35">
        <v>3381.5</v>
      </c>
      <c r="F330" s="36"/>
      <c r="G330" s="36">
        <f t="shared" si="8"/>
        <v>3381.5</v>
      </c>
      <c r="H330" s="37"/>
    </row>
    <row r="331">
      <c r="A331" s="103" t="s">
        <v>1002</v>
      </c>
      <c r="B331" s="103" t="s">
        <v>1003</v>
      </c>
      <c r="C331" s="34" t="s">
        <v>80</v>
      </c>
      <c r="D331" s="34" t="s">
        <v>46</v>
      </c>
      <c r="E331" s="35">
        <v>352.99</v>
      </c>
      <c r="F331" s="36"/>
      <c r="G331" s="36">
        <f t="shared" si="8"/>
        <v>352.99</v>
      </c>
      <c r="H331" s="37"/>
    </row>
    <row r="332">
      <c r="A332" s="107" t="s">
        <v>850</v>
      </c>
      <c r="B332" s="107" t="s">
        <v>851</v>
      </c>
      <c r="C332" s="34" t="s">
        <v>75</v>
      </c>
      <c r="D332" s="34" t="s">
        <v>50</v>
      </c>
      <c r="E332" s="108">
        <v>562.02</v>
      </c>
      <c r="F332" s="36"/>
      <c r="G332" s="36">
        <f t="shared" si="8"/>
        <v>562.02</v>
      </c>
      <c r="H332" s="37"/>
    </row>
    <row r="333">
      <c r="A333" s="107" t="s">
        <v>852</v>
      </c>
      <c r="B333" s="107" t="s">
        <v>853</v>
      </c>
      <c r="C333" s="34" t="s">
        <v>75</v>
      </c>
      <c r="D333" s="34" t="s">
        <v>50</v>
      </c>
      <c r="E333" s="108">
        <v>117.97</v>
      </c>
      <c r="F333" s="36"/>
      <c r="G333" s="36">
        <f t="shared" si="8"/>
        <v>117.97</v>
      </c>
      <c r="H333" s="37"/>
    </row>
    <row r="334">
      <c r="A334" s="107" t="s">
        <v>854</v>
      </c>
      <c r="B334" s="107" t="s">
        <v>855</v>
      </c>
      <c r="C334" s="34" t="s">
        <v>75</v>
      </c>
      <c r="D334" s="34" t="s">
        <v>50</v>
      </c>
      <c r="E334" s="108">
        <v>562.02</v>
      </c>
      <c r="F334" s="36"/>
      <c r="G334" s="36">
        <f t="shared" si="8"/>
        <v>562.02</v>
      </c>
      <c r="H334" s="37"/>
    </row>
    <row r="335">
      <c r="A335" s="107" t="s">
        <v>856</v>
      </c>
      <c r="B335" s="107" t="s">
        <v>857</v>
      </c>
      <c r="C335" s="34" t="s">
        <v>75</v>
      </c>
      <c r="D335" s="34" t="s">
        <v>50</v>
      </c>
      <c r="E335" s="108">
        <v>300.02</v>
      </c>
      <c r="F335" s="36"/>
      <c r="G335" s="36">
        <f t="shared" si="8"/>
        <v>300.02</v>
      </c>
      <c r="H335" s="37"/>
    </row>
    <row r="336">
      <c r="A336" s="107" t="s">
        <v>2291</v>
      </c>
      <c r="B336" s="107" t="s">
        <v>2292</v>
      </c>
      <c r="C336" s="34" t="s">
        <v>75</v>
      </c>
      <c r="D336" s="34" t="s">
        <v>50</v>
      </c>
      <c r="E336" s="108">
        <v>400.02</v>
      </c>
      <c r="F336" s="36"/>
      <c r="G336" s="36">
        <f t="shared" si="8"/>
        <v>400.02</v>
      </c>
      <c r="H336" s="37"/>
    </row>
    <row r="337">
      <c r="A337" s="107" t="s">
        <v>860</v>
      </c>
      <c r="B337" s="107" t="s">
        <v>861</v>
      </c>
      <c r="C337" s="34" t="s">
        <v>75</v>
      </c>
      <c r="D337" s="34" t="s">
        <v>50</v>
      </c>
      <c r="E337" s="108">
        <v>197.87</v>
      </c>
      <c r="F337" s="36"/>
      <c r="G337" s="36">
        <f t="shared" si="8"/>
        <v>197.87</v>
      </c>
      <c r="H337" s="37"/>
    </row>
    <row r="338">
      <c r="A338" s="107" t="s">
        <v>2293</v>
      </c>
      <c r="B338" s="107" t="s">
        <v>2294</v>
      </c>
      <c r="C338" s="34" t="s">
        <v>75</v>
      </c>
      <c r="D338" s="34" t="s">
        <v>50</v>
      </c>
      <c r="E338" s="108">
        <v>562.02</v>
      </c>
      <c r="F338" s="36"/>
      <c r="G338" s="36">
        <f t="shared" si="8"/>
        <v>562.02</v>
      </c>
      <c r="H338" s="37"/>
    </row>
    <row r="339">
      <c r="A339" s="107" t="s">
        <v>862</v>
      </c>
      <c r="B339" s="107" t="s">
        <v>863</v>
      </c>
      <c r="C339" s="34" t="s">
        <v>75</v>
      </c>
      <c r="D339" s="34" t="s">
        <v>50</v>
      </c>
      <c r="E339" s="108">
        <v>217.97</v>
      </c>
      <c r="F339" s="36"/>
      <c r="G339" s="36">
        <f t="shared" si="8"/>
        <v>217.97</v>
      </c>
      <c r="H339" s="37"/>
    </row>
    <row r="340">
      <c r="A340" s="107" t="s">
        <v>864</v>
      </c>
      <c r="B340" s="107" t="s">
        <v>865</v>
      </c>
      <c r="C340" s="34" t="s">
        <v>75</v>
      </c>
      <c r="D340" s="34" t="s">
        <v>50</v>
      </c>
      <c r="E340" s="108">
        <v>199.91</v>
      </c>
      <c r="F340" s="36"/>
      <c r="G340" s="36">
        <f t="shared" si="8"/>
        <v>199.91</v>
      </c>
      <c r="H340" s="37"/>
    </row>
    <row r="341">
      <c r="A341" s="107" t="s">
        <v>866</v>
      </c>
      <c r="B341" s="107" t="s">
        <v>867</v>
      </c>
      <c r="C341" s="34" t="s">
        <v>75</v>
      </c>
      <c r="D341" s="34" t="s">
        <v>50</v>
      </c>
      <c r="E341" s="108">
        <v>199.91</v>
      </c>
      <c r="F341" s="36"/>
      <c r="G341" s="36">
        <f t="shared" si="8"/>
        <v>199.91</v>
      </c>
      <c r="H341" s="37"/>
    </row>
    <row r="342">
      <c r="A342" s="107" t="s">
        <v>868</v>
      </c>
      <c r="B342" s="107" t="s">
        <v>869</v>
      </c>
      <c r="C342" s="34" t="s">
        <v>75</v>
      </c>
      <c r="D342" s="34" t="s">
        <v>50</v>
      </c>
      <c r="E342" s="108">
        <v>482.3</v>
      </c>
      <c r="F342" s="36"/>
      <c r="G342" s="36">
        <f t="shared" si="8"/>
        <v>482.3</v>
      </c>
      <c r="H342" s="37"/>
    </row>
    <row r="343">
      <c r="A343" s="107" t="s">
        <v>870</v>
      </c>
      <c r="B343" s="107" t="s">
        <v>871</v>
      </c>
      <c r="C343" s="34" t="s">
        <v>75</v>
      </c>
      <c r="D343" s="34" t="s">
        <v>50</v>
      </c>
      <c r="E343" s="108">
        <v>482.3</v>
      </c>
      <c r="F343" s="36"/>
      <c r="G343" s="36">
        <f t="shared" si="8"/>
        <v>482.3</v>
      </c>
      <c r="H343" s="37"/>
    </row>
    <row r="344">
      <c r="A344" s="107" t="s">
        <v>872</v>
      </c>
      <c r="B344" s="107" t="s">
        <v>873</v>
      </c>
      <c r="C344" s="34" t="s">
        <v>75</v>
      </c>
      <c r="D344" s="34" t="s">
        <v>50</v>
      </c>
      <c r="E344" s="108">
        <v>562.02</v>
      </c>
      <c r="F344" s="36"/>
      <c r="G344" s="36">
        <f t="shared" si="8"/>
        <v>562.02</v>
      </c>
      <c r="H344" s="37"/>
    </row>
    <row r="345">
      <c r="A345" s="107" t="s">
        <v>2295</v>
      </c>
      <c r="B345" s="107" t="s">
        <v>2296</v>
      </c>
      <c r="C345" s="34" t="s">
        <v>75</v>
      </c>
      <c r="D345" s="34" t="s">
        <v>57</v>
      </c>
      <c r="E345" s="108">
        <v>108.98</v>
      </c>
      <c r="F345" s="36"/>
      <c r="G345" s="36">
        <f t="shared" si="8"/>
        <v>108.98</v>
      </c>
      <c r="H345" s="37"/>
    </row>
    <row r="346">
      <c r="A346" s="107" t="s">
        <v>2297</v>
      </c>
      <c r="B346" s="107" t="s">
        <v>2298</v>
      </c>
      <c r="C346" s="34" t="s">
        <v>75</v>
      </c>
      <c r="D346" s="34" t="s">
        <v>57</v>
      </c>
      <c r="E346" s="108">
        <v>183.98</v>
      </c>
      <c r="F346" s="36"/>
      <c r="G346" s="36">
        <f t="shared" si="8"/>
        <v>183.98</v>
      </c>
      <c r="H346" s="37"/>
    </row>
    <row r="347">
      <c r="A347" s="107" t="s">
        <v>2299</v>
      </c>
      <c r="B347" s="107" t="s">
        <v>2300</v>
      </c>
      <c r="C347" s="34" t="s">
        <v>75</v>
      </c>
      <c r="D347" s="34" t="s">
        <v>57</v>
      </c>
      <c r="E347" s="108">
        <v>200.98</v>
      </c>
      <c r="F347" s="36"/>
      <c r="G347" s="36">
        <f t="shared" si="8"/>
        <v>200.98</v>
      </c>
      <c r="H347" s="37"/>
    </row>
    <row r="348">
      <c r="A348" s="107" t="s">
        <v>2301</v>
      </c>
      <c r="B348" s="107" t="s">
        <v>2302</v>
      </c>
      <c r="C348" s="34" t="s">
        <v>75</v>
      </c>
      <c r="D348" s="34" t="s">
        <v>57</v>
      </c>
      <c r="E348" s="108">
        <v>108.98</v>
      </c>
      <c r="F348" s="36"/>
      <c r="G348" s="36">
        <f t="shared" si="8"/>
        <v>108.98</v>
      </c>
      <c r="H348" s="37"/>
    </row>
    <row r="349">
      <c r="A349" s="107" t="s">
        <v>2303</v>
      </c>
      <c r="B349" s="107" t="s">
        <v>2304</v>
      </c>
      <c r="C349" s="34" t="s">
        <v>75</v>
      </c>
      <c r="D349" s="34" t="s">
        <v>57</v>
      </c>
      <c r="E349" s="108">
        <v>200.98</v>
      </c>
      <c r="F349" s="36"/>
      <c r="G349" s="36">
        <f t="shared" si="8"/>
        <v>200.98</v>
      </c>
      <c r="H349" s="37"/>
    </row>
    <row r="350">
      <c r="A350" s="107" t="s">
        <v>2305</v>
      </c>
      <c r="B350" s="107" t="s">
        <v>2306</v>
      </c>
      <c r="C350" s="34" t="s">
        <v>75</v>
      </c>
      <c r="D350" s="34" t="s">
        <v>57</v>
      </c>
      <c r="E350" s="108">
        <v>108.98</v>
      </c>
      <c r="F350" s="36"/>
      <c r="G350" s="36">
        <f t="shared" si="8"/>
        <v>108.98</v>
      </c>
      <c r="H350" s="37"/>
    </row>
    <row r="351">
      <c r="A351" s="107" t="s">
        <v>2307</v>
      </c>
      <c r="B351" s="107" t="s">
        <v>2308</v>
      </c>
      <c r="C351" s="34" t="s">
        <v>75</v>
      </c>
      <c r="D351" s="34" t="s">
        <v>57</v>
      </c>
      <c r="E351" s="108">
        <v>108.98</v>
      </c>
      <c r="F351" s="36"/>
      <c r="G351" s="36">
        <f t="shared" si="8"/>
        <v>108.98</v>
      </c>
      <c r="H351" s="37"/>
    </row>
    <row r="352">
      <c r="A352" s="107" t="s">
        <v>2309</v>
      </c>
      <c r="B352" s="107" t="s">
        <v>2310</v>
      </c>
      <c r="C352" s="34" t="s">
        <v>75</v>
      </c>
      <c r="D352" s="34" t="s">
        <v>57</v>
      </c>
      <c r="E352" s="108">
        <v>108.98</v>
      </c>
      <c r="F352" s="36"/>
      <c r="G352" s="36">
        <f t="shared" si="8"/>
        <v>108.98</v>
      </c>
      <c r="H352" s="37"/>
    </row>
    <row r="353">
      <c r="A353" s="107" t="s">
        <v>918</v>
      </c>
      <c r="B353" s="107" t="s">
        <v>919</v>
      </c>
      <c r="C353" s="34" t="s">
        <v>75</v>
      </c>
      <c r="D353" s="34" t="s">
        <v>57</v>
      </c>
      <c r="E353" s="108">
        <v>50.99</v>
      </c>
      <c r="F353" s="36"/>
      <c r="G353" s="36">
        <f t="shared" si="8"/>
        <v>50.99</v>
      </c>
      <c r="H353" s="37"/>
    </row>
    <row r="354">
      <c r="A354" s="107" t="s">
        <v>920</v>
      </c>
      <c r="B354" s="107" t="s">
        <v>921</v>
      </c>
      <c r="C354" s="34" t="s">
        <v>75</v>
      </c>
      <c r="D354" s="34" t="s">
        <v>57</v>
      </c>
      <c r="E354" s="108">
        <v>125.97</v>
      </c>
      <c r="F354" s="36"/>
      <c r="G354" s="36">
        <f t="shared" si="8"/>
        <v>125.97</v>
      </c>
      <c r="H354" s="37"/>
    </row>
    <row r="355">
      <c r="A355" s="107" t="s">
        <v>2311</v>
      </c>
      <c r="B355" s="107" t="s">
        <v>2312</v>
      </c>
      <c r="C355" s="34" t="s">
        <v>75</v>
      </c>
      <c r="D355" s="34" t="s">
        <v>57</v>
      </c>
      <c r="E355" s="108">
        <v>108.98</v>
      </c>
      <c r="F355" s="36"/>
      <c r="G355" s="36">
        <f t="shared" si="8"/>
        <v>108.98</v>
      </c>
      <c r="H355" s="37"/>
    </row>
    <row r="356">
      <c r="A356" s="107" t="s">
        <v>2313</v>
      </c>
      <c r="B356" s="107" t="s">
        <v>2314</v>
      </c>
      <c r="C356" s="34" t="s">
        <v>75</v>
      </c>
      <c r="D356" s="34" t="s">
        <v>57</v>
      </c>
      <c r="E356" s="108">
        <v>108.98</v>
      </c>
      <c r="F356" s="36"/>
      <c r="G356" s="36">
        <f t="shared" si="8"/>
        <v>108.98</v>
      </c>
      <c r="H356" s="37"/>
    </row>
    <row r="357">
      <c r="A357" s="107" t="s">
        <v>922</v>
      </c>
      <c r="B357" s="107" t="s">
        <v>923</v>
      </c>
      <c r="C357" s="34" t="s">
        <v>75</v>
      </c>
      <c r="D357" s="34" t="s">
        <v>57</v>
      </c>
      <c r="E357" s="108">
        <v>217.97</v>
      </c>
      <c r="F357" s="36"/>
      <c r="G357" s="36">
        <f t="shared" si="8"/>
        <v>217.97</v>
      </c>
      <c r="H357" s="37"/>
    </row>
    <row r="358">
      <c r="A358" s="107" t="s">
        <v>2315</v>
      </c>
      <c r="B358" s="107" t="s">
        <v>2316</v>
      </c>
      <c r="C358" s="34" t="s">
        <v>75</v>
      </c>
      <c r="D358" s="34" t="s">
        <v>57</v>
      </c>
      <c r="E358" s="108">
        <v>108.98</v>
      </c>
      <c r="F358" s="36"/>
      <c r="G358" s="36">
        <f t="shared" si="8"/>
        <v>108.98</v>
      </c>
      <c r="H358" s="37"/>
    </row>
    <row r="359">
      <c r="A359" s="107" t="s">
        <v>2317</v>
      </c>
      <c r="B359" s="107" t="s">
        <v>2318</v>
      </c>
      <c r="C359" s="34" t="s">
        <v>75</v>
      </c>
      <c r="D359" s="34" t="s">
        <v>57</v>
      </c>
      <c r="E359" s="108">
        <v>142.97</v>
      </c>
      <c r="F359" s="36"/>
      <c r="G359" s="36">
        <f t="shared" si="8"/>
        <v>142.97</v>
      </c>
      <c r="H359" s="37"/>
    </row>
    <row r="360">
      <c r="A360" s="107" t="s">
        <v>2319</v>
      </c>
      <c r="B360" s="107" t="s">
        <v>2320</v>
      </c>
      <c r="C360" s="34" t="s">
        <v>75</v>
      </c>
      <c r="D360" s="34" t="s">
        <v>57</v>
      </c>
      <c r="E360" s="108">
        <v>326.95</v>
      </c>
      <c r="F360" s="36"/>
      <c r="G360" s="36">
        <f t="shared" si="8"/>
        <v>326.95</v>
      </c>
      <c r="H360" s="37"/>
    </row>
    <row r="361">
      <c r="A361" s="107" t="s">
        <v>924</v>
      </c>
      <c r="B361" s="107" t="s">
        <v>925</v>
      </c>
      <c r="C361" s="34" t="s">
        <v>75</v>
      </c>
      <c r="D361" s="34" t="s">
        <v>57</v>
      </c>
      <c r="E361" s="108">
        <v>108.98</v>
      </c>
      <c r="F361" s="36"/>
      <c r="G361" s="36">
        <f t="shared" si="8"/>
        <v>108.98</v>
      </c>
      <c r="H361" s="37"/>
    </row>
    <row r="362">
      <c r="A362" s="107" t="s">
        <v>2321</v>
      </c>
      <c r="B362" s="107" t="s">
        <v>2322</v>
      </c>
      <c r="C362" s="34" t="s">
        <v>75</v>
      </c>
      <c r="D362" s="34" t="s">
        <v>57</v>
      </c>
      <c r="E362" s="108">
        <v>108.98</v>
      </c>
      <c r="F362" s="36"/>
      <c r="G362" s="36">
        <f t="shared" si="8"/>
        <v>108.98</v>
      </c>
      <c r="H362" s="37"/>
    </row>
    <row r="363">
      <c r="A363" s="107" t="s">
        <v>926</v>
      </c>
      <c r="B363" s="107" t="s">
        <v>927</v>
      </c>
      <c r="C363" s="34" t="s">
        <v>75</v>
      </c>
      <c r="D363" s="34" t="s">
        <v>57</v>
      </c>
      <c r="E363" s="108">
        <v>108.98</v>
      </c>
      <c r="F363" s="36"/>
      <c r="G363" s="36">
        <f t="shared" si="8"/>
        <v>108.98</v>
      </c>
      <c r="H363" s="37"/>
    </row>
    <row r="364">
      <c r="A364" s="107" t="s">
        <v>2323</v>
      </c>
      <c r="B364" s="107" t="s">
        <v>2324</v>
      </c>
      <c r="C364" s="34" t="s">
        <v>75</v>
      </c>
      <c r="D364" s="34" t="s">
        <v>57</v>
      </c>
      <c r="E364" s="108">
        <v>108.98</v>
      </c>
      <c r="F364" s="36"/>
      <c r="G364" s="36">
        <f t="shared" si="8"/>
        <v>108.98</v>
      </c>
      <c r="H364" s="37"/>
    </row>
    <row r="365">
      <c r="A365" s="107" t="s">
        <v>928</v>
      </c>
      <c r="B365" s="107" t="s">
        <v>929</v>
      </c>
      <c r="C365" s="34" t="s">
        <v>75</v>
      </c>
      <c r="D365" s="34" t="s">
        <v>57</v>
      </c>
      <c r="E365" s="108">
        <v>108.98</v>
      </c>
      <c r="F365" s="36"/>
      <c r="G365" s="36">
        <f t="shared" si="8"/>
        <v>108.98</v>
      </c>
      <c r="H365" s="37"/>
    </row>
    <row r="366">
      <c r="A366" s="107" t="s">
        <v>930</v>
      </c>
      <c r="B366" s="107" t="s">
        <v>931</v>
      </c>
      <c r="C366" s="34" t="s">
        <v>75</v>
      </c>
      <c r="D366" s="34" t="s">
        <v>57</v>
      </c>
      <c r="E366" s="108">
        <v>108.98</v>
      </c>
      <c r="F366" s="36"/>
      <c r="G366" s="36">
        <f t="shared" si="8"/>
        <v>108.98</v>
      </c>
      <c r="H366" s="37"/>
    </row>
    <row r="367">
      <c r="A367" s="107" t="s">
        <v>2325</v>
      </c>
      <c r="B367" s="107" t="s">
        <v>2326</v>
      </c>
      <c r="C367" s="34" t="s">
        <v>75</v>
      </c>
      <c r="D367" s="34" t="s">
        <v>57</v>
      </c>
      <c r="E367" s="108">
        <v>108.98</v>
      </c>
      <c r="F367" s="36"/>
      <c r="G367" s="36">
        <f t="shared" si="8"/>
        <v>108.98</v>
      </c>
      <c r="H367" s="37"/>
    </row>
    <row r="368">
      <c r="A368" s="107" t="s">
        <v>932</v>
      </c>
      <c r="B368" s="107" t="s">
        <v>933</v>
      </c>
      <c r="C368" s="34" t="s">
        <v>75</v>
      </c>
      <c r="D368" s="34" t="s">
        <v>57</v>
      </c>
      <c r="E368" s="108">
        <v>108.98</v>
      </c>
      <c r="F368" s="36"/>
      <c r="G368" s="36">
        <f t="shared" si="8"/>
        <v>108.98</v>
      </c>
      <c r="H368" s="37"/>
    </row>
    <row r="369">
      <c r="A369" s="107" t="s">
        <v>2327</v>
      </c>
      <c r="B369" s="107" t="s">
        <v>2328</v>
      </c>
      <c r="C369" s="34" t="s">
        <v>75</v>
      </c>
      <c r="D369" s="34" t="s">
        <v>57</v>
      </c>
      <c r="E369" s="108">
        <v>217.97</v>
      </c>
      <c r="F369" s="36"/>
      <c r="G369" s="36">
        <f t="shared" si="8"/>
        <v>217.97</v>
      </c>
      <c r="H369" s="37"/>
    </row>
    <row r="370">
      <c r="A370" s="107" t="s">
        <v>934</v>
      </c>
      <c r="B370" s="107" t="s">
        <v>935</v>
      </c>
      <c r="C370" s="34" t="s">
        <v>75</v>
      </c>
      <c r="D370" s="34" t="s">
        <v>57</v>
      </c>
      <c r="E370" s="108">
        <v>522.0</v>
      </c>
      <c r="F370" s="36"/>
      <c r="G370" s="36">
        <f t="shared" si="8"/>
        <v>522</v>
      </c>
      <c r="H370" s="37"/>
    </row>
    <row r="371">
      <c r="A371" s="107" t="s">
        <v>2329</v>
      </c>
      <c r="B371" s="107" t="s">
        <v>2330</v>
      </c>
      <c r="C371" s="34" t="s">
        <v>75</v>
      </c>
      <c r="D371" s="34" t="s">
        <v>57</v>
      </c>
      <c r="E371" s="108">
        <v>108.98</v>
      </c>
      <c r="F371" s="36"/>
      <c r="G371" s="36">
        <f t="shared" si="8"/>
        <v>108.98</v>
      </c>
      <c r="H371" s="37"/>
    </row>
    <row r="372">
      <c r="A372" s="107" t="s">
        <v>2331</v>
      </c>
      <c r="B372" s="107" t="s">
        <v>2332</v>
      </c>
      <c r="C372" s="34" t="s">
        <v>75</v>
      </c>
      <c r="D372" s="34" t="s">
        <v>57</v>
      </c>
      <c r="E372" s="108">
        <v>166.98</v>
      </c>
      <c r="F372" s="36"/>
      <c r="G372" s="36">
        <f t="shared" si="8"/>
        <v>166.98</v>
      </c>
      <c r="H372" s="37"/>
    </row>
    <row r="373">
      <c r="A373" s="107" t="s">
        <v>2333</v>
      </c>
      <c r="B373" s="107" t="s">
        <v>2334</v>
      </c>
      <c r="C373" s="34" t="s">
        <v>75</v>
      </c>
      <c r="D373" s="34" t="s">
        <v>57</v>
      </c>
      <c r="E373" s="108">
        <v>125.97</v>
      </c>
      <c r="F373" s="36"/>
      <c r="G373" s="36">
        <f t="shared" si="8"/>
        <v>125.97</v>
      </c>
      <c r="H373" s="37"/>
    </row>
    <row r="374">
      <c r="A374" s="107" t="s">
        <v>2335</v>
      </c>
      <c r="B374" s="107" t="s">
        <v>2336</v>
      </c>
      <c r="C374" s="34" t="s">
        <v>75</v>
      </c>
      <c r="D374" s="34" t="s">
        <v>57</v>
      </c>
      <c r="E374" s="108">
        <v>217.97</v>
      </c>
      <c r="F374" s="36"/>
      <c r="G374" s="36">
        <f t="shared" si="8"/>
        <v>217.97</v>
      </c>
      <c r="H374" s="37"/>
    </row>
    <row r="375">
      <c r="A375" s="107" t="s">
        <v>936</v>
      </c>
      <c r="B375" s="107" t="s">
        <v>937</v>
      </c>
      <c r="C375" s="34" t="s">
        <v>75</v>
      </c>
      <c r="D375" s="34" t="s">
        <v>57</v>
      </c>
      <c r="E375" s="108">
        <v>108.98</v>
      </c>
      <c r="F375" s="36"/>
      <c r="G375" s="36">
        <f t="shared" si="8"/>
        <v>108.98</v>
      </c>
      <c r="H375" s="37"/>
    </row>
    <row r="376">
      <c r="A376" s="107" t="s">
        <v>2337</v>
      </c>
      <c r="B376" s="107" t="s">
        <v>2338</v>
      </c>
      <c r="C376" s="34" t="s">
        <v>75</v>
      </c>
      <c r="D376" s="34" t="s">
        <v>57</v>
      </c>
      <c r="E376" s="108">
        <v>108.98</v>
      </c>
      <c r="F376" s="36"/>
      <c r="G376" s="36">
        <f t="shared" si="8"/>
        <v>108.98</v>
      </c>
      <c r="H376" s="37"/>
    </row>
    <row r="377">
      <c r="A377" s="107" t="s">
        <v>2339</v>
      </c>
      <c r="B377" s="107" t="s">
        <v>2340</v>
      </c>
      <c r="C377" s="34" t="s">
        <v>75</v>
      </c>
      <c r="D377" s="34" t="s">
        <v>57</v>
      </c>
      <c r="E377" s="108">
        <v>108.98</v>
      </c>
      <c r="F377" s="36"/>
      <c r="G377" s="36">
        <f t="shared" si="8"/>
        <v>108.98</v>
      </c>
      <c r="H377" s="37"/>
    </row>
    <row r="378">
      <c r="A378" s="107" t="s">
        <v>2341</v>
      </c>
      <c r="B378" s="107" t="s">
        <v>2342</v>
      </c>
      <c r="C378" s="34" t="s">
        <v>75</v>
      </c>
      <c r="D378" s="34" t="s">
        <v>57</v>
      </c>
      <c r="E378" s="108">
        <v>108.98</v>
      </c>
      <c r="F378" s="36"/>
      <c r="G378" s="36">
        <f t="shared" si="8"/>
        <v>108.98</v>
      </c>
      <c r="H378" s="37"/>
    </row>
    <row r="379">
      <c r="A379" s="37"/>
      <c r="B379" s="37"/>
      <c r="C379" s="37"/>
      <c r="D379" s="37"/>
      <c r="E379" s="36"/>
      <c r="F379" s="36"/>
      <c r="G379" s="36" t="str">
        <f t="shared" si="8"/>
        <v/>
      </c>
      <c r="H379" s="37"/>
    </row>
    <row r="380">
      <c r="A380" s="37"/>
      <c r="B380" s="37"/>
      <c r="C380" s="37"/>
      <c r="D380" s="37"/>
      <c r="E380" s="36"/>
      <c r="F380" s="36"/>
      <c r="G380" s="36" t="str">
        <f t="shared" si="8"/>
        <v/>
      </c>
      <c r="H380" s="37"/>
    </row>
    <row r="381">
      <c r="A381" s="37"/>
      <c r="B381" s="37"/>
      <c r="C381" s="37"/>
      <c r="D381" s="37"/>
      <c r="E381" s="36"/>
      <c r="F381" s="36"/>
      <c r="G381" s="36" t="str">
        <f t="shared" si="8"/>
        <v/>
      </c>
      <c r="H381" s="37"/>
    </row>
    <row r="382">
      <c r="A382" s="37"/>
      <c r="B382" s="37"/>
      <c r="C382" s="37"/>
      <c r="D382" s="37"/>
      <c r="E382" s="36"/>
      <c r="F382" s="36"/>
      <c r="G382" s="36" t="str">
        <f t="shared" si="8"/>
        <v/>
      </c>
      <c r="H382" s="37"/>
    </row>
    <row r="383">
      <c r="A383" s="37"/>
      <c r="B383" s="37"/>
      <c r="C383" s="37"/>
      <c r="D383" s="37"/>
      <c r="E383" s="36"/>
      <c r="F383" s="36"/>
      <c r="G383" s="36" t="str">
        <f t="shared" si="8"/>
        <v/>
      </c>
      <c r="H383" s="37"/>
    </row>
    <row r="384">
      <c r="A384" s="37"/>
      <c r="B384" s="37"/>
      <c r="C384" s="37"/>
      <c r="D384" s="37"/>
      <c r="E384" s="36"/>
      <c r="F384" s="36"/>
      <c r="G384" s="36" t="str">
        <f t="shared" si="8"/>
        <v/>
      </c>
      <c r="H384" s="37"/>
    </row>
    <row r="385">
      <c r="A385" s="37"/>
      <c r="B385" s="37"/>
      <c r="C385" s="37"/>
      <c r="D385" s="37"/>
      <c r="E385" s="36"/>
      <c r="F385" s="36"/>
      <c r="G385" s="36" t="str">
        <f t="shared" si="8"/>
        <v/>
      </c>
      <c r="H385" s="37"/>
    </row>
    <row r="386">
      <c r="A386" s="37"/>
      <c r="B386" s="37"/>
      <c r="C386" s="37"/>
      <c r="D386" s="37"/>
      <c r="E386" s="36"/>
      <c r="F386" s="36"/>
      <c r="G386" s="36" t="str">
        <f t="shared" si="8"/>
        <v/>
      </c>
      <c r="H386" s="37"/>
    </row>
    <row r="387">
      <c r="A387" s="37"/>
      <c r="B387" s="37"/>
      <c r="C387" s="37"/>
      <c r="D387" s="37"/>
      <c r="E387" s="36"/>
      <c r="F387" s="36"/>
      <c r="G387" s="36" t="str">
        <f t="shared" si="8"/>
        <v/>
      </c>
      <c r="H387" s="37"/>
    </row>
    <row r="388">
      <c r="A388" s="37"/>
      <c r="B388" s="37"/>
      <c r="C388" s="37"/>
      <c r="D388" s="37"/>
      <c r="E388" s="36"/>
      <c r="F388" s="36"/>
      <c r="G388" s="36" t="str">
        <f t="shared" si="8"/>
        <v/>
      </c>
      <c r="H388" s="37"/>
    </row>
    <row r="389">
      <c r="A389" s="37"/>
      <c r="B389" s="37"/>
      <c r="C389" s="37"/>
      <c r="D389" s="37"/>
      <c r="E389" s="36"/>
      <c r="F389" s="36"/>
      <c r="G389" s="36" t="str">
        <f t="shared" si="8"/>
        <v/>
      </c>
      <c r="H389" s="37"/>
    </row>
    <row r="390">
      <c r="A390" s="37"/>
      <c r="B390" s="37"/>
      <c r="C390" s="37"/>
      <c r="D390" s="37"/>
      <c r="E390" s="36"/>
      <c r="F390" s="36"/>
      <c r="G390" s="36" t="str">
        <f t="shared" si="8"/>
        <v/>
      </c>
      <c r="H390" s="37"/>
    </row>
    <row r="391">
      <c r="A391" s="37"/>
      <c r="B391" s="37"/>
      <c r="C391" s="37"/>
      <c r="D391" s="37"/>
      <c r="E391" s="36"/>
      <c r="F391" s="36"/>
      <c r="G391" s="36" t="str">
        <f t="shared" si="8"/>
        <v/>
      </c>
      <c r="H391" s="37"/>
    </row>
    <row r="392">
      <c r="A392" s="37"/>
      <c r="B392" s="37"/>
      <c r="C392" s="37"/>
      <c r="D392" s="37"/>
      <c r="E392" s="36"/>
      <c r="F392" s="36"/>
      <c r="G392" s="36" t="str">
        <f t="shared" si="8"/>
        <v/>
      </c>
      <c r="H392" s="37"/>
    </row>
    <row r="393">
      <c r="A393" s="37"/>
      <c r="B393" s="37"/>
      <c r="C393" s="37"/>
      <c r="D393" s="37"/>
      <c r="E393" s="36"/>
      <c r="F393" s="36"/>
      <c r="G393" s="36" t="str">
        <f t="shared" si="8"/>
        <v/>
      </c>
      <c r="H393" s="37"/>
    </row>
    <row r="394">
      <c r="A394" s="37"/>
      <c r="B394" s="37"/>
      <c r="C394" s="37"/>
      <c r="D394" s="37"/>
      <c r="E394" s="36"/>
      <c r="F394" s="36"/>
      <c r="G394" s="36" t="str">
        <f t="shared" si="8"/>
        <v/>
      </c>
      <c r="H394" s="37"/>
    </row>
    <row r="395">
      <c r="A395" s="37"/>
      <c r="B395" s="37"/>
      <c r="C395" s="37"/>
      <c r="D395" s="37"/>
      <c r="E395" s="36"/>
      <c r="F395" s="36"/>
      <c r="G395" s="36" t="str">
        <f t="shared" si="8"/>
        <v/>
      </c>
      <c r="H395" s="37"/>
    </row>
    <row r="396">
      <c r="A396" s="37"/>
      <c r="B396" s="37"/>
      <c r="C396" s="37"/>
      <c r="D396" s="37"/>
      <c r="E396" s="36"/>
      <c r="F396" s="36"/>
      <c r="G396" s="36" t="str">
        <f t="shared" si="8"/>
        <v/>
      </c>
      <c r="H396" s="37"/>
    </row>
    <row r="397">
      <c r="A397" s="37"/>
      <c r="B397" s="37"/>
      <c r="C397" s="37"/>
      <c r="D397" s="37"/>
      <c r="E397" s="36"/>
      <c r="F397" s="36"/>
      <c r="G397" s="36" t="str">
        <f t="shared" si="8"/>
        <v/>
      </c>
      <c r="H397" s="37"/>
    </row>
    <row r="398">
      <c r="A398" s="37"/>
      <c r="B398" s="37"/>
      <c r="C398" s="37"/>
      <c r="D398" s="37"/>
      <c r="E398" s="36"/>
      <c r="F398" s="36"/>
      <c r="G398" s="36" t="str">
        <f t="shared" si="8"/>
        <v/>
      </c>
      <c r="H398" s="37"/>
    </row>
    <row r="399">
      <c r="A399" s="37"/>
      <c r="B399" s="37"/>
      <c r="C399" s="37"/>
      <c r="D399" s="37"/>
      <c r="E399" s="36"/>
      <c r="F399" s="36"/>
      <c r="G399" s="36" t="str">
        <f t="shared" si="8"/>
        <v/>
      </c>
      <c r="H399" s="37"/>
    </row>
    <row r="400">
      <c r="A400" s="37"/>
      <c r="B400" s="37"/>
      <c r="C400" s="37"/>
      <c r="D400" s="37"/>
      <c r="E400" s="36"/>
      <c r="F400" s="36"/>
      <c r="G400" s="36" t="str">
        <f t="shared" si="8"/>
        <v/>
      </c>
      <c r="H400" s="37"/>
    </row>
    <row r="401">
      <c r="A401" s="37"/>
      <c r="B401" s="37"/>
      <c r="C401" s="37"/>
      <c r="D401" s="37"/>
      <c r="E401" s="36"/>
      <c r="F401" s="36"/>
      <c r="G401" s="36" t="str">
        <f t="shared" si="8"/>
        <v/>
      </c>
      <c r="H401" s="37"/>
    </row>
    <row r="402">
      <c r="A402" s="37"/>
      <c r="B402" s="37"/>
      <c r="C402" s="37"/>
      <c r="D402" s="37"/>
      <c r="E402" s="36"/>
      <c r="F402" s="36"/>
      <c r="G402" s="36" t="str">
        <f t="shared" si="8"/>
        <v/>
      </c>
      <c r="H402" s="37"/>
    </row>
    <row r="403">
      <c r="A403" s="37"/>
      <c r="B403" s="37"/>
      <c r="C403" s="37"/>
      <c r="D403" s="37"/>
      <c r="E403" s="36"/>
      <c r="F403" s="36"/>
      <c r="G403" s="36" t="str">
        <f t="shared" si="8"/>
        <v/>
      </c>
      <c r="H403" s="37"/>
    </row>
    <row r="404">
      <c r="A404" s="37"/>
      <c r="B404" s="37"/>
      <c r="C404" s="37"/>
      <c r="D404" s="37"/>
      <c r="E404" s="36"/>
      <c r="F404" s="36"/>
      <c r="G404" s="36" t="str">
        <f t="shared" si="8"/>
        <v/>
      </c>
      <c r="H404" s="37"/>
    </row>
    <row r="405">
      <c r="A405" s="37"/>
      <c r="B405" s="37"/>
      <c r="C405" s="37"/>
      <c r="D405" s="37"/>
      <c r="E405" s="36"/>
      <c r="F405" s="36"/>
      <c r="G405" s="36" t="str">
        <f t="shared" si="8"/>
        <v/>
      </c>
      <c r="H405" s="37"/>
    </row>
    <row r="406">
      <c r="A406" s="37"/>
      <c r="B406" s="37"/>
      <c r="C406" s="37"/>
      <c r="D406" s="37"/>
      <c r="E406" s="36"/>
      <c r="F406" s="36"/>
      <c r="G406" s="36" t="str">
        <f t="shared" si="8"/>
        <v/>
      </c>
      <c r="H406" s="37"/>
    </row>
    <row r="407">
      <c r="A407" s="37"/>
      <c r="B407" s="37"/>
      <c r="C407" s="37"/>
      <c r="D407" s="37"/>
      <c r="E407" s="36"/>
      <c r="F407" s="36"/>
      <c r="G407" s="36" t="str">
        <f t="shared" si="8"/>
        <v/>
      </c>
      <c r="H407" s="37"/>
    </row>
    <row r="408">
      <c r="A408" s="37"/>
      <c r="B408" s="37"/>
      <c r="C408" s="37"/>
      <c r="D408" s="37"/>
      <c r="E408" s="36"/>
      <c r="F408" s="36"/>
      <c r="G408" s="36" t="str">
        <f t="shared" si="8"/>
        <v/>
      </c>
      <c r="H408" s="37"/>
    </row>
    <row r="409">
      <c r="A409" s="37"/>
      <c r="B409" s="37"/>
      <c r="C409" s="37"/>
      <c r="D409" s="37"/>
      <c r="E409" s="36"/>
      <c r="F409" s="36"/>
      <c r="G409" s="36" t="str">
        <f t="shared" si="8"/>
        <v/>
      </c>
      <c r="H409" s="37"/>
    </row>
    <row r="410">
      <c r="A410" s="37"/>
      <c r="B410" s="37"/>
      <c r="C410" s="37"/>
      <c r="D410" s="37"/>
      <c r="E410" s="36"/>
      <c r="F410" s="36"/>
      <c r="G410" s="36" t="str">
        <f t="shared" si="8"/>
        <v/>
      </c>
      <c r="H410" s="37"/>
    </row>
    <row r="411">
      <c r="A411" s="37"/>
      <c r="B411" s="37"/>
      <c r="C411" s="37"/>
      <c r="D411" s="37"/>
      <c r="E411" s="36"/>
      <c r="F411" s="36"/>
      <c r="G411" s="36" t="str">
        <f t="shared" si="8"/>
        <v/>
      </c>
      <c r="H411" s="37"/>
    </row>
    <row r="412">
      <c r="A412" s="37"/>
      <c r="B412" s="37"/>
      <c r="C412" s="37"/>
      <c r="D412" s="37"/>
      <c r="E412" s="36"/>
      <c r="F412" s="36"/>
      <c r="G412" s="36" t="str">
        <f t="shared" si="8"/>
        <v/>
      </c>
      <c r="H412" s="37"/>
    </row>
    <row r="413">
      <c r="A413" s="37"/>
      <c r="B413" s="37"/>
      <c r="C413" s="37"/>
      <c r="D413" s="37"/>
      <c r="E413" s="36"/>
      <c r="F413" s="36"/>
      <c r="G413" s="36" t="str">
        <f t="shared" si="8"/>
        <v/>
      </c>
      <c r="H413" s="37"/>
    </row>
    <row r="414">
      <c r="A414" s="37"/>
      <c r="B414" s="37"/>
      <c r="C414" s="37"/>
      <c r="D414" s="37"/>
      <c r="E414" s="36"/>
      <c r="F414" s="36"/>
      <c r="G414" s="36" t="str">
        <f t="shared" si="8"/>
        <v/>
      </c>
      <c r="H414" s="37"/>
    </row>
    <row r="415">
      <c r="A415" s="37"/>
      <c r="B415" s="37"/>
      <c r="C415" s="37"/>
      <c r="D415" s="37"/>
      <c r="E415" s="36"/>
      <c r="F415" s="36"/>
      <c r="G415" s="36" t="str">
        <f t="shared" si="8"/>
        <v/>
      </c>
      <c r="H415" s="37"/>
    </row>
    <row r="416">
      <c r="A416" s="37"/>
      <c r="B416" s="37"/>
      <c r="C416" s="37"/>
      <c r="D416" s="37"/>
      <c r="E416" s="36"/>
      <c r="F416" s="36"/>
      <c r="G416" s="36" t="str">
        <f t="shared" si="8"/>
        <v/>
      </c>
      <c r="H416" s="37"/>
    </row>
    <row r="417">
      <c r="A417" s="37"/>
      <c r="B417" s="37"/>
      <c r="C417" s="37"/>
      <c r="D417" s="37"/>
      <c r="E417" s="36"/>
      <c r="F417" s="36"/>
      <c r="G417" s="36" t="str">
        <f t="shared" si="8"/>
        <v/>
      </c>
      <c r="H417" s="37"/>
    </row>
    <row r="418">
      <c r="A418" s="37"/>
      <c r="B418" s="37"/>
      <c r="C418" s="37"/>
      <c r="D418" s="37"/>
      <c r="E418" s="36"/>
      <c r="F418" s="36"/>
      <c r="G418" s="36" t="str">
        <f t="shared" si="8"/>
        <v/>
      </c>
      <c r="H418" s="37"/>
    </row>
    <row r="419">
      <c r="A419" s="37"/>
      <c r="B419" s="37"/>
      <c r="C419" s="37"/>
      <c r="D419" s="37"/>
      <c r="E419" s="36"/>
      <c r="F419" s="36"/>
      <c r="G419" s="36" t="str">
        <f t="shared" si="8"/>
        <v/>
      </c>
      <c r="H419" s="37"/>
    </row>
    <row r="420">
      <c r="A420" s="37"/>
      <c r="B420" s="37"/>
      <c r="C420" s="37"/>
      <c r="D420" s="37"/>
      <c r="E420" s="36"/>
      <c r="F420" s="36"/>
      <c r="G420" s="36" t="str">
        <f t="shared" si="8"/>
        <v/>
      </c>
      <c r="H420" s="37"/>
    </row>
    <row r="421">
      <c r="A421" s="37"/>
      <c r="B421" s="37"/>
      <c r="C421" s="37"/>
      <c r="D421" s="37"/>
      <c r="E421" s="36"/>
      <c r="F421" s="36"/>
      <c r="G421" s="36" t="str">
        <f t="shared" si="8"/>
        <v/>
      </c>
      <c r="H421" s="37"/>
    </row>
    <row r="422">
      <c r="A422" s="37"/>
      <c r="B422" s="37"/>
      <c r="C422" s="37"/>
      <c r="D422" s="37"/>
      <c r="E422" s="36"/>
      <c r="F422" s="36"/>
      <c r="G422" s="36" t="str">
        <f t="shared" si="8"/>
        <v/>
      </c>
      <c r="H422" s="37"/>
    </row>
    <row r="423">
      <c r="A423" s="37"/>
      <c r="B423" s="37"/>
      <c r="C423" s="37"/>
      <c r="D423" s="37"/>
      <c r="E423" s="36"/>
      <c r="F423" s="36"/>
      <c r="G423" s="36" t="str">
        <f t="shared" si="8"/>
        <v/>
      </c>
      <c r="H423" s="37"/>
    </row>
    <row r="424">
      <c r="A424" s="37"/>
      <c r="B424" s="37"/>
      <c r="C424" s="37"/>
      <c r="D424" s="37"/>
      <c r="E424" s="36"/>
      <c r="F424" s="36"/>
      <c r="G424" s="36" t="str">
        <f t="shared" si="8"/>
        <v/>
      </c>
      <c r="H424" s="37"/>
    </row>
    <row r="425">
      <c r="A425" s="37"/>
      <c r="B425" s="37"/>
      <c r="C425" s="37"/>
      <c r="D425" s="37"/>
      <c r="E425" s="36"/>
      <c r="F425" s="36"/>
      <c r="G425" s="36" t="str">
        <f t="shared" si="8"/>
        <v/>
      </c>
      <c r="H425" s="37"/>
    </row>
    <row r="426">
      <c r="A426" s="37"/>
      <c r="B426" s="37"/>
      <c r="C426" s="37"/>
      <c r="D426" s="37"/>
      <c r="E426" s="36"/>
      <c r="F426" s="36"/>
      <c r="G426" s="36" t="str">
        <f t="shared" si="8"/>
        <v/>
      </c>
      <c r="H426" s="37"/>
    </row>
    <row r="427">
      <c r="A427" s="37"/>
      <c r="B427" s="37"/>
      <c r="C427" s="37"/>
      <c r="D427" s="37"/>
      <c r="E427" s="36"/>
      <c r="F427" s="36"/>
      <c r="G427" s="36" t="str">
        <f t="shared" si="8"/>
        <v/>
      </c>
      <c r="H427" s="37"/>
    </row>
    <row r="428">
      <c r="A428" s="37"/>
      <c r="B428" s="37"/>
      <c r="C428" s="37"/>
      <c r="D428" s="37"/>
      <c r="E428" s="36"/>
      <c r="F428" s="36"/>
      <c r="G428" s="36" t="str">
        <f t="shared" si="8"/>
        <v/>
      </c>
      <c r="H428" s="37"/>
    </row>
    <row r="429">
      <c r="A429" s="37"/>
      <c r="B429" s="37"/>
      <c r="C429" s="37"/>
      <c r="D429" s="37"/>
      <c r="E429" s="36"/>
      <c r="F429" s="36"/>
      <c r="G429" s="36" t="str">
        <f t="shared" si="8"/>
        <v/>
      </c>
      <c r="H429" s="37"/>
    </row>
    <row r="430">
      <c r="A430" s="37"/>
      <c r="B430" s="37"/>
      <c r="C430" s="37"/>
      <c r="D430" s="37"/>
      <c r="E430" s="36"/>
      <c r="F430" s="36"/>
      <c r="G430" s="36" t="str">
        <f t="shared" si="8"/>
        <v/>
      </c>
      <c r="H430" s="37"/>
    </row>
    <row r="431">
      <c r="A431" s="37"/>
      <c r="B431" s="37"/>
      <c r="C431" s="37"/>
      <c r="D431" s="37"/>
      <c r="E431" s="36"/>
      <c r="F431" s="36"/>
      <c r="G431" s="36" t="str">
        <f t="shared" si="8"/>
        <v/>
      </c>
      <c r="H431" s="37"/>
    </row>
    <row r="432">
      <c r="A432" s="37"/>
      <c r="B432" s="37"/>
      <c r="C432" s="37"/>
      <c r="D432" s="37"/>
      <c r="E432" s="36"/>
      <c r="F432" s="36"/>
      <c r="G432" s="36" t="str">
        <f t="shared" si="8"/>
        <v/>
      </c>
      <c r="H432" s="37"/>
    </row>
    <row r="433">
      <c r="A433" s="37"/>
      <c r="B433" s="37"/>
      <c r="C433" s="37"/>
      <c r="D433" s="37"/>
      <c r="E433" s="36"/>
      <c r="F433" s="36"/>
      <c r="G433" s="36" t="str">
        <f t="shared" si="8"/>
        <v/>
      </c>
      <c r="H433" s="37"/>
    </row>
    <row r="434">
      <c r="A434" s="37"/>
      <c r="B434" s="37"/>
      <c r="C434" s="37"/>
      <c r="D434" s="37"/>
      <c r="E434" s="36"/>
      <c r="F434" s="36"/>
      <c r="G434" s="36" t="str">
        <f t="shared" si="8"/>
        <v/>
      </c>
      <c r="H434" s="37"/>
    </row>
    <row r="435">
      <c r="A435" s="37"/>
      <c r="B435" s="37"/>
      <c r="C435" s="37"/>
      <c r="D435" s="37"/>
      <c r="E435" s="36"/>
      <c r="F435" s="36"/>
      <c r="G435" s="36" t="str">
        <f t="shared" si="8"/>
        <v/>
      </c>
      <c r="H435" s="37"/>
    </row>
    <row r="436">
      <c r="A436" s="37"/>
      <c r="B436" s="37"/>
      <c r="C436" s="37"/>
      <c r="D436" s="37"/>
      <c r="E436" s="36"/>
      <c r="F436" s="36"/>
      <c r="G436" s="36" t="str">
        <f t="shared" si="8"/>
        <v/>
      </c>
      <c r="H436" s="37"/>
    </row>
    <row r="437">
      <c r="A437" s="37"/>
      <c r="B437" s="37"/>
      <c r="C437" s="37"/>
      <c r="D437" s="37"/>
      <c r="E437" s="36"/>
      <c r="F437" s="36"/>
      <c r="G437" s="36" t="str">
        <f t="shared" si="8"/>
        <v/>
      </c>
      <c r="H437" s="37"/>
    </row>
    <row r="438">
      <c r="A438" s="37"/>
      <c r="B438" s="37"/>
      <c r="C438" s="37"/>
      <c r="D438" s="37"/>
      <c r="E438" s="36"/>
      <c r="F438" s="36"/>
      <c r="G438" s="36" t="str">
        <f t="shared" si="8"/>
        <v/>
      </c>
      <c r="H438" s="37"/>
    </row>
    <row r="439">
      <c r="A439" s="37"/>
      <c r="B439" s="37"/>
      <c r="C439" s="37"/>
      <c r="D439" s="37"/>
      <c r="E439" s="36"/>
      <c r="F439" s="36"/>
      <c r="G439" s="36" t="str">
        <f t="shared" si="8"/>
        <v/>
      </c>
      <c r="H439" s="37"/>
    </row>
    <row r="440">
      <c r="A440" s="37"/>
      <c r="B440" s="37"/>
      <c r="C440" s="37"/>
      <c r="D440" s="37"/>
      <c r="E440" s="36"/>
      <c r="F440" s="36"/>
      <c r="G440" s="36" t="str">
        <f t="shared" si="8"/>
        <v/>
      </c>
      <c r="H440" s="37"/>
    </row>
    <row r="441">
      <c r="A441" s="37"/>
      <c r="B441" s="37"/>
      <c r="C441" s="37"/>
      <c r="D441" s="37"/>
      <c r="E441" s="36"/>
      <c r="F441" s="36"/>
      <c r="G441" s="36" t="str">
        <f t="shared" si="8"/>
        <v/>
      </c>
      <c r="H441" s="37"/>
    </row>
    <row r="442">
      <c r="A442" s="37"/>
      <c r="B442" s="37"/>
      <c r="C442" s="37"/>
      <c r="D442" s="37"/>
      <c r="E442" s="36"/>
      <c r="F442" s="36"/>
      <c r="G442" s="36" t="str">
        <f t="shared" si="8"/>
        <v/>
      </c>
      <c r="H442" s="37"/>
    </row>
    <row r="443">
      <c r="A443" s="37"/>
      <c r="B443" s="37"/>
      <c r="C443" s="37"/>
      <c r="D443" s="37"/>
      <c r="E443" s="36"/>
      <c r="F443" s="36"/>
      <c r="G443" s="36" t="str">
        <f t="shared" si="8"/>
        <v/>
      </c>
      <c r="H443" s="37"/>
    </row>
    <row r="444">
      <c r="A444" s="37"/>
      <c r="B444" s="37"/>
      <c r="C444" s="37"/>
      <c r="D444" s="37"/>
      <c r="E444" s="36"/>
      <c r="F444" s="36"/>
      <c r="G444" s="36" t="str">
        <f t="shared" si="8"/>
        <v/>
      </c>
      <c r="H444" s="37"/>
    </row>
    <row r="445">
      <c r="A445" s="37"/>
      <c r="B445" s="37"/>
      <c r="C445" s="37"/>
      <c r="D445" s="37"/>
      <c r="E445" s="36"/>
      <c r="F445" s="36"/>
      <c r="G445" s="36" t="str">
        <f t="shared" si="8"/>
        <v/>
      </c>
      <c r="H445" s="37"/>
    </row>
    <row r="446">
      <c r="A446" s="37"/>
      <c r="B446" s="37"/>
      <c r="C446" s="37"/>
      <c r="D446" s="37"/>
      <c r="E446" s="36"/>
      <c r="F446" s="36"/>
      <c r="G446" s="36" t="str">
        <f t="shared" si="8"/>
        <v/>
      </c>
      <c r="H446" s="37"/>
    </row>
    <row r="447">
      <c r="A447" s="37"/>
      <c r="B447" s="37"/>
      <c r="C447" s="37"/>
      <c r="D447" s="37"/>
      <c r="E447" s="36"/>
      <c r="F447" s="36"/>
      <c r="G447" s="36" t="str">
        <f t="shared" si="8"/>
        <v/>
      </c>
      <c r="H447" s="37"/>
    </row>
    <row r="448">
      <c r="A448" s="37"/>
      <c r="B448" s="37"/>
      <c r="C448" s="37"/>
      <c r="D448" s="37"/>
      <c r="E448" s="36"/>
      <c r="F448" s="36"/>
      <c r="G448" s="36" t="str">
        <f t="shared" si="8"/>
        <v/>
      </c>
      <c r="H448" s="37"/>
    </row>
    <row r="449">
      <c r="A449" s="37"/>
      <c r="B449" s="37"/>
      <c r="C449" s="37"/>
      <c r="D449" s="37"/>
      <c r="E449" s="36"/>
      <c r="F449" s="36"/>
      <c r="G449" s="36" t="str">
        <f t="shared" si="8"/>
        <v/>
      </c>
      <c r="H449" s="37"/>
    </row>
    <row r="450">
      <c r="A450" s="37"/>
      <c r="B450" s="37"/>
      <c r="C450" s="37"/>
      <c r="D450" s="37"/>
      <c r="E450" s="36"/>
      <c r="F450" s="36"/>
      <c r="G450" s="36" t="str">
        <f t="shared" si="8"/>
        <v/>
      </c>
      <c r="H450" s="37"/>
    </row>
    <row r="451">
      <c r="A451" s="37"/>
      <c r="B451" s="37"/>
      <c r="C451" s="37"/>
      <c r="D451" s="37"/>
      <c r="E451" s="36"/>
      <c r="F451" s="36"/>
      <c r="G451" s="36" t="str">
        <f t="shared" si="8"/>
        <v/>
      </c>
      <c r="H451" s="37"/>
    </row>
    <row r="452">
      <c r="A452" s="37"/>
      <c r="B452" s="37"/>
      <c r="C452" s="37"/>
      <c r="D452" s="37"/>
      <c r="E452" s="36"/>
      <c r="F452" s="36"/>
      <c r="G452" s="36" t="str">
        <f t="shared" si="8"/>
        <v/>
      </c>
      <c r="H452" s="37"/>
    </row>
    <row r="453">
      <c r="A453" s="37"/>
      <c r="B453" s="37"/>
      <c r="C453" s="37"/>
      <c r="D453" s="37"/>
      <c r="E453" s="36"/>
      <c r="F453" s="36"/>
      <c r="G453" s="36" t="str">
        <f t="shared" si="8"/>
        <v/>
      </c>
      <c r="H453" s="37"/>
    </row>
    <row r="454">
      <c r="A454" s="37"/>
      <c r="B454" s="37"/>
      <c r="C454" s="37"/>
      <c r="D454" s="37"/>
      <c r="E454" s="36"/>
      <c r="F454" s="36"/>
      <c r="G454" s="36" t="str">
        <f t="shared" si="8"/>
        <v/>
      </c>
      <c r="H454" s="37"/>
    </row>
    <row r="455">
      <c r="A455" s="37"/>
      <c r="B455" s="37"/>
      <c r="C455" s="37"/>
      <c r="D455" s="37"/>
      <c r="E455" s="36"/>
      <c r="F455" s="36"/>
      <c r="G455" s="36" t="str">
        <f t="shared" si="8"/>
        <v/>
      </c>
      <c r="H455" s="37"/>
    </row>
    <row r="456">
      <c r="A456" s="37"/>
      <c r="B456" s="37"/>
      <c r="C456" s="37"/>
      <c r="D456" s="37"/>
      <c r="E456" s="36"/>
      <c r="F456" s="36"/>
      <c r="G456" s="36" t="str">
        <f t="shared" si="8"/>
        <v/>
      </c>
      <c r="H456" s="37"/>
    </row>
    <row r="457">
      <c r="A457" s="37"/>
      <c r="B457" s="37"/>
      <c r="C457" s="37"/>
      <c r="D457" s="37"/>
      <c r="E457" s="36"/>
      <c r="F457" s="36"/>
      <c r="G457" s="36" t="str">
        <f t="shared" si="8"/>
        <v/>
      </c>
      <c r="H457" s="37"/>
    </row>
    <row r="458">
      <c r="A458" s="37"/>
      <c r="B458" s="37"/>
      <c r="C458" s="37"/>
      <c r="D458" s="37"/>
      <c r="E458" s="36"/>
      <c r="F458" s="36"/>
      <c r="G458" s="36" t="str">
        <f t="shared" si="8"/>
        <v/>
      </c>
      <c r="H458" s="37"/>
    </row>
    <row r="459">
      <c r="A459" s="37"/>
      <c r="B459" s="37"/>
      <c r="C459" s="37"/>
      <c r="D459" s="37"/>
      <c r="E459" s="36"/>
      <c r="F459" s="36"/>
      <c r="G459" s="36" t="str">
        <f t="shared" si="8"/>
        <v/>
      </c>
      <c r="H459" s="37"/>
    </row>
    <row r="460">
      <c r="A460" s="37"/>
      <c r="B460" s="37"/>
      <c r="C460" s="37"/>
      <c r="D460" s="37"/>
      <c r="E460" s="36"/>
      <c r="F460" s="36"/>
      <c r="G460" s="36" t="str">
        <f t="shared" si="8"/>
        <v/>
      </c>
      <c r="H460" s="37"/>
    </row>
    <row r="461">
      <c r="A461" s="37"/>
      <c r="B461" s="37"/>
      <c r="C461" s="37"/>
      <c r="D461" s="37"/>
      <c r="E461" s="36"/>
      <c r="F461" s="36"/>
      <c r="G461" s="36" t="str">
        <f t="shared" si="8"/>
        <v/>
      </c>
      <c r="H461" s="37"/>
    </row>
    <row r="462">
      <c r="A462" s="37"/>
      <c r="B462" s="37"/>
      <c r="C462" s="37"/>
      <c r="D462" s="37"/>
      <c r="E462" s="36"/>
      <c r="F462" s="36"/>
      <c r="G462" s="36" t="str">
        <f t="shared" si="8"/>
        <v/>
      </c>
      <c r="H462" s="37"/>
    </row>
    <row r="463">
      <c r="A463" s="37"/>
      <c r="B463" s="37"/>
      <c r="C463" s="37"/>
      <c r="D463" s="37"/>
      <c r="E463" s="36"/>
      <c r="F463" s="36"/>
      <c r="G463" s="36" t="str">
        <f t="shared" si="8"/>
        <v/>
      </c>
      <c r="H463" s="37"/>
    </row>
    <row r="464">
      <c r="A464" s="37"/>
      <c r="B464" s="37"/>
      <c r="C464" s="37"/>
      <c r="D464" s="37"/>
      <c r="E464" s="36"/>
      <c r="F464" s="36"/>
      <c r="G464" s="36" t="str">
        <f t="shared" si="8"/>
        <v/>
      </c>
      <c r="H464" s="37"/>
    </row>
    <row r="465">
      <c r="A465" s="37"/>
      <c r="B465" s="37"/>
      <c r="C465" s="37"/>
      <c r="D465" s="37"/>
      <c r="E465" s="36"/>
      <c r="F465" s="36"/>
      <c r="G465" s="36" t="str">
        <f t="shared" si="8"/>
        <v/>
      </c>
      <c r="H465" s="37"/>
    </row>
    <row r="466">
      <c r="A466" s="37"/>
      <c r="B466" s="37"/>
      <c r="C466" s="37"/>
      <c r="D466" s="37"/>
      <c r="E466" s="36"/>
      <c r="F466" s="36"/>
      <c r="G466" s="36" t="str">
        <f t="shared" si="8"/>
        <v/>
      </c>
      <c r="H466" s="37"/>
    </row>
    <row r="467">
      <c r="A467" s="37"/>
      <c r="B467" s="37"/>
      <c r="C467" s="37"/>
      <c r="D467" s="37"/>
      <c r="E467" s="36"/>
      <c r="F467" s="36"/>
      <c r="G467" s="36" t="str">
        <f t="shared" si="8"/>
        <v/>
      </c>
      <c r="H467" s="37"/>
    </row>
    <row r="468">
      <c r="A468" s="37"/>
      <c r="B468" s="37"/>
      <c r="C468" s="37"/>
      <c r="D468" s="37"/>
      <c r="E468" s="36"/>
      <c r="F468" s="36"/>
      <c r="G468" s="36" t="str">
        <f t="shared" si="8"/>
        <v/>
      </c>
      <c r="H468" s="37"/>
    </row>
    <row r="469">
      <c r="A469" s="37"/>
      <c r="B469" s="37"/>
      <c r="C469" s="37"/>
      <c r="D469" s="37"/>
      <c r="E469" s="36"/>
      <c r="F469" s="36"/>
      <c r="G469" s="36" t="str">
        <f t="shared" si="8"/>
        <v/>
      </c>
      <c r="H469" s="37"/>
    </row>
    <row r="470">
      <c r="A470" s="37"/>
      <c r="B470" s="37"/>
      <c r="C470" s="37"/>
      <c r="D470" s="37"/>
      <c r="E470" s="36"/>
      <c r="F470" s="36"/>
      <c r="G470" s="36" t="str">
        <f t="shared" si="8"/>
        <v/>
      </c>
      <c r="H470" s="37"/>
    </row>
    <row r="471">
      <c r="A471" s="37"/>
      <c r="B471" s="37"/>
      <c r="C471" s="37"/>
      <c r="D471" s="37"/>
      <c r="E471" s="36"/>
      <c r="F471" s="36"/>
      <c r="G471" s="36" t="str">
        <f t="shared" si="8"/>
        <v/>
      </c>
      <c r="H471" s="37"/>
    </row>
    <row r="472">
      <c r="A472" s="37"/>
      <c r="B472" s="37"/>
      <c r="C472" s="37"/>
      <c r="D472" s="37"/>
      <c r="E472" s="36"/>
      <c r="F472" s="36"/>
      <c r="G472" s="36" t="str">
        <f t="shared" si="8"/>
        <v/>
      </c>
      <c r="H472" s="37"/>
    </row>
    <row r="473">
      <c r="A473" s="37"/>
      <c r="B473" s="37"/>
      <c r="C473" s="37"/>
      <c r="D473" s="37"/>
      <c r="E473" s="36"/>
      <c r="F473" s="36"/>
      <c r="G473" s="36" t="str">
        <f t="shared" si="8"/>
        <v/>
      </c>
      <c r="H473" s="37"/>
    </row>
    <row r="474">
      <c r="A474" s="37"/>
      <c r="B474" s="37"/>
      <c r="C474" s="37"/>
      <c r="D474" s="37"/>
      <c r="E474" s="36"/>
      <c r="F474" s="36"/>
      <c r="G474" s="36" t="str">
        <f t="shared" si="8"/>
        <v/>
      </c>
      <c r="H474" s="37"/>
    </row>
    <row r="475">
      <c r="A475" s="37"/>
      <c r="B475" s="37"/>
      <c r="C475" s="37"/>
      <c r="D475" s="37"/>
      <c r="E475" s="36"/>
      <c r="F475" s="36"/>
      <c r="G475" s="36" t="str">
        <f t="shared" si="8"/>
        <v/>
      </c>
      <c r="H475" s="37"/>
    </row>
    <row r="476">
      <c r="A476" s="37"/>
      <c r="B476" s="37"/>
      <c r="C476" s="37"/>
      <c r="D476" s="37"/>
      <c r="E476" s="36"/>
      <c r="F476" s="36"/>
      <c r="G476" s="36" t="str">
        <f t="shared" si="8"/>
        <v/>
      </c>
      <c r="H476" s="37"/>
    </row>
    <row r="477">
      <c r="A477" s="37"/>
      <c r="B477" s="37"/>
      <c r="C477" s="37"/>
      <c r="D477" s="37"/>
      <c r="E477" s="36"/>
      <c r="F477" s="36"/>
      <c r="G477" s="36" t="str">
        <f t="shared" si="8"/>
        <v/>
      </c>
      <c r="H477" s="37"/>
    </row>
    <row r="478">
      <c r="A478" s="37"/>
      <c r="B478" s="37"/>
      <c r="C478" s="37"/>
      <c r="D478" s="37"/>
      <c r="E478" s="36"/>
      <c r="F478" s="36"/>
      <c r="G478" s="36" t="str">
        <f t="shared" si="8"/>
        <v/>
      </c>
      <c r="H478" s="37"/>
    </row>
    <row r="479">
      <c r="A479" s="37"/>
      <c r="B479" s="37"/>
      <c r="C479" s="37"/>
      <c r="D479" s="37"/>
      <c r="E479" s="36"/>
      <c r="F479" s="36"/>
      <c r="G479" s="36" t="str">
        <f t="shared" si="8"/>
        <v/>
      </c>
      <c r="H479" s="37"/>
    </row>
    <row r="480">
      <c r="A480" s="37"/>
      <c r="B480" s="37"/>
      <c r="C480" s="37"/>
      <c r="D480" s="37"/>
      <c r="E480" s="36"/>
      <c r="F480" s="36"/>
      <c r="G480" s="36" t="str">
        <f t="shared" si="8"/>
        <v/>
      </c>
      <c r="H480" s="37"/>
    </row>
    <row r="481">
      <c r="A481" s="37"/>
      <c r="B481" s="37"/>
      <c r="C481" s="37"/>
      <c r="D481" s="37"/>
      <c r="E481" s="36"/>
      <c r="F481" s="36"/>
      <c r="G481" s="36" t="str">
        <f t="shared" si="8"/>
        <v/>
      </c>
      <c r="H481" s="37"/>
    </row>
    <row r="482">
      <c r="A482" s="37"/>
      <c r="B482" s="37"/>
      <c r="C482" s="37"/>
      <c r="D482" s="37"/>
      <c r="E482" s="36"/>
      <c r="F482" s="36"/>
      <c r="G482" s="36" t="str">
        <f t="shared" si="8"/>
        <v/>
      </c>
      <c r="H482" s="37"/>
    </row>
    <row r="483">
      <c r="A483" s="37"/>
      <c r="B483" s="37"/>
      <c r="C483" s="37"/>
      <c r="D483" s="37"/>
      <c r="E483" s="36"/>
      <c r="F483" s="36"/>
      <c r="G483" s="36" t="str">
        <f t="shared" si="8"/>
        <v/>
      </c>
      <c r="H483" s="37"/>
    </row>
    <row r="484">
      <c r="A484" s="37"/>
      <c r="B484" s="37"/>
      <c r="C484" s="37"/>
      <c r="D484" s="37"/>
      <c r="E484" s="36"/>
      <c r="F484" s="36"/>
      <c r="G484" s="36" t="str">
        <f t="shared" si="8"/>
        <v/>
      </c>
      <c r="H484" s="37"/>
    </row>
    <row r="485">
      <c r="A485" s="37"/>
      <c r="B485" s="37"/>
      <c r="C485" s="37"/>
      <c r="D485" s="37"/>
      <c r="E485" s="36"/>
      <c r="F485" s="36"/>
      <c r="G485" s="36" t="str">
        <f t="shared" si="8"/>
        <v/>
      </c>
      <c r="H485" s="37"/>
    </row>
    <row r="486">
      <c r="A486" s="37"/>
      <c r="B486" s="37"/>
      <c r="C486" s="37"/>
      <c r="D486" s="37"/>
      <c r="E486" s="36"/>
      <c r="F486" s="36"/>
      <c r="G486" s="36" t="str">
        <f t="shared" si="8"/>
        <v/>
      </c>
      <c r="H486" s="37"/>
    </row>
    <row r="487">
      <c r="A487" s="37"/>
      <c r="B487" s="37"/>
      <c r="C487" s="37"/>
      <c r="D487" s="37"/>
      <c r="E487" s="36"/>
      <c r="F487" s="36"/>
      <c r="G487" s="36" t="str">
        <f t="shared" si="8"/>
        <v/>
      </c>
      <c r="H487" s="37"/>
    </row>
    <row r="488">
      <c r="A488" s="37"/>
      <c r="B488" s="37"/>
      <c r="C488" s="37"/>
      <c r="D488" s="37"/>
      <c r="E488" s="36"/>
      <c r="F488" s="36"/>
      <c r="G488" s="36" t="str">
        <f t="shared" si="8"/>
        <v/>
      </c>
      <c r="H488" s="37"/>
    </row>
    <row r="489">
      <c r="A489" s="37"/>
      <c r="B489" s="37"/>
      <c r="C489" s="37"/>
      <c r="D489" s="37"/>
      <c r="E489" s="36"/>
      <c r="F489" s="36"/>
      <c r="G489" s="36" t="str">
        <f t="shared" si="8"/>
        <v/>
      </c>
      <c r="H489" s="37"/>
    </row>
    <row r="490">
      <c r="A490" s="37"/>
      <c r="B490" s="37"/>
      <c r="C490" s="37"/>
      <c r="D490" s="37"/>
      <c r="E490" s="36"/>
      <c r="F490" s="36"/>
      <c r="G490" s="36" t="str">
        <f t="shared" si="8"/>
        <v/>
      </c>
      <c r="H490" s="37"/>
    </row>
    <row r="491">
      <c r="A491" s="37"/>
      <c r="B491" s="37"/>
      <c r="C491" s="37"/>
      <c r="D491" s="37"/>
      <c r="E491" s="36"/>
      <c r="F491" s="36"/>
      <c r="G491" s="36" t="str">
        <f t="shared" si="8"/>
        <v/>
      </c>
      <c r="H491" s="37"/>
    </row>
    <row r="492">
      <c r="A492" s="37"/>
      <c r="B492" s="37"/>
      <c r="C492" s="37"/>
      <c r="D492" s="37"/>
      <c r="E492" s="36"/>
      <c r="F492" s="36"/>
      <c r="G492" s="36" t="str">
        <f t="shared" si="8"/>
        <v/>
      </c>
      <c r="H492" s="37"/>
    </row>
    <row r="493">
      <c r="A493" s="37"/>
      <c r="B493" s="37"/>
      <c r="C493" s="37"/>
      <c r="D493" s="37"/>
      <c r="E493" s="36"/>
      <c r="F493" s="36"/>
      <c r="G493" s="36" t="str">
        <f t="shared" si="8"/>
        <v/>
      </c>
      <c r="H493" s="37"/>
    </row>
    <row r="494">
      <c r="A494" s="37"/>
      <c r="B494" s="37"/>
      <c r="C494" s="37"/>
      <c r="D494" s="37"/>
      <c r="E494" s="36"/>
      <c r="F494" s="36"/>
      <c r="G494" s="36" t="str">
        <f t="shared" si="8"/>
        <v/>
      </c>
      <c r="H494" s="37"/>
    </row>
    <row r="495">
      <c r="A495" s="37"/>
      <c r="B495" s="37"/>
      <c r="C495" s="37"/>
      <c r="D495" s="37"/>
      <c r="E495" s="36"/>
      <c r="F495" s="36"/>
      <c r="G495" s="36" t="str">
        <f t="shared" si="8"/>
        <v/>
      </c>
      <c r="H495" s="37"/>
    </row>
    <row r="496">
      <c r="A496" s="37"/>
      <c r="B496" s="37"/>
      <c r="C496" s="37"/>
      <c r="D496" s="37"/>
      <c r="E496" s="36"/>
      <c r="F496" s="36"/>
      <c r="G496" s="36" t="str">
        <f t="shared" si="8"/>
        <v/>
      </c>
      <c r="H496" s="37"/>
    </row>
    <row r="497">
      <c r="A497" s="37"/>
      <c r="B497" s="37"/>
      <c r="C497" s="37"/>
      <c r="D497" s="37"/>
      <c r="E497" s="36"/>
      <c r="F497" s="36"/>
      <c r="G497" s="36" t="str">
        <f t="shared" si="8"/>
        <v/>
      </c>
      <c r="H497" s="37"/>
    </row>
    <row r="498">
      <c r="A498" s="37"/>
      <c r="B498" s="37"/>
      <c r="C498" s="37"/>
      <c r="D498" s="37"/>
      <c r="E498" s="36"/>
      <c r="F498" s="36"/>
      <c r="G498" s="36" t="str">
        <f t="shared" si="8"/>
        <v/>
      </c>
      <c r="H498" s="37"/>
    </row>
    <row r="499">
      <c r="A499" s="37"/>
      <c r="B499" s="37"/>
      <c r="C499" s="37"/>
      <c r="D499" s="37"/>
      <c r="E499" s="36"/>
      <c r="F499" s="36"/>
      <c r="G499" s="36" t="str">
        <f t="shared" si="8"/>
        <v/>
      </c>
      <c r="H499" s="37"/>
    </row>
    <row r="500">
      <c r="A500" s="37"/>
      <c r="B500" s="37"/>
      <c r="C500" s="37"/>
      <c r="D500" s="37"/>
      <c r="E500" s="36"/>
      <c r="F500" s="36"/>
      <c r="G500" s="36" t="str">
        <f t="shared" si="8"/>
        <v/>
      </c>
      <c r="H500" s="37"/>
    </row>
    <row r="501">
      <c r="A501" s="37"/>
      <c r="B501" s="37"/>
      <c r="C501" s="37"/>
      <c r="D501" s="37"/>
      <c r="E501" s="36"/>
      <c r="F501" s="36"/>
      <c r="G501" s="36" t="str">
        <f t="shared" si="8"/>
        <v/>
      </c>
      <c r="H501" s="37"/>
    </row>
    <row r="502">
      <c r="A502" s="37"/>
      <c r="B502" s="37"/>
      <c r="C502" s="37"/>
      <c r="D502" s="37"/>
      <c r="E502" s="36"/>
      <c r="F502" s="36"/>
      <c r="G502" s="36" t="str">
        <f t="shared" si="8"/>
        <v/>
      </c>
      <c r="H502" s="37"/>
    </row>
    <row r="503">
      <c r="A503" s="37"/>
      <c r="B503" s="37"/>
      <c r="C503" s="37"/>
      <c r="D503" s="37"/>
      <c r="E503" s="36"/>
      <c r="F503" s="36"/>
      <c r="G503" s="36" t="str">
        <f t="shared" si="8"/>
        <v/>
      </c>
      <c r="H503" s="37"/>
    </row>
    <row r="504">
      <c r="A504" s="37"/>
      <c r="B504" s="37"/>
      <c r="C504" s="37"/>
      <c r="D504" s="37"/>
      <c r="E504" s="36"/>
      <c r="F504" s="36"/>
      <c r="G504" s="36" t="str">
        <f t="shared" si="8"/>
        <v/>
      </c>
      <c r="H504" s="37"/>
    </row>
    <row r="505">
      <c r="E505" s="6"/>
      <c r="F505" s="6"/>
      <c r="G505" s="6"/>
    </row>
    <row r="506">
      <c r="A506" s="25" t="s">
        <v>1018</v>
      </c>
      <c r="B506" s="64"/>
      <c r="C506" s="64"/>
      <c r="D506" s="64"/>
      <c r="E506" s="59">
        <f t="shared" ref="E506:G506" si="9">SUM(E21:E504)</f>
        <v>1716100.16</v>
      </c>
      <c r="F506" s="59">
        <f t="shared" si="9"/>
        <v>0</v>
      </c>
      <c r="G506" s="59">
        <f t="shared" si="9"/>
        <v>1716100.16</v>
      </c>
      <c r="H506" s="64"/>
    </row>
  </sheetData>
  <mergeCells count="3">
    <mergeCell ref="A1:H1"/>
    <mergeCell ref="A3:D3"/>
    <mergeCell ref="A19:H19"/>
  </mergeCells>
  <dataValidations>
    <dataValidation type="list" allowBlank="1" sqref="C504">
      <formula1>Settings!$E$15:$E$35</formula1>
    </dataValidation>
    <dataValidation type="list" allowBlank="1" sqref="C20:C502">
      <formula1>Settings!$E$15:$E$38</formula1>
    </dataValidation>
    <dataValidation type="list" allowBlank="1" sqref="D20:D502">
      <formula1>Settings!$C$15:$C$30</formula1>
    </dataValidation>
    <dataValidation type="list" allowBlank="1" sqref="D503">
      <formula1>Settings!$C$15:$C$31</formula1>
    </dataValidation>
    <dataValidation type="list" allowBlank="1" sqref="D504">
      <formula1>Settings!$C$15:$C$17</formula1>
    </dataValidation>
    <dataValidation type="list" allowBlank="1" sqref="C503">
      <formula1>Settings!$E$15:$E$36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2343</v>
      </c>
    </row>
    <row r="3">
      <c r="A3" s="33" t="s">
        <v>95</v>
      </c>
      <c r="B3" s="33" t="s">
        <v>23</v>
      </c>
      <c r="C3" s="33" t="s">
        <v>24</v>
      </c>
      <c r="D3" s="33" t="s">
        <v>25</v>
      </c>
      <c r="E3" s="33" t="s">
        <v>26</v>
      </c>
      <c r="F3" s="33" t="s">
        <v>27</v>
      </c>
      <c r="G3" s="33" t="s">
        <v>96</v>
      </c>
    </row>
    <row r="4">
      <c r="A4" s="34" t="s">
        <v>72</v>
      </c>
      <c r="B4" s="35">
        <v>317680.70999999996</v>
      </c>
      <c r="C4" s="66">
        <v>625732.89</v>
      </c>
      <c r="D4" s="66">
        <v>2757.19</v>
      </c>
      <c r="E4" s="66">
        <v>506544.37</v>
      </c>
      <c r="F4" s="36">
        <f t="shared" ref="F4:F7" si="1">B4+C4-D4-E4</f>
        <v>434112.04</v>
      </c>
      <c r="G4" s="37"/>
    </row>
    <row r="5">
      <c r="A5" s="34" t="s">
        <v>74</v>
      </c>
      <c r="B5" s="35">
        <v>700593.4</v>
      </c>
      <c r="C5" s="66">
        <v>192213.31</v>
      </c>
      <c r="D5" s="66">
        <v>8.05</v>
      </c>
      <c r="E5" s="66">
        <v>700000.0</v>
      </c>
      <c r="F5" s="36">
        <f t="shared" si="1"/>
        <v>192798.66</v>
      </c>
      <c r="G5" s="37"/>
    </row>
    <row r="6">
      <c r="A6" s="34" t="s">
        <v>76</v>
      </c>
      <c r="B6" s="35">
        <v>555448.03</v>
      </c>
      <c r="C6" s="66">
        <v>587609.05</v>
      </c>
      <c r="D6" s="66">
        <v>345.0</v>
      </c>
      <c r="E6" s="67">
        <v>0.0</v>
      </c>
      <c r="F6" s="36">
        <f t="shared" si="1"/>
        <v>1142712.08</v>
      </c>
      <c r="G6" s="37"/>
    </row>
    <row r="7">
      <c r="A7" s="34" t="s">
        <v>97</v>
      </c>
      <c r="B7" s="35">
        <v>297164.1199999999</v>
      </c>
      <c r="C7" s="66">
        <v>1423682.62</v>
      </c>
      <c r="D7" s="66">
        <v>454.25</v>
      </c>
      <c r="E7" s="66">
        <v>1004802.42</v>
      </c>
      <c r="F7" s="36">
        <f t="shared" si="1"/>
        <v>715590.07</v>
      </c>
      <c r="G7" s="37"/>
    </row>
    <row r="8">
      <c r="A8" s="37"/>
      <c r="B8" s="36"/>
      <c r="C8" s="36"/>
      <c r="D8" s="36"/>
      <c r="E8" s="36"/>
      <c r="F8" s="36"/>
      <c r="G8" s="37"/>
    </row>
    <row r="9">
      <c r="A9" s="38" t="s">
        <v>98</v>
      </c>
      <c r="B9" s="39">
        <f t="shared" ref="B9:F9" si="2">SUM(B4:B7)</f>
        <v>1870886.26</v>
      </c>
      <c r="C9" s="39">
        <f t="shared" si="2"/>
        <v>2829237.87</v>
      </c>
      <c r="D9" s="39">
        <f t="shared" si="2"/>
        <v>3564.49</v>
      </c>
      <c r="E9" s="39">
        <f t="shared" si="2"/>
        <v>2211346.79</v>
      </c>
      <c r="F9" s="39">
        <f t="shared" si="2"/>
        <v>2485212.85</v>
      </c>
      <c r="G9" s="40"/>
    </row>
    <row r="10">
      <c r="B10" s="6"/>
      <c r="C10" s="6"/>
      <c r="D10" s="6"/>
      <c r="E10" s="6"/>
      <c r="F10" s="6"/>
    </row>
    <row r="11">
      <c r="A11" s="28" t="s">
        <v>99</v>
      </c>
    </row>
    <row r="12">
      <c r="A12" s="41" t="s">
        <v>95</v>
      </c>
      <c r="B12" s="42" t="s">
        <v>100</v>
      </c>
      <c r="C12" s="42" t="s">
        <v>101</v>
      </c>
      <c r="D12" s="42" t="s">
        <v>102</v>
      </c>
      <c r="E12" s="42" t="s">
        <v>103</v>
      </c>
      <c r="F12" s="42" t="s">
        <v>104</v>
      </c>
      <c r="G12" s="41" t="s">
        <v>96</v>
      </c>
    </row>
    <row r="13">
      <c r="A13" s="34" t="s">
        <v>78</v>
      </c>
      <c r="B13" s="35">
        <v>1111.2799999999552</v>
      </c>
      <c r="C13" s="66">
        <v>20000.0</v>
      </c>
      <c r="D13" s="66">
        <v>17.63</v>
      </c>
      <c r="E13" s="66">
        <v>20000.0</v>
      </c>
      <c r="F13" s="36">
        <f>B13+C13-D13-E13</f>
        <v>1093.65</v>
      </c>
      <c r="G13" s="37"/>
    </row>
    <row r="14">
      <c r="A14" s="37"/>
      <c r="B14" s="36"/>
      <c r="C14" s="36"/>
      <c r="D14" s="36"/>
      <c r="E14" s="36"/>
      <c r="F14" s="36"/>
      <c r="G14" s="37"/>
    </row>
    <row r="15">
      <c r="A15" s="38" t="s">
        <v>105</v>
      </c>
      <c r="B15" s="39">
        <f t="shared" ref="B15:F15" si="3">SUM(B13)</f>
        <v>1111.28</v>
      </c>
      <c r="C15" s="39">
        <f t="shared" si="3"/>
        <v>20000</v>
      </c>
      <c r="D15" s="39">
        <f t="shared" si="3"/>
        <v>17.63</v>
      </c>
      <c r="E15" s="39">
        <f t="shared" si="3"/>
        <v>20000</v>
      </c>
      <c r="F15" s="39">
        <f t="shared" si="3"/>
        <v>1093.65</v>
      </c>
      <c r="G15" s="40"/>
    </row>
    <row r="16">
      <c r="B16" s="6"/>
      <c r="C16" s="6"/>
      <c r="D16" s="6"/>
      <c r="E16" s="6"/>
      <c r="F16" s="6"/>
    </row>
    <row r="17">
      <c r="A17" s="43" t="s">
        <v>106</v>
      </c>
      <c r="B17" s="44">
        <f t="shared" ref="B17:F17" si="4">B9+B15*3.75</f>
        <v>1875053.56</v>
      </c>
      <c r="C17" s="44">
        <f t="shared" si="4"/>
        <v>2904237.87</v>
      </c>
      <c r="D17" s="44">
        <f t="shared" si="4"/>
        <v>3630.6025</v>
      </c>
      <c r="E17" s="44">
        <f t="shared" si="4"/>
        <v>2286346.79</v>
      </c>
      <c r="F17" s="44">
        <f t="shared" si="4"/>
        <v>2489314.038</v>
      </c>
      <c r="G17" s="45"/>
    </row>
    <row r="19">
      <c r="A19" s="46" t="s">
        <v>107</v>
      </c>
      <c r="B19" s="47"/>
      <c r="C19" s="48"/>
    </row>
    <row r="20">
      <c r="A20" s="34" t="s">
        <v>108</v>
      </c>
      <c r="B20" s="37"/>
      <c r="C20" s="49">
        <f>F17</f>
        <v>2489314.038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4" width="18.88"/>
    <col customWidth="1" min="5" max="7" width="15.13"/>
  </cols>
  <sheetData>
    <row r="1">
      <c r="A1" s="22" t="s">
        <v>2344</v>
      </c>
    </row>
    <row r="3">
      <c r="A3" s="50" t="s">
        <v>110</v>
      </c>
      <c r="B3" s="51">
        <f>'Advances_APR-2025'!E3</f>
        <v>541048.28</v>
      </c>
      <c r="D3" s="50" t="s">
        <v>111</v>
      </c>
      <c r="E3" s="52">
        <f>164800.84+SUM(E7:E101)</f>
        <v>472788.43</v>
      </c>
    </row>
    <row r="5">
      <c r="A5" s="7" t="s">
        <v>112</v>
      </c>
    </row>
    <row r="6">
      <c r="A6" s="41" t="s">
        <v>113</v>
      </c>
      <c r="B6" s="41" t="s">
        <v>114</v>
      </c>
      <c r="C6" s="41" t="s">
        <v>115</v>
      </c>
      <c r="D6" s="41" t="s">
        <v>116</v>
      </c>
      <c r="E6" s="41" t="s">
        <v>117</v>
      </c>
      <c r="F6" s="41" t="s">
        <v>118</v>
      </c>
      <c r="G6" s="41" t="s">
        <v>119</v>
      </c>
    </row>
    <row r="7">
      <c r="A7" s="60" t="s">
        <v>1022</v>
      </c>
      <c r="B7" s="60" t="s">
        <v>1023</v>
      </c>
      <c r="C7" s="60" t="s">
        <v>1024</v>
      </c>
      <c r="D7" s="37"/>
      <c r="E7" s="68">
        <v>1500.0</v>
      </c>
      <c r="F7" s="36"/>
      <c r="G7" s="36">
        <f>IF(E7="","",IF(H7="C/F",B$3,B$3+E7-F7))</f>
        <v>541048.28</v>
      </c>
      <c r="H7" s="5" t="str">
        <f>IF(B7="","",IF(IFERROR(MATCH(B7,'Advances_APR-2025'!B:B,0),0)&gt;0,"C/F","NEW"))</f>
        <v>C/F</v>
      </c>
    </row>
    <row r="8">
      <c r="A8" s="60" t="s">
        <v>1025</v>
      </c>
      <c r="B8" s="60" t="s">
        <v>1026</v>
      </c>
      <c r="C8" s="60" t="s">
        <v>1027</v>
      </c>
      <c r="D8" s="37"/>
      <c r="E8" s="68">
        <v>350.0</v>
      </c>
      <c r="F8" s="36"/>
      <c r="G8" s="36">
        <f t="shared" ref="G8:G100" si="1">IF(E8="","",G7+IF(H8="C/F",0,E8)-F8)</f>
        <v>541048.28</v>
      </c>
      <c r="H8" s="5" t="str">
        <f>IF(B8="","",IF(IFERROR(MATCH(B8,'Advances_APR-2025'!B:B,0),0)&gt;0,"C/F","NEW"))</f>
        <v>C/F</v>
      </c>
    </row>
    <row r="9">
      <c r="A9" s="60" t="s">
        <v>1025</v>
      </c>
      <c r="B9" s="60" t="s">
        <v>1026</v>
      </c>
      <c r="C9" s="60" t="s">
        <v>1028</v>
      </c>
      <c r="D9" s="37"/>
      <c r="E9" s="68">
        <v>143.48</v>
      </c>
      <c r="F9" s="36"/>
      <c r="G9" s="36">
        <f t="shared" si="1"/>
        <v>541048.28</v>
      </c>
      <c r="H9" s="5" t="str">
        <f>IF(B9="","",IF(IFERROR(MATCH(B9,'Advances_APR-2025'!B:B,0),0)&gt;0,"C/F","NEW"))</f>
        <v>C/F</v>
      </c>
    </row>
    <row r="10">
      <c r="A10" s="60" t="s">
        <v>1025</v>
      </c>
      <c r="B10" s="60" t="s">
        <v>1026</v>
      </c>
      <c r="C10" s="60" t="s">
        <v>1028</v>
      </c>
      <c r="D10" s="37"/>
      <c r="E10" s="68">
        <v>600.0</v>
      </c>
      <c r="F10" s="36"/>
      <c r="G10" s="36">
        <f t="shared" si="1"/>
        <v>541048.28</v>
      </c>
      <c r="H10" s="5" t="str">
        <f>IF(B10="","",IF(IFERROR(MATCH(B10,'Advances_APR-2025'!B:B,0),0)&gt;0,"C/F","NEW"))</f>
        <v>C/F</v>
      </c>
    </row>
    <row r="11">
      <c r="A11" s="60" t="s">
        <v>1029</v>
      </c>
      <c r="B11" s="60" t="s">
        <v>1688</v>
      </c>
      <c r="C11" s="60" t="s">
        <v>1689</v>
      </c>
      <c r="D11" s="37"/>
      <c r="E11" s="68">
        <v>2730.0</v>
      </c>
      <c r="F11" s="36"/>
      <c r="G11" s="36">
        <f t="shared" si="1"/>
        <v>541048.28</v>
      </c>
      <c r="H11" s="5" t="str">
        <f>IF(B11="","",IF(IFERROR(MATCH(B11,'Advances_APR-2025'!B:B,0),0)&gt;0,"C/F","NEW"))</f>
        <v>C/F</v>
      </c>
    </row>
    <row r="12">
      <c r="A12" s="60" t="s">
        <v>1029</v>
      </c>
      <c r="B12" s="60" t="s">
        <v>1030</v>
      </c>
      <c r="C12" s="60" t="s">
        <v>1031</v>
      </c>
      <c r="D12" s="37"/>
      <c r="E12" s="68">
        <v>34000.0</v>
      </c>
      <c r="F12" s="36"/>
      <c r="G12" s="36">
        <f t="shared" si="1"/>
        <v>541048.28</v>
      </c>
      <c r="H12" s="5" t="str">
        <f>IF(B12="","",IF(IFERROR(MATCH(B12,'Advances_APR-2025'!B:B,0),0)&gt;0,"C/F","NEW"))</f>
        <v>C/F</v>
      </c>
    </row>
    <row r="13">
      <c r="A13" s="60" t="s">
        <v>1032</v>
      </c>
      <c r="B13" s="60" t="s">
        <v>1033</v>
      </c>
      <c r="C13" s="60" t="s">
        <v>1034</v>
      </c>
      <c r="D13" s="37"/>
      <c r="E13" s="68">
        <v>500.0</v>
      </c>
      <c r="F13" s="36"/>
      <c r="G13" s="36">
        <f t="shared" si="1"/>
        <v>541048.28</v>
      </c>
      <c r="H13" s="5" t="str">
        <f>IF(B13="","",IF(IFERROR(MATCH(B13,'Advances_APR-2025'!B:B,0),0)&gt;0,"C/F","NEW"))</f>
        <v>C/F</v>
      </c>
    </row>
    <row r="14">
      <c r="A14" s="69">
        <v>45298.0</v>
      </c>
      <c r="B14" s="60" t="s">
        <v>1035</v>
      </c>
      <c r="C14" s="60" t="s">
        <v>1036</v>
      </c>
      <c r="D14" s="37"/>
      <c r="E14" s="68">
        <v>4000.0</v>
      </c>
      <c r="F14" s="36"/>
      <c r="G14" s="36">
        <f t="shared" si="1"/>
        <v>541048.28</v>
      </c>
      <c r="H14" s="5" t="str">
        <f>IF(B14="","",IF(IFERROR(MATCH(B14,'Advances_APR-2025'!B:B,0),0)&gt;0,"C/F","NEW"))</f>
        <v>C/F</v>
      </c>
    </row>
    <row r="15">
      <c r="A15" s="69">
        <v>45450.0</v>
      </c>
      <c r="B15" s="60" t="s">
        <v>1037</v>
      </c>
      <c r="C15" s="60" t="s">
        <v>1038</v>
      </c>
      <c r="D15" s="37"/>
      <c r="E15" s="68">
        <v>2790.0</v>
      </c>
      <c r="F15" s="36"/>
      <c r="G15" s="36">
        <f t="shared" si="1"/>
        <v>541048.28</v>
      </c>
      <c r="H15" s="5" t="str">
        <f>IF(B15="","",IF(IFERROR(MATCH(B15,'Advances_APR-2025'!B:B,0),0)&gt;0,"C/F","NEW"))</f>
        <v>C/F</v>
      </c>
    </row>
    <row r="16">
      <c r="A16" s="60" t="s">
        <v>1039</v>
      </c>
      <c r="B16" s="60" t="s">
        <v>1040</v>
      </c>
      <c r="C16" s="60" t="s">
        <v>1041</v>
      </c>
      <c r="D16" s="37"/>
      <c r="E16" s="68">
        <v>74656.7</v>
      </c>
      <c r="F16" s="36"/>
      <c r="G16" s="36">
        <f t="shared" si="1"/>
        <v>541048.28</v>
      </c>
      <c r="H16" s="5" t="str">
        <f>IF(B16="","",IF(IFERROR(MATCH(B16,'Advances_APR-2025'!B:B,0),0)&gt;0,"C/F","NEW"))</f>
        <v>C/F</v>
      </c>
    </row>
    <row r="17">
      <c r="A17" s="60" t="s">
        <v>1039</v>
      </c>
      <c r="B17" s="60" t="s">
        <v>1042</v>
      </c>
      <c r="C17" s="60" t="s">
        <v>1043</v>
      </c>
      <c r="D17" s="37"/>
      <c r="E17" s="68">
        <v>25655.23</v>
      </c>
      <c r="F17" s="36"/>
      <c r="G17" s="36">
        <f t="shared" si="1"/>
        <v>541048.28</v>
      </c>
      <c r="H17" s="5" t="str">
        <f>IF(B17="","",IF(IFERROR(MATCH(B17,'Advances_APR-2025'!B:B,0),0)&gt;0,"C/F","NEW"))</f>
        <v>C/F</v>
      </c>
    </row>
    <row r="18">
      <c r="A18" s="60" t="s">
        <v>1044</v>
      </c>
      <c r="B18" s="60" t="s">
        <v>1045</v>
      </c>
      <c r="C18" s="60" t="s">
        <v>1046</v>
      </c>
      <c r="D18" s="37"/>
      <c r="E18" s="68">
        <v>5000.0</v>
      </c>
      <c r="F18" s="36"/>
      <c r="G18" s="36">
        <f t="shared" si="1"/>
        <v>541048.28</v>
      </c>
      <c r="H18" s="5" t="str">
        <f>IF(B18="","",IF(IFERROR(MATCH(B18,'Advances_APR-2025'!B:B,0),0)&gt;0,"C/F","NEW"))</f>
        <v>C/F</v>
      </c>
    </row>
    <row r="19">
      <c r="A19" s="60" t="s">
        <v>1047</v>
      </c>
      <c r="B19" s="60" t="s">
        <v>1048</v>
      </c>
      <c r="C19" s="60" t="s">
        <v>1049</v>
      </c>
      <c r="D19" s="37"/>
      <c r="E19" s="68">
        <v>4650.0</v>
      </c>
      <c r="F19" s="36"/>
      <c r="G19" s="36">
        <f t="shared" si="1"/>
        <v>541048.28</v>
      </c>
      <c r="H19" s="5" t="str">
        <f>IF(B19="","",IF(IFERROR(MATCH(B19,'Advances_APR-2025'!B:B,0),0)&gt;0,"C/F","NEW"))</f>
        <v>C/F</v>
      </c>
    </row>
    <row r="20">
      <c r="A20" s="60" t="s">
        <v>1050</v>
      </c>
      <c r="B20" s="60" t="s">
        <v>1051</v>
      </c>
      <c r="C20" s="60" t="s">
        <v>1052</v>
      </c>
      <c r="D20" s="37"/>
      <c r="E20" s="68">
        <v>500.0</v>
      </c>
      <c r="F20" s="36"/>
      <c r="G20" s="36">
        <f t="shared" si="1"/>
        <v>541048.28</v>
      </c>
      <c r="H20" s="5" t="str">
        <f>IF(B20="","",IF(IFERROR(MATCH(B20,'Advances_APR-2025'!B:B,0),0)&gt;0,"C/F","NEW"))</f>
        <v>C/F</v>
      </c>
    </row>
    <row r="21">
      <c r="A21" s="60" t="s">
        <v>1712</v>
      </c>
      <c r="B21" s="60" t="s">
        <v>1713</v>
      </c>
      <c r="C21" s="60" t="s">
        <v>1714</v>
      </c>
      <c r="D21" s="37"/>
      <c r="E21" s="68">
        <v>2000.0</v>
      </c>
      <c r="F21" s="36"/>
      <c r="G21" s="36">
        <f t="shared" si="1"/>
        <v>541048.28</v>
      </c>
      <c r="H21" s="5" t="str">
        <f>IF(B21="","",IF(IFERROR(MATCH(B21,'Advances_APR-2025'!B:B,0),0)&gt;0,"C/F","NEW"))</f>
        <v>C/F</v>
      </c>
    </row>
    <row r="22">
      <c r="A22" s="63" t="s">
        <v>1053</v>
      </c>
      <c r="B22" s="70"/>
      <c r="C22" s="60" t="s">
        <v>1054</v>
      </c>
      <c r="D22" s="37"/>
      <c r="E22" s="68">
        <v>16857.45</v>
      </c>
      <c r="F22" s="36"/>
      <c r="G22" s="36">
        <f t="shared" si="1"/>
        <v>557905.73</v>
      </c>
      <c r="H22" s="5" t="str">
        <f>IF(B22="","",IF(IFERROR(MATCH(B22,'Advances_APR-2025'!B:B,0),0)&gt;0,"C/F","NEW"))</f>
        <v/>
      </c>
    </row>
    <row r="23">
      <c r="A23" s="60" t="s">
        <v>1053</v>
      </c>
      <c r="B23" s="60" t="s">
        <v>1715</v>
      </c>
      <c r="C23" s="60" t="s">
        <v>1716</v>
      </c>
      <c r="D23" s="37"/>
      <c r="E23" s="68">
        <v>2000.0</v>
      </c>
      <c r="F23" s="36"/>
      <c r="G23" s="36">
        <f t="shared" si="1"/>
        <v>557905.73</v>
      </c>
      <c r="H23" s="5" t="str">
        <f>IF(B23="","",IF(IFERROR(MATCH(B23,'Advances_APR-2025'!B:B,0),0)&gt;0,"C/F","NEW"))</f>
        <v>C/F</v>
      </c>
    </row>
    <row r="24">
      <c r="A24" s="69">
        <v>45546.0</v>
      </c>
      <c r="B24" s="60" t="s">
        <v>1055</v>
      </c>
      <c r="C24" s="60" t="s">
        <v>1056</v>
      </c>
      <c r="D24" s="37"/>
      <c r="E24" s="68">
        <v>4450.0</v>
      </c>
      <c r="F24" s="36"/>
      <c r="G24" s="36">
        <f t="shared" si="1"/>
        <v>557905.73</v>
      </c>
      <c r="H24" s="5" t="str">
        <f>IF(B24="","",IF(IFERROR(MATCH(B24,'Advances_APR-2025'!B:B,0),0)&gt;0,"C/F","NEW"))</f>
        <v>C/F</v>
      </c>
    </row>
    <row r="25">
      <c r="A25" s="71">
        <v>45637.0</v>
      </c>
      <c r="B25" s="60" t="s">
        <v>1057</v>
      </c>
      <c r="C25" s="60" t="s">
        <v>1058</v>
      </c>
      <c r="D25" s="37"/>
      <c r="E25" s="68">
        <v>80.0</v>
      </c>
      <c r="F25" s="36"/>
      <c r="G25" s="36">
        <f t="shared" si="1"/>
        <v>557905.73</v>
      </c>
      <c r="H25" s="5" t="str">
        <f>IF(B25="","",IF(IFERROR(MATCH(B25,'Advances_APR-2025'!B:B,0),0)&gt;0,"C/F","NEW"))</f>
        <v>C/F</v>
      </c>
    </row>
    <row r="26">
      <c r="A26" s="71">
        <v>45577.0</v>
      </c>
      <c r="B26" s="60" t="s">
        <v>1059</v>
      </c>
      <c r="C26" s="60" t="s">
        <v>1043</v>
      </c>
      <c r="D26" s="37"/>
      <c r="E26" s="68">
        <v>49001.48</v>
      </c>
      <c r="F26" s="36"/>
      <c r="G26" s="36">
        <f t="shared" si="1"/>
        <v>557905.73</v>
      </c>
      <c r="H26" s="5" t="str">
        <f>IF(B26="","",IF(IFERROR(MATCH(B26,'Advances_APR-2025'!B:B,0),0)&gt;0,"C/F","NEW"))</f>
        <v>C/F</v>
      </c>
    </row>
    <row r="27">
      <c r="A27" s="60" t="s">
        <v>1729</v>
      </c>
      <c r="B27" s="60" t="s">
        <v>1732</v>
      </c>
      <c r="C27" s="60" t="s">
        <v>1733</v>
      </c>
      <c r="D27" s="37"/>
      <c r="E27" s="68">
        <v>7500.0</v>
      </c>
      <c r="F27" s="36"/>
      <c r="G27" s="36">
        <f t="shared" si="1"/>
        <v>557905.73</v>
      </c>
      <c r="H27" s="5" t="str">
        <f>IF(B27="","",IF(IFERROR(MATCH(B27,'Advances_APR-2025'!B:B,0),0)&gt;0,"C/F","NEW"))</f>
        <v>C/F</v>
      </c>
    </row>
    <row r="28">
      <c r="A28" s="60" t="s">
        <v>1060</v>
      </c>
      <c r="B28" s="60" t="s">
        <v>1061</v>
      </c>
      <c r="C28" s="60" t="s">
        <v>1062</v>
      </c>
      <c r="D28" s="37"/>
      <c r="E28" s="68">
        <v>300.0</v>
      </c>
      <c r="F28" s="36"/>
      <c r="G28" s="36">
        <f t="shared" si="1"/>
        <v>557905.73</v>
      </c>
      <c r="H28" s="5" t="str">
        <f>IF(B28="","",IF(IFERROR(MATCH(B28,'Advances_APR-2025'!B:B,0),0)&gt;0,"C/F","NEW"))</f>
        <v>C/F</v>
      </c>
    </row>
    <row r="29">
      <c r="A29" s="60" t="s">
        <v>1063</v>
      </c>
      <c r="B29" s="60" t="s">
        <v>1064</v>
      </c>
      <c r="C29" s="60" t="s">
        <v>1065</v>
      </c>
      <c r="D29" s="37"/>
      <c r="E29" s="68">
        <v>150.0</v>
      </c>
      <c r="F29" s="36"/>
      <c r="G29" s="36">
        <f t="shared" si="1"/>
        <v>557905.73</v>
      </c>
      <c r="H29" s="5" t="str">
        <f>IF(B29="","",IF(IFERROR(MATCH(B29,'Advances_APR-2025'!B:B,0),0)&gt;0,"C/F","NEW"))</f>
        <v>C/F</v>
      </c>
    </row>
    <row r="30">
      <c r="A30" s="69">
        <v>45901.0</v>
      </c>
      <c r="B30" s="60" t="s">
        <v>1739</v>
      </c>
      <c r="C30" s="60" t="s">
        <v>1740</v>
      </c>
      <c r="D30" s="37"/>
      <c r="E30" s="68">
        <v>450.0</v>
      </c>
      <c r="F30" s="36"/>
      <c r="G30" s="36">
        <f t="shared" si="1"/>
        <v>557905.73</v>
      </c>
      <c r="H30" s="5" t="str">
        <f>IF(B30="","",IF(IFERROR(MATCH(B30,'Advances_APR-2025'!B:B,0),0)&gt;0,"C/F","NEW"))</f>
        <v>C/F</v>
      </c>
    </row>
    <row r="31">
      <c r="A31" s="60" t="s">
        <v>1066</v>
      </c>
      <c r="B31" s="60" t="s">
        <v>1067</v>
      </c>
      <c r="C31" s="60" t="s">
        <v>1068</v>
      </c>
      <c r="D31" s="37"/>
      <c r="E31" s="68">
        <v>51310.45</v>
      </c>
      <c r="F31" s="36"/>
      <c r="G31" s="36">
        <f t="shared" si="1"/>
        <v>557905.73</v>
      </c>
      <c r="H31" s="5" t="str">
        <f>IF(B31="","",IF(IFERROR(MATCH(B31,'Advances_APR-2025'!B:B,0),0)&gt;0,"C/F","NEW"))</f>
        <v>C/F</v>
      </c>
    </row>
    <row r="32">
      <c r="A32" s="69">
        <v>45749.0</v>
      </c>
      <c r="B32" s="60" t="s">
        <v>1069</v>
      </c>
      <c r="C32" s="60" t="s">
        <v>1070</v>
      </c>
      <c r="D32" s="37"/>
      <c r="E32" s="68">
        <v>200.0</v>
      </c>
      <c r="F32" s="36"/>
      <c r="G32" s="36">
        <f t="shared" si="1"/>
        <v>557905.73</v>
      </c>
      <c r="H32" s="5" t="str">
        <f>IF(B32="","",IF(IFERROR(MATCH(B32,'Advances_APR-2025'!B:B,0),0)&gt;0,"C/F","NEW"))</f>
        <v>C/F</v>
      </c>
    </row>
    <row r="33">
      <c r="A33" s="60" t="s">
        <v>1071</v>
      </c>
      <c r="B33" s="60" t="s">
        <v>1072</v>
      </c>
      <c r="C33" s="60" t="s">
        <v>1073</v>
      </c>
      <c r="D33" s="37"/>
      <c r="E33" s="68">
        <v>334.8</v>
      </c>
      <c r="F33" s="36"/>
      <c r="G33" s="36">
        <f t="shared" si="1"/>
        <v>557905.73</v>
      </c>
      <c r="H33" s="5" t="str">
        <f>IF(B33="","",IF(IFERROR(MATCH(B33,'Advances_APR-2025'!B:B,0),0)&gt;0,"C/F","NEW"))</f>
        <v>C/F</v>
      </c>
    </row>
    <row r="34">
      <c r="A34" s="60" t="s">
        <v>1071</v>
      </c>
      <c r="B34" s="60" t="s">
        <v>1072</v>
      </c>
      <c r="C34" s="60" t="s">
        <v>1074</v>
      </c>
      <c r="D34" s="37"/>
      <c r="E34" s="68">
        <v>300.0</v>
      </c>
      <c r="F34" s="36"/>
      <c r="G34" s="36">
        <f t="shared" si="1"/>
        <v>557905.73</v>
      </c>
      <c r="H34" s="5" t="str">
        <f>IF(B34="","",IF(IFERROR(MATCH(B34,'Advances_APR-2025'!B:B,0),0)&gt;0,"C/F","NEW"))</f>
        <v>C/F</v>
      </c>
    </row>
    <row r="35">
      <c r="A35" s="60" t="s">
        <v>1071</v>
      </c>
      <c r="B35" s="60" t="s">
        <v>1072</v>
      </c>
      <c r="C35" s="60" t="s">
        <v>1073</v>
      </c>
      <c r="D35" s="37"/>
      <c r="E35" s="68">
        <v>350.0</v>
      </c>
      <c r="F35" s="36"/>
      <c r="G35" s="36">
        <f t="shared" si="1"/>
        <v>557905.73</v>
      </c>
      <c r="H35" s="5" t="str">
        <f>IF(B35="","",IF(IFERROR(MATCH(B35,'Advances_APR-2025'!B:B,0),0)&gt;0,"C/F","NEW"))</f>
        <v>C/F</v>
      </c>
    </row>
    <row r="36">
      <c r="A36" s="60" t="s">
        <v>2073</v>
      </c>
      <c r="B36" s="60" t="s">
        <v>2074</v>
      </c>
      <c r="C36" s="60" t="s">
        <v>2075</v>
      </c>
      <c r="D36" s="37"/>
      <c r="E36" s="68">
        <v>900.0</v>
      </c>
      <c r="F36" s="36"/>
      <c r="G36" s="36">
        <f t="shared" si="1"/>
        <v>557905.73</v>
      </c>
      <c r="H36" s="5" t="str">
        <f>IF(B36="","",IF(IFERROR(MATCH(B36,'Advances_APR-2025'!B:B,0),0)&gt;0,"C/F","NEW"))</f>
        <v>C/F</v>
      </c>
    </row>
    <row r="37">
      <c r="A37" s="69">
        <v>45781.0</v>
      </c>
      <c r="B37" s="60" t="s">
        <v>2184</v>
      </c>
      <c r="C37" s="60" t="s">
        <v>2185</v>
      </c>
      <c r="D37" s="37"/>
      <c r="E37" s="68">
        <v>900.0</v>
      </c>
      <c r="F37" s="36"/>
      <c r="G37" s="36">
        <f t="shared" si="1"/>
        <v>557905.73</v>
      </c>
      <c r="H37" s="5" t="str">
        <f>IF(B37="","",IF(IFERROR(MATCH(B37,'Advances_APR-2025'!B:B,0),0)&gt;0,"C/F","NEW"))</f>
        <v>C/F</v>
      </c>
    </row>
    <row r="38">
      <c r="A38" s="69">
        <v>45781.0</v>
      </c>
      <c r="B38" s="60" t="s">
        <v>2184</v>
      </c>
      <c r="C38" s="60" t="s">
        <v>2186</v>
      </c>
      <c r="D38" s="37"/>
      <c r="E38" s="68">
        <v>1000.0</v>
      </c>
      <c r="F38" s="36"/>
      <c r="G38" s="36">
        <f t="shared" si="1"/>
        <v>557905.73</v>
      </c>
      <c r="H38" s="5" t="str">
        <f>IF(B38="","",IF(IFERROR(MATCH(B38,'Advances_APR-2025'!B:B,0),0)&gt;0,"C/F","NEW"))</f>
        <v>C/F</v>
      </c>
    </row>
    <row r="39">
      <c r="A39" s="69">
        <v>45781.0</v>
      </c>
      <c r="B39" s="60" t="s">
        <v>2184</v>
      </c>
      <c r="C39" s="60" t="s">
        <v>2187</v>
      </c>
      <c r="D39" s="37"/>
      <c r="E39" s="68">
        <v>400.0</v>
      </c>
      <c r="F39" s="36"/>
      <c r="G39" s="36">
        <f t="shared" si="1"/>
        <v>557905.73</v>
      </c>
      <c r="H39" s="5" t="str">
        <f>IF(B39="","",IF(IFERROR(MATCH(B39,'Advances_APR-2025'!B:B,0),0)&gt;0,"C/F","NEW"))</f>
        <v>C/F</v>
      </c>
    </row>
    <row r="40">
      <c r="A40" s="69">
        <v>45781.0</v>
      </c>
      <c r="B40" s="60" t="s">
        <v>2184</v>
      </c>
      <c r="C40" s="60" t="s">
        <v>2188</v>
      </c>
      <c r="D40" s="37"/>
      <c r="E40" s="68">
        <v>450.0</v>
      </c>
      <c r="F40" s="36"/>
      <c r="G40" s="36">
        <f t="shared" si="1"/>
        <v>557905.73</v>
      </c>
      <c r="H40" s="5" t="str">
        <f>IF(B40="","",IF(IFERROR(MATCH(B40,'Advances_APR-2025'!B:B,0),0)&gt;0,"C/F","NEW"))</f>
        <v>C/F</v>
      </c>
    </row>
    <row r="41">
      <c r="A41" s="69">
        <v>45781.0</v>
      </c>
      <c r="B41" s="60" t="s">
        <v>2184</v>
      </c>
      <c r="C41" s="60" t="s">
        <v>2189</v>
      </c>
      <c r="D41" s="37"/>
      <c r="E41" s="68">
        <v>500.0</v>
      </c>
      <c r="F41" s="36"/>
      <c r="G41" s="36">
        <f t="shared" si="1"/>
        <v>557905.73</v>
      </c>
      <c r="H41" s="5" t="str">
        <f>IF(B41="","",IF(IFERROR(MATCH(B41,'Advances_APR-2025'!B:B,0),0)&gt;0,"C/F","NEW"))</f>
        <v>C/F</v>
      </c>
    </row>
    <row r="42">
      <c r="A42" s="69">
        <v>45812.0</v>
      </c>
      <c r="B42" s="60" t="s">
        <v>2190</v>
      </c>
      <c r="C42" s="60" t="s">
        <v>2191</v>
      </c>
      <c r="D42" s="37"/>
      <c r="E42" s="68">
        <v>1000.0</v>
      </c>
      <c r="F42" s="36"/>
      <c r="G42" s="36">
        <f t="shared" si="1"/>
        <v>557905.73</v>
      </c>
      <c r="H42" s="5" t="str">
        <f>IF(B42="","",IF(IFERROR(MATCH(B42,'Advances_APR-2025'!B:B,0),0)&gt;0,"C/F","NEW"))</f>
        <v>C/F</v>
      </c>
    </row>
    <row r="43">
      <c r="A43" s="69">
        <v>45721.0</v>
      </c>
      <c r="B43" s="60" t="s">
        <v>2345</v>
      </c>
      <c r="C43" s="60" t="s">
        <v>2346</v>
      </c>
      <c r="D43" s="37"/>
      <c r="E43" s="68">
        <v>1500.0</v>
      </c>
      <c r="F43" s="36"/>
      <c r="G43" s="36">
        <f t="shared" si="1"/>
        <v>559405.73</v>
      </c>
      <c r="H43" s="5" t="str">
        <f>IF(B43="","",IF(IFERROR(MATCH(B43,'Advances_APR-2025'!B:B,0),0)&gt;0,"C/F","NEW"))</f>
        <v>NEW</v>
      </c>
    </row>
    <row r="44">
      <c r="A44" s="69">
        <v>45752.0</v>
      </c>
      <c r="B44" s="60" t="s">
        <v>1075</v>
      </c>
      <c r="C44" s="60" t="s">
        <v>1076</v>
      </c>
      <c r="D44" s="37"/>
      <c r="E44" s="68">
        <v>200.0</v>
      </c>
      <c r="F44" s="36"/>
      <c r="G44" s="36">
        <f t="shared" si="1"/>
        <v>559605.73</v>
      </c>
      <c r="H44" s="5" t="str">
        <f>IF(B44="","",IF(IFERROR(MATCH(B44,'Advances_APR-2025'!B:B,0),0)&gt;0,"C/F","NEW"))</f>
        <v>NEW</v>
      </c>
    </row>
    <row r="45">
      <c r="A45" s="69">
        <v>45935.0</v>
      </c>
      <c r="B45" s="60" t="s">
        <v>2347</v>
      </c>
      <c r="C45" s="60" t="s">
        <v>1076</v>
      </c>
      <c r="D45" s="37"/>
      <c r="E45" s="68">
        <v>200.0</v>
      </c>
      <c r="F45" s="36"/>
      <c r="G45" s="36">
        <f t="shared" si="1"/>
        <v>559805.73</v>
      </c>
      <c r="H45" s="5" t="str">
        <f>IF(B45="","",IF(IFERROR(MATCH(B45,'Advances_APR-2025'!B:B,0),0)&gt;0,"C/F","NEW"))</f>
        <v>NEW</v>
      </c>
    </row>
    <row r="46">
      <c r="A46" s="60" t="s">
        <v>1077</v>
      </c>
      <c r="B46" s="60" t="s">
        <v>1078</v>
      </c>
      <c r="C46" s="60" t="s">
        <v>1079</v>
      </c>
      <c r="D46" s="37"/>
      <c r="E46" s="68">
        <v>170.0</v>
      </c>
      <c r="F46" s="36"/>
      <c r="G46" s="36">
        <f t="shared" si="1"/>
        <v>559975.73</v>
      </c>
      <c r="H46" s="5" t="str">
        <f>IF(B46="","",IF(IFERROR(MATCH(B46,'Advances_APR-2025'!B:B,0),0)&gt;0,"C/F","NEW"))</f>
        <v>NEW</v>
      </c>
    </row>
    <row r="47">
      <c r="A47" s="60" t="s">
        <v>1194</v>
      </c>
      <c r="B47" s="60" t="s">
        <v>2348</v>
      </c>
      <c r="C47" s="60" t="s">
        <v>2349</v>
      </c>
      <c r="D47" s="37"/>
      <c r="E47" s="68">
        <v>1539.0</v>
      </c>
      <c r="F47" s="36"/>
      <c r="G47" s="36">
        <f t="shared" si="1"/>
        <v>561514.73</v>
      </c>
      <c r="H47" s="5" t="str">
        <f>IF(B47="","",IF(IFERROR(MATCH(B47,'Advances_APR-2025'!B:B,0),0)&gt;0,"C/F","NEW"))</f>
        <v>NEW</v>
      </c>
    </row>
    <row r="48">
      <c r="A48" s="60" t="s">
        <v>1194</v>
      </c>
      <c r="B48" s="60" t="s">
        <v>2348</v>
      </c>
      <c r="C48" s="60" t="s">
        <v>1076</v>
      </c>
      <c r="D48" s="37"/>
      <c r="E48" s="68">
        <v>100.0</v>
      </c>
      <c r="F48" s="36"/>
      <c r="G48" s="36">
        <f t="shared" si="1"/>
        <v>561614.73</v>
      </c>
      <c r="H48" s="5" t="str">
        <f>IF(B48="","",IF(IFERROR(MATCH(B48,'Advances_APR-2025'!B:B,0),0)&gt;0,"C/F","NEW"))</f>
        <v>NEW</v>
      </c>
    </row>
    <row r="49">
      <c r="A49" s="60" t="s">
        <v>2350</v>
      </c>
      <c r="B49" s="60" t="s">
        <v>2351</v>
      </c>
      <c r="C49" s="60" t="s">
        <v>1649</v>
      </c>
      <c r="D49" s="37"/>
      <c r="E49" s="68">
        <v>500.0</v>
      </c>
      <c r="F49" s="36"/>
      <c r="G49" s="36">
        <f t="shared" si="1"/>
        <v>562114.73</v>
      </c>
      <c r="H49" s="5" t="str">
        <f>IF(B49="","",IF(IFERROR(MATCH(B49,'Advances_APR-2025'!B:B,0),0)&gt;0,"C/F","NEW"))</f>
        <v>NEW</v>
      </c>
    </row>
    <row r="50">
      <c r="A50" s="60" t="s">
        <v>2352</v>
      </c>
      <c r="B50" s="60" t="s">
        <v>2353</v>
      </c>
      <c r="C50" s="60" t="s">
        <v>1471</v>
      </c>
      <c r="D50" s="37"/>
      <c r="E50" s="68">
        <v>3000.0</v>
      </c>
      <c r="F50" s="36"/>
      <c r="G50" s="36">
        <f t="shared" si="1"/>
        <v>565114.73</v>
      </c>
      <c r="H50" s="5" t="str">
        <f>IF(B50="","",IF(IFERROR(MATCH(B50,'Advances_APR-2025'!B:B,0),0)&gt;0,"C/F","NEW"))</f>
        <v>NEW</v>
      </c>
    </row>
    <row r="51">
      <c r="A51" s="60" t="s">
        <v>2352</v>
      </c>
      <c r="B51" s="60" t="s">
        <v>2354</v>
      </c>
      <c r="C51" s="60" t="s">
        <v>2355</v>
      </c>
      <c r="D51" s="37"/>
      <c r="E51" s="68">
        <v>1000.0</v>
      </c>
      <c r="F51" s="36"/>
      <c r="G51" s="36">
        <f t="shared" si="1"/>
        <v>566114.73</v>
      </c>
      <c r="H51" s="5" t="str">
        <f>IF(B51="","",IF(IFERROR(MATCH(B51,'Advances_APR-2025'!B:B,0),0)&gt;0,"C/F","NEW"))</f>
        <v>NEW</v>
      </c>
    </row>
    <row r="52">
      <c r="A52" s="60" t="s">
        <v>1080</v>
      </c>
      <c r="B52" s="60" t="s">
        <v>2356</v>
      </c>
      <c r="C52" s="60" t="s">
        <v>1649</v>
      </c>
      <c r="D52" s="37"/>
      <c r="E52" s="68">
        <v>300.0</v>
      </c>
      <c r="F52" s="36"/>
      <c r="G52" s="36">
        <f t="shared" si="1"/>
        <v>566414.73</v>
      </c>
      <c r="H52" s="5" t="str">
        <f>IF(B52="","",IF(IFERROR(MATCH(B52,'Advances_APR-2025'!B:B,0),0)&gt;0,"C/F","NEW"))</f>
        <v>NEW</v>
      </c>
    </row>
    <row r="53">
      <c r="A53" s="60" t="s">
        <v>1080</v>
      </c>
      <c r="B53" s="60" t="s">
        <v>2356</v>
      </c>
      <c r="C53" s="60" t="s">
        <v>1649</v>
      </c>
      <c r="D53" s="37"/>
      <c r="E53" s="68">
        <v>1050.0</v>
      </c>
      <c r="F53" s="36"/>
      <c r="G53" s="36">
        <f t="shared" si="1"/>
        <v>567464.73</v>
      </c>
      <c r="H53" s="5" t="str">
        <f>IF(B53="","",IF(IFERROR(MATCH(B53,'Advances_APR-2025'!B:B,0),0)&gt;0,"C/F","NEW"))</f>
        <v>NEW</v>
      </c>
    </row>
    <row r="54">
      <c r="A54" s="60" t="s">
        <v>1080</v>
      </c>
      <c r="B54" s="60" t="s">
        <v>2356</v>
      </c>
      <c r="C54" s="60" t="s">
        <v>2357</v>
      </c>
      <c r="D54" s="37"/>
      <c r="E54" s="68">
        <v>300.0</v>
      </c>
      <c r="F54" s="36"/>
      <c r="G54" s="36">
        <f t="shared" si="1"/>
        <v>567764.73</v>
      </c>
      <c r="H54" s="5" t="str">
        <f>IF(B54="","",IF(IFERROR(MATCH(B54,'Advances_APR-2025'!B:B,0),0)&gt;0,"C/F","NEW"))</f>
        <v>NEW</v>
      </c>
    </row>
    <row r="55">
      <c r="A55" s="63" t="s">
        <v>1080</v>
      </c>
      <c r="B55" s="70"/>
      <c r="C55" s="60" t="s">
        <v>1081</v>
      </c>
      <c r="D55" s="37"/>
      <c r="E55" s="68">
        <v>219.0</v>
      </c>
      <c r="F55" s="36"/>
      <c r="G55" s="36">
        <f t="shared" si="1"/>
        <v>567983.73</v>
      </c>
      <c r="H55" s="5" t="str">
        <f>IF(B55="","",IF(IFERROR(MATCH(B55,'Advances_APR-2025'!B:B,0),0)&gt;0,"C/F","NEW"))</f>
        <v/>
      </c>
    </row>
    <row r="56">
      <c r="A56" s="60" t="s">
        <v>1080</v>
      </c>
      <c r="B56" s="60" t="s">
        <v>2358</v>
      </c>
      <c r="C56" s="60" t="s">
        <v>2359</v>
      </c>
      <c r="D56" s="37"/>
      <c r="E56" s="68">
        <v>400.0</v>
      </c>
      <c r="F56" s="36"/>
      <c r="G56" s="36">
        <f t="shared" si="1"/>
        <v>568383.73</v>
      </c>
      <c r="H56" s="5" t="str">
        <f>IF(B56="","",IF(IFERROR(MATCH(B56,'Advances_APR-2025'!B:B,0),0)&gt;0,"C/F","NEW"))</f>
        <v>NEW</v>
      </c>
    </row>
    <row r="57">
      <c r="A57" s="37"/>
      <c r="B57" s="37"/>
      <c r="C57" s="37"/>
      <c r="D57" s="37"/>
      <c r="E57" s="36"/>
      <c r="F57" s="36"/>
      <c r="G57" s="36" t="str">
        <f t="shared" si="1"/>
        <v/>
      </c>
      <c r="H57" s="5" t="str">
        <f>IF(B57="","",IF(IFERROR(MATCH(B57,'Advances_APR-2025'!B:B,0),0)&gt;0,"C/F","NEW"))</f>
        <v/>
      </c>
    </row>
    <row r="58">
      <c r="A58" s="37"/>
      <c r="B58" s="37"/>
      <c r="C58" s="37"/>
      <c r="D58" s="37"/>
      <c r="E58" s="36"/>
      <c r="F58" s="36"/>
      <c r="G58" s="36" t="str">
        <f t="shared" si="1"/>
        <v/>
      </c>
      <c r="H58" s="5" t="str">
        <f>IF(B58="","",IF(IFERROR(MATCH(B58,'Advances_APR-2025'!B:B,0),0)&gt;0,"C/F","NEW"))</f>
        <v/>
      </c>
    </row>
    <row r="59">
      <c r="A59" s="37"/>
      <c r="B59" s="37"/>
      <c r="C59" s="37"/>
      <c r="D59" s="37"/>
      <c r="E59" s="36"/>
      <c r="F59" s="36"/>
      <c r="G59" s="36" t="str">
        <f t="shared" si="1"/>
        <v/>
      </c>
      <c r="H59" s="5" t="str">
        <f>IF(B59="","",IF(IFERROR(MATCH(B59,'Advances_APR-2025'!B:B,0),0)&gt;0,"C/F","NEW"))</f>
        <v/>
      </c>
    </row>
    <row r="60">
      <c r="A60" s="37"/>
      <c r="B60" s="37"/>
      <c r="C60" s="37"/>
      <c r="D60" s="37"/>
      <c r="E60" s="36"/>
      <c r="F60" s="36"/>
      <c r="G60" s="36" t="str">
        <f t="shared" si="1"/>
        <v/>
      </c>
      <c r="H60" s="5" t="str">
        <f>IF(B60="","",IF(IFERROR(MATCH(B60,'Advances_APR-2025'!B:B,0),0)&gt;0,"C/F","NEW"))</f>
        <v/>
      </c>
    </row>
    <row r="61">
      <c r="A61" s="37"/>
      <c r="B61" s="37"/>
      <c r="C61" s="37"/>
      <c r="D61" s="37"/>
      <c r="E61" s="36"/>
      <c r="F61" s="36"/>
      <c r="G61" s="36" t="str">
        <f t="shared" si="1"/>
        <v/>
      </c>
      <c r="H61" s="5" t="str">
        <f>IF(B61="","",IF(IFERROR(MATCH(B61,'Advances_APR-2025'!B:B,0),0)&gt;0,"C/F","NEW"))</f>
        <v/>
      </c>
    </row>
    <row r="62">
      <c r="A62" s="37"/>
      <c r="B62" s="37"/>
      <c r="C62" s="37"/>
      <c r="D62" s="37"/>
      <c r="E62" s="36"/>
      <c r="F62" s="36"/>
      <c r="G62" s="36" t="str">
        <f t="shared" si="1"/>
        <v/>
      </c>
      <c r="H62" s="5" t="str">
        <f>IF(B62="","",IF(IFERROR(MATCH(B62,'Advances_APR-2025'!B:B,0),0)&gt;0,"C/F","NEW"))</f>
        <v/>
      </c>
    </row>
    <row r="63">
      <c r="A63" s="37"/>
      <c r="B63" s="37"/>
      <c r="C63" s="37"/>
      <c r="D63" s="37"/>
      <c r="E63" s="36"/>
      <c r="F63" s="36"/>
      <c r="G63" s="36" t="str">
        <f t="shared" si="1"/>
        <v/>
      </c>
      <c r="H63" s="5" t="str">
        <f>IF(B63="","",IF(IFERROR(MATCH(B63,'Advances_APR-2025'!B:B,0),0)&gt;0,"C/F","NEW"))</f>
        <v/>
      </c>
    </row>
    <row r="64">
      <c r="A64" s="37"/>
      <c r="B64" s="37"/>
      <c r="C64" s="37"/>
      <c r="D64" s="37"/>
      <c r="E64" s="36"/>
      <c r="F64" s="36"/>
      <c r="G64" s="36" t="str">
        <f t="shared" si="1"/>
        <v/>
      </c>
      <c r="H64" s="5" t="str">
        <f>IF(B64="","",IF(IFERROR(MATCH(B64,'Advances_APR-2025'!B:B,0),0)&gt;0,"C/F","NEW"))</f>
        <v/>
      </c>
    </row>
    <row r="65">
      <c r="A65" s="37"/>
      <c r="B65" s="37"/>
      <c r="C65" s="37"/>
      <c r="D65" s="37"/>
      <c r="E65" s="36"/>
      <c r="F65" s="36"/>
      <c r="G65" s="36" t="str">
        <f t="shared" si="1"/>
        <v/>
      </c>
      <c r="H65" s="5" t="str">
        <f>IF(B65="","",IF(IFERROR(MATCH(B65,'Advances_APR-2025'!B:B,0),0)&gt;0,"C/F","NEW"))</f>
        <v/>
      </c>
    </row>
    <row r="66">
      <c r="A66" s="37"/>
      <c r="B66" s="37"/>
      <c r="C66" s="37"/>
      <c r="D66" s="37"/>
      <c r="E66" s="36"/>
      <c r="F66" s="36"/>
      <c r="G66" s="36" t="str">
        <f t="shared" si="1"/>
        <v/>
      </c>
      <c r="H66" s="5" t="str">
        <f>IF(B66="","",IF(IFERROR(MATCH(B66,'Advances_APR-2025'!B:B,0),0)&gt;0,"C/F","NEW"))</f>
        <v/>
      </c>
    </row>
    <row r="67">
      <c r="A67" s="37"/>
      <c r="B67" s="37"/>
      <c r="C67" s="37"/>
      <c r="D67" s="37"/>
      <c r="E67" s="36"/>
      <c r="F67" s="36"/>
      <c r="G67" s="36" t="str">
        <f t="shared" si="1"/>
        <v/>
      </c>
      <c r="H67" s="5" t="str">
        <f>IF(B67="","",IF(IFERROR(MATCH(B67,'Advances_APR-2025'!B:B,0),0)&gt;0,"C/F","NEW"))</f>
        <v/>
      </c>
    </row>
    <row r="68">
      <c r="A68" s="37"/>
      <c r="B68" s="37"/>
      <c r="C68" s="37"/>
      <c r="D68" s="37"/>
      <c r="E68" s="36"/>
      <c r="F68" s="36"/>
      <c r="G68" s="36" t="str">
        <f t="shared" si="1"/>
        <v/>
      </c>
      <c r="H68" s="5" t="str">
        <f>IF(B68="","",IF(IFERROR(MATCH(B68,'Advances_APR-2025'!B:B,0),0)&gt;0,"C/F","NEW"))</f>
        <v/>
      </c>
    </row>
    <row r="69">
      <c r="A69" s="37"/>
      <c r="B69" s="37"/>
      <c r="C69" s="37"/>
      <c r="D69" s="37"/>
      <c r="E69" s="36"/>
      <c r="F69" s="36"/>
      <c r="G69" s="36" t="str">
        <f t="shared" si="1"/>
        <v/>
      </c>
      <c r="H69" s="5" t="str">
        <f>IF(B69="","",IF(IFERROR(MATCH(B69,'Advances_APR-2025'!B:B,0),0)&gt;0,"C/F","NEW"))</f>
        <v/>
      </c>
    </row>
    <row r="70">
      <c r="A70" s="37"/>
      <c r="B70" s="37"/>
      <c r="C70" s="37"/>
      <c r="D70" s="37"/>
      <c r="E70" s="36"/>
      <c r="F70" s="36"/>
      <c r="G70" s="36" t="str">
        <f t="shared" si="1"/>
        <v/>
      </c>
      <c r="H70" s="5" t="str">
        <f>IF(B70="","",IF(IFERROR(MATCH(B70,'Advances_APR-2025'!B:B,0),0)&gt;0,"C/F","NEW"))</f>
        <v/>
      </c>
    </row>
    <row r="71">
      <c r="A71" s="37"/>
      <c r="B71" s="37"/>
      <c r="C71" s="37"/>
      <c r="D71" s="37"/>
      <c r="E71" s="36"/>
      <c r="F71" s="36"/>
      <c r="G71" s="36" t="str">
        <f t="shared" si="1"/>
        <v/>
      </c>
      <c r="H71" s="5" t="str">
        <f>IF(B71="","",IF(IFERROR(MATCH(B71,'Advances_APR-2025'!B:B,0),0)&gt;0,"C/F","NEW"))</f>
        <v/>
      </c>
    </row>
    <row r="72">
      <c r="A72" s="37"/>
      <c r="B72" s="37"/>
      <c r="C72" s="37"/>
      <c r="D72" s="37"/>
      <c r="E72" s="36"/>
      <c r="F72" s="36"/>
      <c r="G72" s="36" t="str">
        <f t="shared" si="1"/>
        <v/>
      </c>
      <c r="H72" s="5" t="str">
        <f>IF(B72="","",IF(IFERROR(MATCH(B72,'Advances_APR-2025'!B:B,0),0)&gt;0,"C/F","NEW"))</f>
        <v/>
      </c>
    </row>
    <row r="73">
      <c r="A73" s="37"/>
      <c r="B73" s="37"/>
      <c r="C73" s="37"/>
      <c r="D73" s="37"/>
      <c r="E73" s="36"/>
      <c r="F73" s="36"/>
      <c r="G73" s="36" t="str">
        <f t="shared" si="1"/>
        <v/>
      </c>
      <c r="H73" s="5" t="str">
        <f>IF(B73="","",IF(IFERROR(MATCH(B73,'Advances_APR-2025'!B:B,0),0)&gt;0,"C/F","NEW"))</f>
        <v/>
      </c>
    </row>
    <row r="74">
      <c r="A74" s="37"/>
      <c r="B74" s="37"/>
      <c r="C74" s="37"/>
      <c r="D74" s="37"/>
      <c r="E74" s="36"/>
      <c r="F74" s="36"/>
      <c r="G74" s="36" t="str">
        <f t="shared" si="1"/>
        <v/>
      </c>
      <c r="H74" s="5" t="str">
        <f>IF(B74="","",IF(IFERROR(MATCH(B74,'Advances_APR-2025'!B:B,0),0)&gt;0,"C/F","NEW"))</f>
        <v/>
      </c>
    </row>
    <row r="75">
      <c r="A75" s="37"/>
      <c r="B75" s="37"/>
      <c r="C75" s="37"/>
      <c r="D75" s="37"/>
      <c r="E75" s="36"/>
      <c r="F75" s="36"/>
      <c r="G75" s="36" t="str">
        <f t="shared" si="1"/>
        <v/>
      </c>
      <c r="H75" s="5" t="str">
        <f>IF(B75="","",IF(IFERROR(MATCH(B75,'Advances_APR-2025'!B:B,0),0)&gt;0,"C/F","NEW"))</f>
        <v/>
      </c>
    </row>
    <row r="76">
      <c r="A76" s="37"/>
      <c r="B76" s="37"/>
      <c r="C76" s="37"/>
      <c r="D76" s="37"/>
      <c r="E76" s="36"/>
      <c r="F76" s="36"/>
      <c r="G76" s="36" t="str">
        <f t="shared" si="1"/>
        <v/>
      </c>
      <c r="H76" s="5" t="str">
        <f>IF(B76="","",IF(IFERROR(MATCH(B76,'Advances_APR-2025'!B:B,0),0)&gt;0,"C/F","NEW"))</f>
        <v/>
      </c>
    </row>
    <row r="77">
      <c r="A77" s="37"/>
      <c r="B77" s="37"/>
      <c r="C77" s="37"/>
      <c r="D77" s="37"/>
      <c r="E77" s="36"/>
      <c r="F77" s="36"/>
      <c r="G77" s="36" t="str">
        <f t="shared" si="1"/>
        <v/>
      </c>
      <c r="H77" s="5" t="str">
        <f>IF(B77="","",IF(IFERROR(MATCH(B77,'Advances_APR-2025'!B:B,0),0)&gt;0,"C/F","NEW"))</f>
        <v/>
      </c>
    </row>
    <row r="78">
      <c r="A78" s="37"/>
      <c r="B78" s="37"/>
      <c r="C78" s="37"/>
      <c r="D78" s="37"/>
      <c r="E78" s="36"/>
      <c r="F78" s="36"/>
      <c r="G78" s="36" t="str">
        <f t="shared" si="1"/>
        <v/>
      </c>
      <c r="H78" s="5" t="str">
        <f>IF(B78="","",IF(IFERROR(MATCH(B78,'Advances_APR-2025'!B:B,0),0)&gt;0,"C/F","NEW"))</f>
        <v/>
      </c>
    </row>
    <row r="79">
      <c r="A79" s="37"/>
      <c r="B79" s="37"/>
      <c r="C79" s="37"/>
      <c r="D79" s="37"/>
      <c r="E79" s="36"/>
      <c r="F79" s="36"/>
      <c r="G79" s="36" t="str">
        <f t="shared" si="1"/>
        <v/>
      </c>
      <c r="H79" s="5" t="str">
        <f>IF(B79="","",IF(IFERROR(MATCH(B79,'Advances_APR-2025'!B:B,0),0)&gt;0,"C/F","NEW"))</f>
        <v/>
      </c>
    </row>
    <row r="80">
      <c r="A80" s="37"/>
      <c r="B80" s="37"/>
      <c r="C80" s="37"/>
      <c r="D80" s="37"/>
      <c r="E80" s="36"/>
      <c r="F80" s="36"/>
      <c r="G80" s="36" t="str">
        <f t="shared" si="1"/>
        <v/>
      </c>
      <c r="H80" s="5" t="str">
        <f>IF(B80="","",IF(IFERROR(MATCH(B80,'Advances_APR-2025'!B:B,0),0)&gt;0,"C/F","NEW"))</f>
        <v/>
      </c>
    </row>
    <row r="81">
      <c r="A81" s="37"/>
      <c r="B81" s="37"/>
      <c r="C81" s="37"/>
      <c r="D81" s="37"/>
      <c r="E81" s="36"/>
      <c r="F81" s="36"/>
      <c r="G81" s="36" t="str">
        <f t="shared" si="1"/>
        <v/>
      </c>
      <c r="H81" s="5" t="str">
        <f>IF(B81="","",IF(IFERROR(MATCH(B81,'Advances_APR-2025'!B:B,0),0)&gt;0,"C/F","NEW"))</f>
        <v/>
      </c>
    </row>
    <row r="82">
      <c r="A82" s="37"/>
      <c r="B82" s="37"/>
      <c r="C82" s="37"/>
      <c r="D82" s="37"/>
      <c r="E82" s="36"/>
      <c r="F82" s="36"/>
      <c r="G82" s="36" t="str">
        <f t="shared" si="1"/>
        <v/>
      </c>
      <c r="H82" s="5" t="str">
        <f>IF(B82="","",IF(IFERROR(MATCH(B82,'Advances_APR-2025'!B:B,0),0)&gt;0,"C/F","NEW"))</f>
        <v/>
      </c>
    </row>
    <row r="83">
      <c r="A83" s="37"/>
      <c r="B83" s="37"/>
      <c r="C83" s="37"/>
      <c r="D83" s="37"/>
      <c r="E83" s="36"/>
      <c r="F83" s="36"/>
      <c r="G83" s="36" t="str">
        <f t="shared" si="1"/>
        <v/>
      </c>
      <c r="H83" s="5" t="str">
        <f>IF(B83="","",IF(IFERROR(MATCH(B83,'Advances_APR-2025'!B:B,0),0)&gt;0,"C/F","NEW"))</f>
        <v/>
      </c>
    </row>
    <row r="84">
      <c r="A84" s="37"/>
      <c r="B84" s="37"/>
      <c r="C84" s="37"/>
      <c r="D84" s="37"/>
      <c r="E84" s="36"/>
      <c r="F84" s="36"/>
      <c r="G84" s="36" t="str">
        <f t="shared" si="1"/>
        <v/>
      </c>
      <c r="H84" s="5" t="str">
        <f>IF(B84="","",IF(IFERROR(MATCH(B84,'Advances_APR-2025'!B:B,0),0)&gt;0,"C/F","NEW"))</f>
        <v/>
      </c>
    </row>
    <row r="85">
      <c r="A85" s="37"/>
      <c r="B85" s="37"/>
      <c r="C85" s="37"/>
      <c r="D85" s="37"/>
      <c r="E85" s="36"/>
      <c r="F85" s="36"/>
      <c r="G85" s="36" t="str">
        <f t="shared" si="1"/>
        <v/>
      </c>
      <c r="H85" s="5" t="str">
        <f>IF(B85="","",IF(IFERROR(MATCH(B85,'Advances_APR-2025'!B:B,0),0)&gt;0,"C/F","NEW"))</f>
        <v/>
      </c>
    </row>
    <row r="86">
      <c r="A86" s="37"/>
      <c r="B86" s="37"/>
      <c r="C86" s="37"/>
      <c r="D86" s="37"/>
      <c r="E86" s="36"/>
      <c r="F86" s="36"/>
      <c r="G86" s="36" t="str">
        <f t="shared" si="1"/>
        <v/>
      </c>
      <c r="H86" s="5" t="str">
        <f>IF(B86="","",IF(IFERROR(MATCH(B86,'Advances_APR-2025'!B:B,0),0)&gt;0,"C/F","NEW"))</f>
        <v/>
      </c>
    </row>
    <row r="87">
      <c r="A87" s="37"/>
      <c r="B87" s="37"/>
      <c r="C87" s="37"/>
      <c r="D87" s="37"/>
      <c r="E87" s="36"/>
      <c r="F87" s="36"/>
      <c r="G87" s="36" t="str">
        <f t="shared" si="1"/>
        <v/>
      </c>
      <c r="H87" s="5" t="str">
        <f>IF(B87="","",IF(IFERROR(MATCH(B87,'Advances_APR-2025'!B:B,0),0)&gt;0,"C/F","NEW"))</f>
        <v/>
      </c>
    </row>
    <row r="88">
      <c r="A88" s="37"/>
      <c r="B88" s="37"/>
      <c r="C88" s="37"/>
      <c r="D88" s="37"/>
      <c r="E88" s="36"/>
      <c r="F88" s="36"/>
      <c r="G88" s="36" t="str">
        <f t="shared" si="1"/>
        <v/>
      </c>
      <c r="H88" s="5" t="str">
        <f>IF(B88="","",IF(IFERROR(MATCH(B88,'Advances_APR-2025'!B:B,0),0)&gt;0,"C/F","NEW"))</f>
        <v/>
      </c>
    </row>
    <row r="89">
      <c r="A89" s="37"/>
      <c r="B89" s="37"/>
      <c r="C89" s="37"/>
      <c r="D89" s="37"/>
      <c r="E89" s="36"/>
      <c r="F89" s="36"/>
      <c r="G89" s="36" t="str">
        <f t="shared" si="1"/>
        <v/>
      </c>
      <c r="H89" s="5" t="str">
        <f>IF(B89="","",IF(IFERROR(MATCH(B89,'Advances_APR-2025'!B:B,0),0)&gt;0,"C/F","NEW"))</f>
        <v/>
      </c>
    </row>
    <row r="90">
      <c r="A90" s="37"/>
      <c r="B90" s="37"/>
      <c r="C90" s="37"/>
      <c r="D90" s="37"/>
      <c r="E90" s="36"/>
      <c r="F90" s="36"/>
      <c r="G90" s="36" t="str">
        <f t="shared" si="1"/>
        <v/>
      </c>
      <c r="H90" s="5" t="str">
        <f>IF(B90="","",IF(IFERROR(MATCH(B90,'Advances_APR-2025'!B:B,0),0)&gt;0,"C/F","NEW"))</f>
        <v/>
      </c>
    </row>
    <row r="91">
      <c r="A91" s="37"/>
      <c r="B91" s="37"/>
      <c r="C91" s="37"/>
      <c r="D91" s="37"/>
      <c r="E91" s="36"/>
      <c r="F91" s="36"/>
      <c r="G91" s="36" t="str">
        <f t="shared" si="1"/>
        <v/>
      </c>
      <c r="H91" s="5" t="str">
        <f>IF(B91="","",IF(IFERROR(MATCH(B91,'Advances_APR-2025'!B:B,0),0)&gt;0,"C/F","NEW"))</f>
        <v/>
      </c>
    </row>
    <row r="92">
      <c r="A92" s="37"/>
      <c r="B92" s="37"/>
      <c r="C92" s="37"/>
      <c r="D92" s="37"/>
      <c r="E92" s="36"/>
      <c r="F92" s="36"/>
      <c r="G92" s="36" t="str">
        <f t="shared" si="1"/>
        <v/>
      </c>
      <c r="H92" s="5" t="str">
        <f>IF(B92="","",IF(IFERROR(MATCH(B92,'Advances_APR-2025'!B:B,0),0)&gt;0,"C/F","NEW"))</f>
        <v/>
      </c>
    </row>
    <row r="93">
      <c r="A93" s="37"/>
      <c r="B93" s="37"/>
      <c r="C93" s="37"/>
      <c r="D93" s="37"/>
      <c r="E93" s="36"/>
      <c r="F93" s="36"/>
      <c r="G93" s="36" t="str">
        <f t="shared" si="1"/>
        <v/>
      </c>
      <c r="H93" s="5" t="str">
        <f>IF(B93="","",IF(IFERROR(MATCH(B93,'Advances_APR-2025'!B:B,0),0)&gt;0,"C/F","NEW"))</f>
        <v/>
      </c>
    </row>
    <row r="94">
      <c r="A94" s="37"/>
      <c r="B94" s="37"/>
      <c r="C94" s="37"/>
      <c r="D94" s="37"/>
      <c r="E94" s="36"/>
      <c r="F94" s="36"/>
      <c r="G94" s="36" t="str">
        <f t="shared" si="1"/>
        <v/>
      </c>
      <c r="H94" s="5" t="str">
        <f>IF(B94="","",IF(IFERROR(MATCH(B94,'Advances_APR-2025'!B:B,0),0)&gt;0,"C/F","NEW"))</f>
        <v/>
      </c>
    </row>
    <row r="95">
      <c r="A95" s="37"/>
      <c r="B95" s="37"/>
      <c r="C95" s="37"/>
      <c r="D95" s="37"/>
      <c r="E95" s="36"/>
      <c r="F95" s="36"/>
      <c r="G95" s="36" t="str">
        <f t="shared" si="1"/>
        <v/>
      </c>
      <c r="H95" s="5" t="str">
        <f>IF(B95="","",IF(IFERROR(MATCH(B95,'Advances_APR-2025'!B:B,0),0)&gt;0,"C/F","NEW"))</f>
        <v/>
      </c>
    </row>
    <row r="96">
      <c r="A96" s="37"/>
      <c r="B96" s="37"/>
      <c r="C96" s="37"/>
      <c r="D96" s="37"/>
      <c r="E96" s="36"/>
      <c r="F96" s="36"/>
      <c r="G96" s="36" t="str">
        <f t="shared" si="1"/>
        <v/>
      </c>
      <c r="H96" s="5" t="str">
        <f>IF(B96="","",IF(IFERROR(MATCH(B96,'Advances_APR-2025'!B:B,0),0)&gt;0,"C/F","NEW"))</f>
        <v/>
      </c>
    </row>
    <row r="97">
      <c r="A97" s="37"/>
      <c r="B97" s="37"/>
      <c r="C97" s="37"/>
      <c r="D97" s="37"/>
      <c r="E97" s="36"/>
      <c r="F97" s="36"/>
      <c r="G97" s="36" t="str">
        <f t="shared" si="1"/>
        <v/>
      </c>
      <c r="H97" s="5" t="str">
        <f>IF(B97="","",IF(IFERROR(MATCH(B97,'Advances_APR-2025'!B:B,0),0)&gt;0,"C/F","NEW"))</f>
        <v/>
      </c>
    </row>
    <row r="98">
      <c r="A98" s="37"/>
      <c r="B98" s="37"/>
      <c r="C98" s="37"/>
      <c r="D98" s="37"/>
      <c r="E98" s="36"/>
      <c r="F98" s="36"/>
      <c r="G98" s="36" t="str">
        <f t="shared" si="1"/>
        <v/>
      </c>
      <c r="H98" s="5" t="str">
        <f>IF(B98="","",IF(IFERROR(MATCH(B98,'Advances_APR-2025'!B:B,0),0)&gt;0,"C/F","NEW"))</f>
        <v/>
      </c>
    </row>
    <row r="99">
      <c r="A99" s="37"/>
      <c r="B99" s="37"/>
      <c r="C99" s="37"/>
      <c r="D99" s="37"/>
      <c r="E99" s="36"/>
      <c r="F99" s="36"/>
      <c r="G99" s="36" t="str">
        <f t="shared" si="1"/>
        <v/>
      </c>
      <c r="H99" s="5" t="str">
        <f>IF(B99="","",IF(IFERROR(MATCH(B99,'Advances_APR-2025'!B:B,0),0)&gt;0,"C/F","NEW"))</f>
        <v/>
      </c>
    </row>
    <row r="100">
      <c r="A100" s="37"/>
      <c r="B100" s="37"/>
      <c r="C100" s="37"/>
      <c r="D100" s="37"/>
      <c r="E100" s="36"/>
      <c r="F100" s="36"/>
      <c r="G100" s="36" t="str">
        <f t="shared" si="1"/>
        <v/>
      </c>
      <c r="H100" s="5" t="str">
        <f>IF(B100="","",IF(IFERROR(MATCH(B100,'Advances_APR-2025'!B:B,0),0)&gt;0,"C/F","NEW"))</f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>
        <f t="shared" ref="E102:F102" si="2">SUM(E7:E101)</f>
        <v>307987.59</v>
      </c>
      <c r="F102" s="55">
        <f t="shared" si="2"/>
        <v>0</v>
      </c>
      <c r="G102" s="56"/>
    </row>
  </sheetData>
  <mergeCells count="2">
    <mergeCell ref="A1:G1"/>
    <mergeCell ref="A5:G5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2360</v>
      </c>
    </row>
    <row r="3">
      <c r="A3" s="57" t="s">
        <v>110</v>
      </c>
      <c r="B3" s="58">
        <v>-109186.92000000006</v>
      </c>
      <c r="D3" s="57" t="s">
        <v>111</v>
      </c>
      <c r="E3" s="59">
        <f>-17267.64+SUM(E7:E1000)-SUM(F7:F1000)</f>
        <v>-95983.55</v>
      </c>
    </row>
    <row r="5">
      <c r="A5" s="7" t="s">
        <v>121</v>
      </c>
    </row>
    <row r="6">
      <c r="A6" s="41" t="s">
        <v>113</v>
      </c>
      <c r="B6" s="41" t="s">
        <v>122</v>
      </c>
      <c r="C6" s="41" t="s">
        <v>115</v>
      </c>
      <c r="D6" s="41" t="s">
        <v>123</v>
      </c>
      <c r="E6" s="41" t="s">
        <v>124</v>
      </c>
      <c r="F6" s="41" t="s">
        <v>125</v>
      </c>
      <c r="G6" s="41" t="s">
        <v>119</v>
      </c>
    </row>
    <row r="7">
      <c r="A7" s="60" t="s">
        <v>1066</v>
      </c>
      <c r="B7" s="60" t="s">
        <v>1164</v>
      </c>
      <c r="C7" s="60" t="s">
        <v>1165</v>
      </c>
      <c r="D7" s="37"/>
      <c r="E7" s="68">
        <v>0.0</v>
      </c>
      <c r="F7" s="68">
        <v>1.0</v>
      </c>
      <c r="G7" s="36">
        <f>IF(AND(E7="",F7=""),"",B3+E7-F7)</f>
        <v>-109187.92</v>
      </c>
    </row>
    <row r="8">
      <c r="A8" s="60" t="s">
        <v>1166</v>
      </c>
      <c r="B8" s="60" t="s">
        <v>1167</v>
      </c>
      <c r="C8" s="60" t="s">
        <v>1168</v>
      </c>
      <c r="D8" s="37"/>
      <c r="E8" s="68">
        <v>0.0</v>
      </c>
      <c r="F8" s="68">
        <v>2550.0</v>
      </c>
      <c r="G8" s="36">
        <f t="shared" ref="G8:G100" si="1">IF(AND(E8="",F8=""),"",G7+E8-F8)</f>
        <v>-111737.92</v>
      </c>
    </row>
    <row r="9">
      <c r="A9" s="69">
        <v>45690.0</v>
      </c>
      <c r="B9" s="60" t="s">
        <v>1169</v>
      </c>
      <c r="C9" s="60" t="s">
        <v>1160</v>
      </c>
      <c r="D9" s="37"/>
      <c r="E9" s="68">
        <v>0.0</v>
      </c>
      <c r="F9" s="68">
        <v>2500.0</v>
      </c>
      <c r="G9" s="36">
        <f t="shared" si="1"/>
        <v>-114237.92</v>
      </c>
    </row>
    <row r="10">
      <c r="A10" s="69">
        <v>45750.0</v>
      </c>
      <c r="B10" s="60" t="s">
        <v>1170</v>
      </c>
      <c r="C10" s="60" t="s">
        <v>1160</v>
      </c>
      <c r="D10" s="37"/>
      <c r="E10" s="68">
        <v>0.0</v>
      </c>
      <c r="F10" s="68">
        <v>2000.0</v>
      </c>
      <c r="G10" s="36">
        <f t="shared" si="1"/>
        <v>-116237.92</v>
      </c>
    </row>
    <row r="11">
      <c r="A11" s="63" t="s">
        <v>1171</v>
      </c>
      <c r="B11" s="85"/>
      <c r="C11" s="60" t="s">
        <v>1172</v>
      </c>
      <c r="D11" s="37"/>
      <c r="E11" s="68">
        <v>201.0</v>
      </c>
      <c r="F11" s="68">
        <v>0.0</v>
      </c>
      <c r="G11" s="36">
        <f t="shared" si="1"/>
        <v>-116036.92</v>
      </c>
    </row>
    <row r="12">
      <c r="A12" s="60" t="s">
        <v>2090</v>
      </c>
      <c r="B12" s="60" t="s">
        <v>2091</v>
      </c>
      <c r="C12" s="60" t="s">
        <v>1579</v>
      </c>
      <c r="D12" s="37"/>
      <c r="E12" s="68">
        <v>0.0</v>
      </c>
      <c r="F12" s="68">
        <v>425.0</v>
      </c>
      <c r="G12" s="36">
        <f t="shared" si="1"/>
        <v>-116461.92</v>
      </c>
    </row>
    <row r="13">
      <c r="A13" s="69">
        <v>45692.0</v>
      </c>
      <c r="B13" s="60" t="s">
        <v>2211</v>
      </c>
      <c r="C13" s="60" t="s">
        <v>2361</v>
      </c>
      <c r="D13" s="37"/>
      <c r="E13" s="68">
        <v>0.0</v>
      </c>
      <c r="F13" s="68">
        <v>490.0</v>
      </c>
      <c r="G13" s="36">
        <f t="shared" si="1"/>
        <v>-116951.92</v>
      </c>
    </row>
    <row r="14">
      <c r="A14" s="69">
        <v>45842.0</v>
      </c>
      <c r="B14" s="60" t="s">
        <v>2214</v>
      </c>
      <c r="C14" s="60" t="s">
        <v>2361</v>
      </c>
      <c r="D14" s="37"/>
      <c r="E14" s="68">
        <v>0.0</v>
      </c>
      <c r="F14" s="68">
        <v>496.94</v>
      </c>
      <c r="G14" s="36">
        <f t="shared" si="1"/>
        <v>-117448.86</v>
      </c>
    </row>
    <row r="15">
      <c r="A15" s="69">
        <v>45873.0</v>
      </c>
      <c r="B15" s="60" t="s">
        <v>1173</v>
      </c>
      <c r="C15" s="60" t="s">
        <v>1160</v>
      </c>
      <c r="D15" s="37"/>
      <c r="E15" s="68">
        <v>0.0</v>
      </c>
      <c r="F15" s="68">
        <v>1500.0</v>
      </c>
      <c r="G15" s="36">
        <f t="shared" si="1"/>
        <v>-118948.86</v>
      </c>
    </row>
    <row r="16">
      <c r="A16" s="69">
        <v>45965.0</v>
      </c>
      <c r="B16" s="60" t="s">
        <v>1174</v>
      </c>
      <c r="C16" s="60" t="s">
        <v>1175</v>
      </c>
      <c r="D16" s="37"/>
      <c r="E16" s="68">
        <v>0.0</v>
      </c>
      <c r="F16" s="68">
        <v>0.02</v>
      </c>
      <c r="G16" s="36">
        <f t="shared" si="1"/>
        <v>-118948.88</v>
      </c>
    </row>
    <row r="17">
      <c r="A17" s="60" t="s">
        <v>2196</v>
      </c>
      <c r="B17" s="60" t="s">
        <v>2222</v>
      </c>
      <c r="C17" s="60" t="s">
        <v>2361</v>
      </c>
      <c r="D17" s="37"/>
      <c r="E17" s="68">
        <v>0.0</v>
      </c>
      <c r="F17" s="68">
        <v>242.0</v>
      </c>
      <c r="G17" s="36">
        <f t="shared" si="1"/>
        <v>-119190.88</v>
      </c>
    </row>
    <row r="18">
      <c r="A18" s="60" t="s">
        <v>2223</v>
      </c>
      <c r="B18" s="60" t="s">
        <v>2225</v>
      </c>
      <c r="C18" s="60" t="s">
        <v>1999</v>
      </c>
      <c r="D18" s="37"/>
      <c r="E18" s="68">
        <v>0.0</v>
      </c>
      <c r="F18" s="68">
        <v>386.0</v>
      </c>
      <c r="G18" s="36">
        <f t="shared" si="1"/>
        <v>-119576.88</v>
      </c>
    </row>
    <row r="19">
      <c r="A19" s="60" t="s">
        <v>2229</v>
      </c>
      <c r="B19" s="60" t="s">
        <v>2230</v>
      </c>
      <c r="C19" s="60" t="s">
        <v>2361</v>
      </c>
      <c r="D19" s="37"/>
      <c r="E19" s="68">
        <v>0.0</v>
      </c>
      <c r="F19" s="68">
        <v>374.99</v>
      </c>
      <c r="G19" s="36">
        <f t="shared" si="1"/>
        <v>-119951.87</v>
      </c>
    </row>
    <row r="20">
      <c r="A20" s="60" t="s">
        <v>1176</v>
      </c>
      <c r="B20" s="60" t="s">
        <v>1177</v>
      </c>
      <c r="C20" s="60" t="s">
        <v>1160</v>
      </c>
      <c r="D20" s="37"/>
      <c r="E20" s="68">
        <v>0.0</v>
      </c>
      <c r="F20" s="68">
        <v>285.96</v>
      </c>
      <c r="G20" s="36">
        <f t="shared" si="1"/>
        <v>-120237.83</v>
      </c>
    </row>
    <row r="21">
      <c r="A21" s="60" t="s">
        <v>1176</v>
      </c>
      <c r="B21" s="60" t="s">
        <v>1178</v>
      </c>
      <c r="C21" s="60" t="s">
        <v>1160</v>
      </c>
      <c r="D21" s="37"/>
      <c r="E21" s="68">
        <v>0.0</v>
      </c>
      <c r="F21" s="68">
        <v>1380.0</v>
      </c>
      <c r="G21" s="36">
        <f t="shared" si="1"/>
        <v>-121617.83</v>
      </c>
    </row>
    <row r="22">
      <c r="A22" s="60" t="s">
        <v>1176</v>
      </c>
      <c r="B22" s="60" t="s">
        <v>2231</v>
      </c>
      <c r="C22" s="60" t="s">
        <v>2361</v>
      </c>
      <c r="D22" s="37"/>
      <c r="E22" s="68">
        <v>0.0</v>
      </c>
      <c r="F22" s="68">
        <v>400.0</v>
      </c>
      <c r="G22" s="36">
        <f t="shared" si="1"/>
        <v>-122017.83</v>
      </c>
    </row>
    <row r="23">
      <c r="A23" s="60" t="s">
        <v>2247</v>
      </c>
      <c r="B23" s="60" t="s">
        <v>2248</v>
      </c>
      <c r="C23" s="60" t="s">
        <v>1999</v>
      </c>
      <c r="D23" s="37"/>
      <c r="E23" s="68">
        <v>0.0</v>
      </c>
      <c r="F23" s="68">
        <v>169.0</v>
      </c>
      <c r="G23" s="36">
        <f t="shared" si="1"/>
        <v>-122186.83</v>
      </c>
    </row>
    <row r="24">
      <c r="A24" s="60" t="s">
        <v>1179</v>
      </c>
      <c r="B24" s="60" t="s">
        <v>1180</v>
      </c>
      <c r="C24" s="60" t="s">
        <v>1160</v>
      </c>
      <c r="D24" s="37"/>
      <c r="E24" s="68">
        <v>0.0</v>
      </c>
      <c r="F24" s="68">
        <v>1000.0</v>
      </c>
      <c r="G24" s="36">
        <f t="shared" si="1"/>
        <v>-123186.83</v>
      </c>
    </row>
    <row r="25">
      <c r="A25" s="60" t="s">
        <v>1179</v>
      </c>
      <c r="B25" s="60" t="s">
        <v>2254</v>
      </c>
      <c r="C25" s="60" t="s">
        <v>2361</v>
      </c>
      <c r="D25" s="37"/>
      <c r="E25" s="68">
        <v>0.0</v>
      </c>
      <c r="F25" s="68">
        <v>400.0</v>
      </c>
      <c r="G25" s="36">
        <f t="shared" si="1"/>
        <v>-123586.83</v>
      </c>
    </row>
    <row r="26">
      <c r="A26" s="80">
        <v>45301.0</v>
      </c>
      <c r="B26" s="60" t="s">
        <v>1181</v>
      </c>
      <c r="C26" s="60" t="s">
        <v>1182</v>
      </c>
      <c r="D26" s="37"/>
      <c r="E26" s="79"/>
      <c r="F26" s="68">
        <v>4000.0</v>
      </c>
      <c r="G26" s="36">
        <f t="shared" si="1"/>
        <v>-127586.83</v>
      </c>
    </row>
    <row r="27">
      <c r="A27" s="69">
        <v>45721.0</v>
      </c>
      <c r="B27" s="60" t="s">
        <v>1183</v>
      </c>
      <c r="C27" s="60" t="s">
        <v>1184</v>
      </c>
      <c r="D27" s="37"/>
      <c r="E27" s="68">
        <v>0.0</v>
      </c>
      <c r="F27" s="68">
        <v>0.01</v>
      </c>
      <c r="G27" s="36">
        <f t="shared" si="1"/>
        <v>-127586.84</v>
      </c>
    </row>
    <row r="28">
      <c r="A28" s="69">
        <v>45782.0</v>
      </c>
      <c r="B28" s="60" t="s">
        <v>1185</v>
      </c>
      <c r="C28" s="60" t="s">
        <v>1168</v>
      </c>
      <c r="D28" s="37"/>
      <c r="E28" s="68">
        <v>0.0</v>
      </c>
      <c r="F28" s="68">
        <v>1600.0</v>
      </c>
      <c r="G28" s="36">
        <f t="shared" si="1"/>
        <v>-129186.84</v>
      </c>
    </row>
    <row r="29">
      <c r="A29" s="69">
        <v>45782.0</v>
      </c>
      <c r="B29" s="60" t="s">
        <v>2362</v>
      </c>
      <c r="C29" s="60" t="s">
        <v>2361</v>
      </c>
      <c r="D29" s="37"/>
      <c r="E29" s="68">
        <v>0.0</v>
      </c>
      <c r="F29" s="68">
        <v>330.0</v>
      </c>
      <c r="G29" s="36">
        <f t="shared" si="1"/>
        <v>-129516.84</v>
      </c>
    </row>
    <row r="30">
      <c r="A30" s="69">
        <v>45782.0</v>
      </c>
      <c r="B30" s="60" t="s">
        <v>2363</v>
      </c>
      <c r="C30" s="60" t="s">
        <v>1495</v>
      </c>
      <c r="D30" s="37"/>
      <c r="E30" s="68">
        <v>0.0</v>
      </c>
      <c r="F30" s="68">
        <v>2730.0</v>
      </c>
      <c r="G30" s="36">
        <f t="shared" si="1"/>
        <v>-132246.84</v>
      </c>
    </row>
    <row r="31">
      <c r="A31" s="69">
        <v>45813.0</v>
      </c>
      <c r="B31" s="60" t="s">
        <v>2364</v>
      </c>
      <c r="C31" s="60" t="s">
        <v>2361</v>
      </c>
      <c r="D31" s="37"/>
      <c r="E31" s="68">
        <v>0.0</v>
      </c>
      <c r="F31" s="68">
        <v>920.0</v>
      </c>
      <c r="G31" s="36">
        <f t="shared" si="1"/>
        <v>-133166.84</v>
      </c>
    </row>
    <row r="32">
      <c r="A32" s="69">
        <v>45966.0</v>
      </c>
      <c r="B32" s="60" t="s">
        <v>2365</v>
      </c>
      <c r="C32" s="60" t="s">
        <v>2366</v>
      </c>
      <c r="D32" s="37"/>
      <c r="E32" s="68">
        <v>0.0</v>
      </c>
      <c r="F32" s="68">
        <v>17.0</v>
      </c>
      <c r="G32" s="36">
        <f t="shared" si="1"/>
        <v>-133183.84</v>
      </c>
    </row>
    <row r="33">
      <c r="A33" s="69">
        <v>45996.0</v>
      </c>
      <c r="B33" s="60" t="s">
        <v>1186</v>
      </c>
      <c r="C33" s="60" t="s">
        <v>1168</v>
      </c>
      <c r="D33" s="37"/>
      <c r="E33" s="68">
        <v>0.0</v>
      </c>
      <c r="F33" s="68">
        <v>1000.0</v>
      </c>
      <c r="G33" s="36">
        <f t="shared" si="1"/>
        <v>-134183.84</v>
      </c>
    </row>
    <row r="34">
      <c r="A34" s="60" t="s">
        <v>2367</v>
      </c>
      <c r="B34" s="60" t="s">
        <v>2368</v>
      </c>
      <c r="C34" s="60" t="s">
        <v>2369</v>
      </c>
      <c r="D34" s="37"/>
      <c r="E34" s="68">
        <v>0.0</v>
      </c>
      <c r="F34" s="68">
        <v>51.0</v>
      </c>
      <c r="G34" s="36">
        <f t="shared" si="1"/>
        <v>-134234.84</v>
      </c>
    </row>
    <row r="35">
      <c r="A35" s="60" t="s">
        <v>2370</v>
      </c>
      <c r="B35" s="60" t="s">
        <v>2371</v>
      </c>
      <c r="C35" s="60" t="s">
        <v>1495</v>
      </c>
      <c r="D35" s="37"/>
      <c r="E35" s="68">
        <v>0.0</v>
      </c>
      <c r="F35" s="68">
        <v>391.95</v>
      </c>
      <c r="G35" s="36">
        <f t="shared" si="1"/>
        <v>-134626.79</v>
      </c>
    </row>
    <row r="36">
      <c r="A36" s="60" t="s">
        <v>2370</v>
      </c>
      <c r="B36" s="60" t="s">
        <v>2372</v>
      </c>
      <c r="C36" s="60" t="s">
        <v>2373</v>
      </c>
      <c r="D36" s="37"/>
      <c r="E36" s="68">
        <v>0.0</v>
      </c>
      <c r="F36" s="68">
        <v>100.0</v>
      </c>
      <c r="G36" s="36">
        <f t="shared" si="1"/>
        <v>-134726.79</v>
      </c>
    </row>
    <row r="37">
      <c r="A37" s="60" t="s">
        <v>1187</v>
      </c>
      <c r="B37" s="60" t="s">
        <v>2374</v>
      </c>
      <c r="C37" s="60" t="s">
        <v>1548</v>
      </c>
      <c r="D37" s="37"/>
      <c r="E37" s="68">
        <v>0.0</v>
      </c>
      <c r="F37" s="68">
        <v>1350.0</v>
      </c>
      <c r="G37" s="36">
        <f t="shared" si="1"/>
        <v>-136076.79</v>
      </c>
    </row>
    <row r="38">
      <c r="A38" s="60" t="s">
        <v>1187</v>
      </c>
      <c r="B38" s="60" t="s">
        <v>2375</v>
      </c>
      <c r="C38" s="60" t="s">
        <v>2361</v>
      </c>
      <c r="D38" s="37"/>
      <c r="E38" s="68">
        <v>0.0</v>
      </c>
      <c r="F38" s="68">
        <v>380.0</v>
      </c>
      <c r="G38" s="36">
        <f t="shared" si="1"/>
        <v>-136456.79</v>
      </c>
    </row>
    <row r="39">
      <c r="A39" s="60" t="s">
        <v>1187</v>
      </c>
      <c r="B39" s="60" t="s">
        <v>1188</v>
      </c>
      <c r="C39" s="60" t="s">
        <v>1168</v>
      </c>
      <c r="D39" s="37"/>
      <c r="E39" s="68">
        <v>0.0</v>
      </c>
      <c r="F39" s="68">
        <v>1389.0</v>
      </c>
      <c r="G39" s="36">
        <f t="shared" si="1"/>
        <v>-137845.79</v>
      </c>
    </row>
    <row r="40">
      <c r="A40" s="60" t="s">
        <v>1187</v>
      </c>
      <c r="B40" s="60" t="s">
        <v>2376</v>
      </c>
      <c r="C40" s="60" t="s">
        <v>2377</v>
      </c>
      <c r="D40" s="37"/>
      <c r="E40" s="68">
        <v>0.0</v>
      </c>
      <c r="F40" s="68">
        <v>562.0</v>
      </c>
      <c r="G40" s="36">
        <f t="shared" si="1"/>
        <v>-138407.79</v>
      </c>
    </row>
    <row r="41">
      <c r="A41" s="60" t="s">
        <v>1187</v>
      </c>
      <c r="B41" s="60" t="s">
        <v>2378</v>
      </c>
      <c r="C41" s="60" t="s">
        <v>2369</v>
      </c>
      <c r="D41" s="37"/>
      <c r="E41" s="68">
        <v>0.0</v>
      </c>
      <c r="F41" s="68">
        <v>3639.66</v>
      </c>
      <c r="G41" s="36">
        <f t="shared" si="1"/>
        <v>-142047.45</v>
      </c>
    </row>
    <row r="42">
      <c r="A42" s="60" t="s">
        <v>1189</v>
      </c>
      <c r="B42" s="60" t="s">
        <v>2379</v>
      </c>
      <c r="C42" s="60" t="s">
        <v>2377</v>
      </c>
      <c r="D42" s="37"/>
      <c r="E42" s="68">
        <v>0.0</v>
      </c>
      <c r="F42" s="68">
        <v>129.11</v>
      </c>
      <c r="G42" s="36">
        <f t="shared" si="1"/>
        <v>-142176.56</v>
      </c>
    </row>
    <row r="43">
      <c r="A43" s="60" t="s">
        <v>1189</v>
      </c>
      <c r="B43" s="60" t="s">
        <v>2380</v>
      </c>
      <c r="C43" s="60" t="s">
        <v>2381</v>
      </c>
      <c r="D43" s="37"/>
      <c r="E43" s="68">
        <v>0.0</v>
      </c>
      <c r="F43" s="68">
        <v>218.0</v>
      </c>
      <c r="G43" s="36">
        <f t="shared" si="1"/>
        <v>-142394.56</v>
      </c>
    </row>
    <row r="44">
      <c r="A44" s="60" t="s">
        <v>1189</v>
      </c>
      <c r="B44" s="60" t="s">
        <v>1190</v>
      </c>
      <c r="C44" s="60" t="s">
        <v>1191</v>
      </c>
      <c r="D44" s="37"/>
      <c r="E44" s="68">
        <v>0.0</v>
      </c>
      <c r="F44" s="68">
        <v>523.92</v>
      </c>
      <c r="G44" s="36">
        <f t="shared" si="1"/>
        <v>-142918.48</v>
      </c>
    </row>
    <row r="45">
      <c r="A45" s="60" t="s">
        <v>1189</v>
      </c>
      <c r="B45" s="60" t="s">
        <v>2382</v>
      </c>
      <c r="C45" s="60" t="s">
        <v>1548</v>
      </c>
      <c r="D45" s="37"/>
      <c r="E45" s="68">
        <v>0.0</v>
      </c>
      <c r="F45" s="68">
        <v>596.0</v>
      </c>
      <c r="G45" s="36">
        <f t="shared" si="1"/>
        <v>-143514.48</v>
      </c>
    </row>
    <row r="46">
      <c r="A46" s="60" t="s">
        <v>2383</v>
      </c>
      <c r="B46" s="60" t="s">
        <v>2384</v>
      </c>
      <c r="C46" s="60" t="s">
        <v>1548</v>
      </c>
      <c r="D46" s="37"/>
      <c r="E46" s="68">
        <v>0.0</v>
      </c>
      <c r="F46" s="68">
        <v>711.0</v>
      </c>
      <c r="G46" s="36">
        <f t="shared" si="1"/>
        <v>-144225.48</v>
      </c>
    </row>
    <row r="47">
      <c r="A47" s="60" t="s">
        <v>2383</v>
      </c>
      <c r="B47" s="60" t="s">
        <v>2385</v>
      </c>
      <c r="C47" s="60" t="s">
        <v>2377</v>
      </c>
      <c r="D47" s="37"/>
      <c r="E47" s="68">
        <v>0.0</v>
      </c>
      <c r="F47" s="68">
        <v>33.99</v>
      </c>
      <c r="G47" s="36">
        <f t="shared" si="1"/>
        <v>-144259.47</v>
      </c>
    </row>
    <row r="48">
      <c r="A48" s="60" t="s">
        <v>2383</v>
      </c>
      <c r="B48" s="60" t="s">
        <v>2386</v>
      </c>
      <c r="C48" s="60" t="s">
        <v>1168</v>
      </c>
      <c r="D48" s="37"/>
      <c r="E48" s="68">
        <v>0.0</v>
      </c>
      <c r="F48" s="68">
        <v>666.0</v>
      </c>
      <c r="G48" s="36">
        <f t="shared" si="1"/>
        <v>-144925.47</v>
      </c>
    </row>
    <row r="49">
      <c r="A49" s="60" t="s">
        <v>2387</v>
      </c>
      <c r="B49" s="60" t="s">
        <v>2388</v>
      </c>
      <c r="C49" s="60" t="s">
        <v>2369</v>
      </c>
      <c r="D49" s="37"/>
      <c r="E49" s="68">
        <v>0.0</v>
      </c>
      <c r="F49" s="68">
        <v>677.98</v>
      </c>
      <c r="G49" s="36">
        <f t="shared" si="1"/>
        <v>-145603.45</v>
      </c>
    </row>
    <row r="50">
      <c r="A50" s="60" t="s">
        <v>2387</v>
      </c>
      <c r="B50" s="60" t="s">
        <v>2389</v>
      </c>
      <c r="C50" s="60" t="s">
        <v>2361</v>
      </c>
      <c r="D50" s="37"/>
      <c r="E50" s="68">
        <v>0.0</v>
      </c>
      <c r="F50" s="68">
        <v>378.0</v>
      </c>
      <c r="G50" s="36">
        <f t="shared" si="1"/>
        <v>-145981.45</v>
      </c>
    </row>
    <row r="51">
      <c r="A51" s="60" t="s">
        <v>2390</v>
      </c>
      <c r="B51" s="60" t="s">
        <v>2391</v>
      </c>
      <c r="C51" s="60" t="s">
        <v>2377</v>
      </c>
      <c r="D51" s="37"/>
      <c r="E51" s="68">
        <v>0.0</v>
      </c>
      <c r="F51" s="68">
        <v>108.98</v>
      </c>
      <c r="G51" s="36">
        <f t="shared" si="1"/>
        <v>-146090.43</v>
      </c>
    </row>
    <row r="52">
      <c r="A52" s="60" t="s">
        <v>2390</v>
      </c>
      <c r="B52" s="60" t="s">
        <v>2392</v>
      </c>
      <c r="C52" s="60" t="s">
        <v>2377</v>
      </c>
      <c r="D52" s="37"/>
      <c r="E52" s="68">
        <v>0.0</v>
      </c>
      <c r="F52" s="68">
        <v>89.33</v>
      </c>
      <c r="G52" s="36">
        <f t="shared" si="1"/>
        <v>-146179.76</v>
      </c>
    </row>
    <row r="53">
      <c r="A53" s="60" t="s">
        <v>2390</v>
      </c>
      <c r="B53" s="60" t="s">
        <v>2393</v>
      </c>
      <c r="C53" s="60" t="s">
        <v>1656</v>
      </c>
      <c r="D53" s="37"/>
      <c r="E53" s="68">
        <v>0.0</v>
      </c>
      <c r="F53" s="68">
        <v>1259.0</v>
      </c>
      <c r="G53" s="36">
        <f t="shared" si="1"/>
        <v>-147438.76</v>
      </c>
    </row>
    <row r="54">
      <c r="A54" s="60" t="s">
        <v>2394</v>
      </c>
      <c r="B54" s="60" t="s">
        <v>2395</v>
      </c>
      <c r="C54" s="60" t="s">
        <v>2369</v>
      </c>
      <c r="D54" s="37"/>
      <c r="E54" s="68">
        <v>0.0</v>
      </c>
      <c r="F54" s="68">
        <v>1325.0</v>
      </c>
      <c r="G54" s="36">
        <f t="shared" si="1"/>
        <v>-148763.76</v>
      </c>
    </row>
    <row r="55">
      <c r="A55" s="60" t="s">
        <v>2394</v>
      </c>
      <c r="B55" s="60" t="s">
        <v>2396</v>
      </c>
      <c r="C55" s="60" t="s">
        <v>1548</v>
      </c>
      <c r="D55" s="37"/>
      <c r="E55" s="68">
        <v>0.0</v>
      </c>
      <c r="F55" s="68">
        <v>10296.5</v>
      </c>
      <c r="G55" s="36">
        <f t="shared" si="1"/>
        <v>-159060.26</v>
      </c>
    </row>
    <row r="56">
      <c r="A56" s="60" t="s">
        <v>1192</v>
      </c>
      <c r="B56" s="60" t="s">
        <v>1193</v>
      </c>
      <c r="C56" s="60" t="s">
        <v>1168</v>
      </c>
      <c r="D56" s="37"/>
      <c r="E56" s="68">
        <v>0.0</v>
      </c>
      <c r="F56" s="68">
        <v>1000.0</v>
      </c>
      <c r="G56" s="36">
        <f t="shared" si="1"/>
        <v>-160060.26</v>
      </c>
    </row>
    <row r="57">
      <c r="A57" s="60" t="s">
        <v>1192</v>
      </c>
      <c r="B57" s="60" t="s">
        <v>2397</v>
      </c>
      <c r="C57" s="60" t="s">
        <v>1999</v>
      </c>
      <c r="D57" s="37"/>
      <c r="E57" s="68">
        <v>0.0</v>
      </c>
      <c r="F57" s="68">
        <v>368.0</v>
      </c>
      <c r="G57" s="36">
        <f t="shared" si="1"/>
        <v>-160428.26</v>
      </c>
    </row>
    <row r="58">
      <c r="A58" s="60" t="s">
        <v>1192</v>
      </c>
      <c r="B58" s="60" t="s">
        <v>2398</v>
      </c>
      <c r="C58" s="60" t="s">
        <v>2369</v>
      </c>
      <c r="D58" s="37"/>
      <c r="E58" s="68">
        <v>0.0</v>
      </c>
      <c r="F58" s="68">
        <v>27.19</v>
      </c>
      <c r="G58" s="36">
        <f t="shared" si="1"/>
        <v>-160455.45</v>
      </c>
    </row>
    <row r="59">
      <c r="A59" s="60" t="s">
        <v>1077</v>
      </c>
      <c r="B59" s="60" t="s">
        <v>2399</v>
      </c>
      <c r="C59" s="60" t="s">
        <v>2381</v>
      </c>
      <c r="D59" s="37"/>
      <c r="E59" s="68">
        <v>0.0</v>
      </c>
      <c r="F59" s="68">
        <v>263.0</v>
      </c>
      <c r="G59" s="36">
        <f t="shared" si="1"/>
        <v>-160718.45</v>
      </c>
    </row>
    <row r="60">
      <c r="A60" s="60" t="s">
        <v>1077</v>
      </c>
      <c r="B60" s="60" t="s">
        <v>2400</v>
      </c>
      <c r="C60" s="60" t="s">
        <v>2377</v>
      </c>
      <c r="D60" s="37"/>
      <c r="E60" s="68">
        <v>0.0</v>
      </c>
      <c r="F60" s="68">
        <v>108.98</v>
      </c>
      <c r="G60" s="36">
        <f t="shared" si="1"/>
        <v>-160827.43</v>
      </c>
    </row>
    <row r="61">
      <c r="A61" s="60" t="s">
        <v>2401</v>
      </c>
      <c r="B61" s="60" t="s">
        <v>2402</v>
      </c>
      <c r="C61" s="60" t="s">
        <v>1557</v>
      </c>
      <c r="D61" s="37"/>
      <c r="E61" s="68">
        <v>6774.0</v>
      </c>
      <c r="F61" s="68">
        <v>0.0</v>
      </c>
      <c r="G61" s="36">
        <f t="shared" si="1"/>
        <v>-154053.43</v>
      </c>
    </row>
    <row r="62">
      <c r="A62" s="60" t="s">
        <v>2401</v>
      </c>
      <c r="B62" s="60" t="s">
        <v>2403</v>
      </c>
      <c r="C62" s="60" t="s">
        <v>2369</v>
      </c>
      <c r="D62" s="37"/>
      <c r="E62" s="68">
        <v>0.0</v>
      </c>
      <c r="F62" s="68">
        <v>113.0</v>
      </c>
      <c r="G62" s="36">
        <f t="shared" si="1"/>
        <v>-154166.43</v>
      </c>
    </row>
    <row r="63">
      <c r="A63" s="60" t="s">
        <v>2401</v>
      </c>
      <c r="B63" s="60" t="s">
        <v>2404</v>
      </c>
      <c r="C63" s="60" t="s">
        <v>2010</v>
      </c>
      <c r="D63" s="37"/>
      <c r="E63" s="68">
        <v>0.0</v>
      </c>
      <c r="F63" s="68">
        <v>1967.0</v>
      </c>
      <c r="G63" s="36">
        <f t="shared" si="1"/>
        <v>-156133.43</v>
      </c>
    </row>
    <row r="64">
      <c r="A64" s="60" t="s">
        <v>2405</v>
      </c>
      <c r="B64" s="60" t="s">
        <v>2406</v>
      </c>
      <c r="C64" s="60" t="s">
        <v>1478</v>
      </c>
      <c r="D64" s="37"/>
      <c r="E64" s="68">
        <v>0.0</v>
      </c>
      <c r="F64" s="68">
        <v>58.0</v>
      </c>
      <c r="G64" s="36">
        <f t="shared" si="1"/>
        <v>-156191.43</v>
      </c>
    </row>
    <row r="65">
      <c r="A65" s="60" t="s">
        <v>2405</v>
      </c>
      <c r="B65" s="60" t="s">
        <v>2407</v>
      </c>
      <c r="C65" s="60" t="s">
        <v>2408</v>
      </c>
      <c r="D65" s="37"/>
      <c r="E65" s="68">
        <v>7389.0</v>
      </c>
      <c r="F65" s="68">
        <v>0.0</v>
      </c>
      <c r="G65" s="36">
        <f t="shared" si="1"/>
        <v>-148802.43</v>
      </c>
    </row>
    <row r="66">
      <c r="A66" s="60" t="s">
        <v>1194</v>
      </c>
      <c r="B66" s="60" t="s">
        <v>2409</v>
      </c>
      <c r="C66" s="60" t="s">
        <v>1168</v>
      </c>
      <c r="D66" s="37"/>
      <c r="E66" s="68">
        <v>0.0</v>
      </c>
      <c r="F66" s="68">
        <v>832.9</v>
      </c>
      <c r="G66" s="36">
        <f t="shared" si="1"/>
        <v>-149635.33</v>
      </c>
    </row>
    <row r="67">
      <c r="A67" s="60" t="s">
        <v>1194</v>
      </c>
      <c r="B67" s="60" t="s">
        <v>1195</v>
      </c>
      <c r="C67" s="60" t="s">
        <v>1168</v>
      </c>
      <c r="D67" s="37"/>
      <c r="E67" s="68">
        <v>0.0</v>
      </c>
      <c r="F67" s="68">
        <v>1488.0</v>
      </c>
      <c r="G67" s="36">
        <f t="shared" si="1"/>
        <v>-151123.33</v>
      </c>
    </row>
    <row r="68">
      <c r="A68" s="60" t="s">
        <v>2350</v>
      </c>
      <c r="B68" s="60" t="s">
        <v>2410</v>
      </c>
      <c r="C68" s="60" t="s">
        <v>2381</v>
      </c>
      <c r="D68" s="37"/>
      <c r="E68" s="68">
        <v>0.0</v>
      </c>
      <c r="F68" s="68">
        <v>562.0</v>
      </c>
      <c r="G68" s="36">
        <f t="shared" si="1"/>
        <v>-151685.33</v>
      </c>
    </row>
    <row r="69">
      <c r="A69" s="60" t="s">
        <v>2350</v>
      </c>
      <c r="B69" s="60" t="s">
        <v>2411</v>
      </c>
      <c r="C69" s="60" t="s">
        <v>2377</v>
      </c>
      <c r="D69" s="37"/>
      <c r="E69" s="68">
        <v>0.0</v>
      </c>
      <c r="F69" s="68">
        <v>183.96</v>
      </c>
      <c r="G69" s="36">
        <f t="shared" si="1"/>
        <v>-151869.29</v>
      </c>
    </row>
    <row r="70">
      <c r="A70" s="60" t="s">
        <v>2352</v>
      </c>
      <c r="B70" s="60" t="s">
        <v>2412</v>
      </c>
      <c r="C70" s="60" t="s">
        <v>2377</v>
      </c>
      <c r="D70" s="37"/>
      <c r="E70" s="68">
        <v>0.0</v>
      </c>
      <c r="F70" s="68">
        <v>51.47</v>
      </c>
      <c r="G70" s="36">
        <f t="shared" si="1"/>
        <v>-151920.76</v>
      </c>
    </row>
    <row r="71">
      <c r="A71" s="60" t="s">
        <v>2352</v>
      </c>
      <c r="B71" s="60" t="s">
        <v>2413</v>
      </c>
      <c r="C71" s="60" t="s">
        <v>1478</v>
      </c>
      <c r="D71" s="37"/>
      <c r="E71" s="68">
        <v>0.0</v>
      </c>
      <c r="F71" s="68">
        <v>436.0</v>
      </c>
      <c r="G71" s="36">
        <f t="shared" si="1"/>
        <v>-152356.76</v>
      </c>
    </row>
    <row r="72">
      <c r="A72" s="60" t="s">
        <v>2352</v>
      </c>
      <c r="B72" s="60" t="s">
        <v>2414</v>
      </c>
      <c r="C72" s="60" t="s">
        <v>1168</v>
      </c>
      <c r="D72" s="37"/>
      <c r="E72" s="68">
        <v>0.0</v>
      </c>
      <c r="F72" s="68">
        <v>562.0</v>
      </c>
      <c r="G72" s="36">
        <f t="shared" si="1"/>
        <v>-152918.76</v>
      </c>
    </row>
    <row r="73">
      <c r="A73" s="60" t="s">
        <v>2352</v>
      </c>
      <c r="B73" s="60" t="s">
        <v>2415</v>
      </c>
      <c r="C73" s="60" t="s">
        <v>1579</v>
      </c>
      <c r="D73" s="37"/>
      <c r="E73" s="68">
        <v>0.0</v>
      </c>
      <c r="F73" s="68">
        <v>3003.63</v>
      </c>
      <c r="G73" s="36">
        <f t="shared" si="1"/>
        <v>-155922.39</v>
      </c>
    </row>
    <row r="74">
      <c r="A74" s="60" t="s">
        <v>2352</v>
      </c>
      <c r="B74" s="60" t="s">
        <v>2416</v>
      </c>
      <c r="C74" s="60" t="s">
        <v>2010</v>
      </c>
      <c r="D74" s="37"/>
      <c r="E74" s="68">
        <v>0.0</v>
      </c>
      <c r="F74" s="68">
        <v>3783.44</v>
      </c>
      <c r="G74" s="36">
        <f t="shared" si="1"/>
        <v>-159705.83</v>
      </c>
    </row>
    <row r="75">
      <c r="A75" s="60" t="s">
        <v>2352</v>
      </c>
      <c r="B75" s="60" t="s">
        <v>2417</v>
      </c>
      <c r="C75" s="60" t="s">
        <v>2133</v>
      </c>
      <c r="D75" s="37"/>
      <c r="E75" s="68">
        <v>1139.99</v>
      </c>
      <c r="F75" s="68">
        <v>0.0</v>
      </c>
      <c r="G75" s="36">
        <f t="shared" si="1"/>
        <v>-158565.84</v>
      </c>
    </row>
    <row r="76">
      <c r="A76" s="60" t="s">
        <v>2418</v>
      </c>
      <c r="B76" s="60" t="s">
        <v>2419</v>
      </c>
      <c r="C76" s="60" t="s">
        <v>1372</v>
      </c>
      <c r="D76" s="37"/>
      <c r="E76" s="68">
        <v>0.0</v>
      </c>
      <c r="F76" s="68">
        <v>477.92</v>
      </c>
      <c r="G76" s="36">
        <f t="shared" si="1"/>
        <v>-159043.76</v>
      </c>
    </row>
    <row r="77">
      <c r="A77" s="60" t="s">
        <v>2418</v>
      </c>
      <c r="B77" s="60" t="s">
        <v>2420</v>
      </c>
      <c r="C77" s="60" t="s">
        <v>2377</v>
      </c>
      <c r="D77" s="37"/>
      <c r="E77" s="68">
        <v>0.0</v>
      </c>
      <c r="F77" s="68">
        <v>16.0</v>
      </c>
      <c r="G77" s="36">
        <f t="shared" si="1"/>
        <v>-159059.76</v>
      </c>
    </row>
    <row r="78">
      <c r="A78" s="60" t="s">
        <v>2418</v>
      </c>
      <c r="B78" s="60" t="s">
        <v>2421</v>
      </c>
      <c r="C78" s="60" t="s">
        <v>2133</v>
      </c>
      <c r="D78" s="37"/>
      <c r="E78" s="68">
        <v>0.0</v>
      </c>
      <c r="F78" s="68">
        <v>1065.85</v>
      </c>
      <c r="G78" s="36">
        <f t="shared" si="1"/>
        <v>-160125.61</v>
      </c>
    </row>
    <row r="79">
      <c r="A79" s="60" t="s">
        <v>2418</v>
      </c>
      <c r="B79" s="60" t="s">
        <v>2422</v>
      </c>
      <c r="C79" s="60" t="s">
        <v>1168</v>
      </c>
      <c r="D79" s="37"/>
      <c r="E79" s="68">
        <v>0.0</v>
      </c>
      <c r="F79" s="68">
        <v>3200.7</v>
      </c>
      <c r="G79" s="36">
        <f t="shared" si="1"/>
        <v>-163326.31</v>
      </c>
    </row>
    <row r="80">
      <c r="A80" s="60" t="s">
        <v>1080</v>
      </c>
      <c r="B80" s="60" t="s">
        <v>2423</v>
      </c>
      <c r="C80" s="60" t="s">
        <v>2133</v>
      </c>
      <c r="D80" s="37"/>
      <c r="E80" s="68">
        <v>0.0</v>
      </c>
      <c r="F80" s="68">
        <v>3027.58</v>
      </c>
      <c r="G80" s="36">
        <f t="shared" si="1"/>
        <v>-166353.89</v>
      </c>
    </row>
    <row r="81">
      <c r="A81" s="60" t="s">
        <v>1080</v>
      </c>
      <c r="B81" s="60" t="s">
        <v>2424</v>
      </c>
      <c r="C81" s="60" t="s">
        <v>1168</v>
      </c>
      <c r="D81" s="37"/>
      <c r="E81" s="68">
        <v>0.0</v>
      </c>
      <c r="F81" s="68">
        <v>2805.63</v>
      </c>
      <c r="G81" s="36">
        <f t="shared" si="1"/>
        <v>-169159.52</v>
      </c>
    </row>
    <row r="82">
      <c r="A82" s="60" t="s">
        <v>1080</v>
      </c>
      <c r="B82" s="60" t="s">
        <v>2425</v>
      </c>
      <c r="C82" s="60" t="s">
        <v>1656</v>
      </c>
      <c r="D82" s="37"/>
      <c r="E82" s="68">
        <v>0.0</v>
      </c>
      <c r="F82" s="68">
        <v>2385.0</v>
      </c>
      <c r="G82" s="36">
        <f t="shared" si="1"/>
        <v>-171544.52</v>
      </c>
    </row>
    <row r="83">
      <c r="A83" s="60" t="s">
        <v>1080</v>
      </c>
      <c r="B83" s="60" t="s">
        <v>2426</v>
      </c>
      <c r="C83" s="60" t="s">
        <v>1869</v>
      </c>
      <c r="D83" s="37"/>
      <c r="E83" s="68">
        <v>0.0</v>
      </c>
      <c r="F83" s="68">
        <v>3314.5</v>
      </c>
      <c r="G83" s="36">
        <f t="shared" si="1"/>
        <v>-174859.02</v>
      </c>
    </row>
    <row r="84">
      <c r="A84" s="60" t="s">
        <v>1080</v>
      </c>
      <c r="B84" s="60" t="s">
        <v>2427</v>
      </c>
      <c r="C84" s="60" t="s">
        <v>2381</v>
      </c>
      <c r="D84" s="37"/>
      <c r="E84" s="68">
        <v>0.0</v>
      </c>
      <c r="F84" s="68">
        <v>327.0</v>
      </c>
      <c r="G84" s="36">
        <f t="shared" si="1"/>
        <v>-175186.02</v>
      </c>
    </row>
    <row r="85">
      <c r="A85" s="60" t="s">
        <v>1080</v>
      </c>
      <c r="B85" s="60" t="s">
        <v>2428</v>
      </c>
      <c r="C85" s="60" t="s">
        <v>1797</v>
      </c>
      <c r="D85" s="37"/>
      <c r="E85" s="68">
        <v>0.0</v>
      </c>
      <c r="F85" s="68">
        <v>799.88</v>
      </c>
      <c r="G85" s="36">
        <f t="shared" si="1"/>
        <v>-175985.9</v>
      </c>
    </row>
    <row r="86">
      <c r="A86" s="60" t="s">
        <v>1080</v>
      </c>
      <c r="B86" s="60" t="s">
        <v>2429</v>
      </c>
      <c r="C86" s="60" t="s">
        <v>1863</v>
      </c>
      <c r="D86" s="37"/>
      <c r="E86" s="68">
        <v>0.0</v>
      </c>
      <c r="F86" s="68">
        <v>3000.0</v>
      </c>
      <c r="G86" s="36">
        <f t="shared" si="1"/>
        <v>-178985.9</v>
      </c>
    </row>
    <row r="87">
      <c r="A87" s="60" t="s">
        <v>1080</v>
      </c>
      <c r="B87" s="60" t="s">
        <v>2430</v>
      </c>
      <c r="C87" s="60" t="s">
        <v>2133</v>
      </c>
      <c r="D87" s="37"/>
      <c r="E87" s="68">
        <v>0.0</v>
      </c>
      <c r="F87" s="68">
        <v>500.0</v>
      </c>
      <c r="G87" s="36">
        <f t="shared" si="1"/>
        <v>-179485.9</v>
      </c>
    </row>
    <row r="88">
      <c r="A88" s="60" t="s">
        <v>1080</v>
      </c>
      <c r="B88" s="60" t="s">
        <v>2431</v>
      </c>
      <c r="C88" s="60" t="s">
        <v>2432</v>
      </c>
      <c r="D88" s="37"/>
      <c r="E88" s="68">
        <v>0.0</v>
      </c>
      <c r="F88" s="68">
        <v>1041.86</v>
      </c>
      <c r="G88" s="36">
        <f t="shared" si="1"/>
        <v>-180527.76</v>
      </c>
    </row>
    <row r="89">
      <c r="A89" s="60" t="s">
        <v>1080</v>
      </c>
      <c r="B89" s="60" t="s">
        <v>2433</v>
      </c>
      <c r="C89" s="60" t="s">
        <v>1168</v>
      </c>
      <c r="D89" s="37"/>
      <c r="E89" s="68">
        <v>0.0</v>
      </c>
      <c r="F89" s="68">
        <v>7001.08</v>
      </c>
      <c r="G89" s="36">
        <f t="shared" si="1"/>
        <v>-187528.84</v>
      </c>
    </row>
    <row r="90">
      <c r="A90" s="60" t="s">
        <v>1080</v>
      </c>
      <c r="B90" s="60" t="s">
        <v>2434</v>
      </c>
      <c r="C90" s="60" t="s">
        <v>2010</v>
      </c>
      <c r="D90" s="37"/>
      <c r="E90" s="68">
        <v>0.0</v>
      </c>
      <c r="F90" s="68">
        <v>373.99</v>
      </c>
      <c r="G90" s="36">
        <f t="shared" si="1"/>
        <v>-187902.83</v>
      </c>
    </row>
    <row r="91">
      <c r="A91" s="60"/>
      <c r="B91" s="60"/>
      <c r="C91" s="60"/>
      <c r="D91" s="37"/>
      <c r="E91" s="68"/>
      <c r="F91" s="68"/>
      <c r="G91" s="36" t="str">
        <f t="shared" si="1"/>
        <v/>
      </c>
    </row>
    <row r="92">
      <c r="A92" s="60"/>
      <c r="B92" s="60"/>
      <c r="C92" s="60"/>
      <c r="D92" s="37"/>
      <c r="E92" s="68"/>
      <c r="F92" s="68"/>
      <c r="G92" s="36" t="str">
        <f t="shared" si="1"/>
        <v/>
      </c>
    </row>
    <row r="93">
      <c r="A93" s="60"/>
      <c r="B93" s="60"/>
      <c r="C93" s="60"/>
      <c r="D93" s="37"/>
      <c r="E93" s="68"/>
      <c r="F93" s="68"/>
      <c r="G93" s="36" t="str">
        <f t="shared" si="1"/>
        <v/>
      </c>
    </row>
    <row r="94">
      <c r="A94" s="60"/>
      <c r="B94" s="60"/>
      <c r="C94" s="60"/>
      <c r="D94" s="37"/>
      <c r="E94" s="68"/>
      <c r="F94" s="68"/>
      <c r="G94" s="36" t="str">
        <f t="shared" si="1"/>
        <v/>
      </c>
    </row>
    <row r="95">
      <c r="A95" s="60"/>
      <c r="B95" s="60"/>
      <c r="C95" s="60"/>
      <c r="D95" s="37"/>
      <c r="E95" s="68"/>
      <c r="F95" s="68"/>
      <c r="G95" s="36" t="str">
        <f t="shared" si="1"/>
        <v/>
      </c>
    </row>
    <row r="96">
      <c r="A96" s="60"/>
      <c r="B96" s="60"/>
      <c r="C96" s="60"/>
      <c r="D96" s="37"/>
      <c r="E96" s="68"/>
      <c r="F96" s="68"/>
      <c r="G96" s="36" t="str">
        <f t="shared" si="1"/>
        <v/>
      </c>
    </row>
    <row r="97">
      <c r="A97" s="60"/>
      <c r="B97" s="60"/>
      <c r="C97" s="60"/>
      <c r="D97" s="37"/>
      <c r="E97" s="68"/>
      <c r="F97" s="68"/>
      <c r="G97" s="36" t="str">
        <f t="shared" si="1"/>
        <v/>
      </c>
    </row>
    <row r="98">
      <c r="A98" s="60"/>
      <c r="B98" s="60"/>
      <c r="C98" s="60"/>
      <c r="D98" s="37"/>
      <c r="E98" s="68"/>
      <c r="F98" s="68"/>
      <c r="G98" s="36" t="str">
        <f t="shared" si="1"/>
        <v/>
      </c>
    </row>
    <row r="99">
      <c r="A99" s="60"/>
      <c r="B99" s="60"/>
      <c r="C99" s="60"/>
      <c r="D99" s="37"/>
      <c r="E99" s="68"/>
      <c r="F99" s="68"/>
      <c r="G99" s="36" t="str">
        <f t="shared" si="1"/>
        <v/>
      </c>
    </row>
    <row r="100">
      <c r="A100" s="60"/>
      <c r="B100" s="60"/>
      <c r="C100" s="60"/>
      <c r="D100" s="37"/>
      <c r="E100" s="68"/>
      <c r="F100" s="68"/>
      <c r="G100" s="36" t="str">
        <f t="shared" si="1"/>
        <v/>
      </c>
    </row>
    <row r="101">
      <c r="A101" s="60"/>
      <c r="B101" s="60"/>
      <c r="C101" s="60"/>
      <c r="D101" s="37"/>
      <c r="E101" s="68"/>
      <c r="F101" s="68"/>
      <c r="G101" s="36"/>
    </row>
    <row r="102">
      <c r="A102" s="60"/>
      <c r="B102" s="60"/>
      <c r="C102" s="60"/>
      <c r="D102" s="54"/>
      <c r="E102" s="68"/>
      <c r="F102" s="68"/>
      <c r="G102" s="56"/>
    </row>
  </sheetData>
  <mergeCells count="2">
    <mergeCell ref="A1:G1"/>
    <mergeCell ref="A5:G5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4" width="12.63"/>
    <col customWidth="1" min="5" max="7" width="15.13"/>
    <col customWidth="1" min="8" max="8" width="7.63"/>
  </cols>
  <sheetData>
    <row r="1">
      <c r="A1" s="24" t="s">
        <v>2435</v>
      </c>
    </row>
    <row r="3">
      <c r="A3" s="15" t="s">
        <v>41</v>
      </c>
    </row>
    <row r="4">
      <c r="A4" s="105" t="s">
        <v>1391</v>
      </c>
      <c r="B4" s="90">
        <f t="shared" ref="B4:B13" si="1">SUMIF($D$20:$D$503,A4,$G$20:$G$503)</f>
        <v>86898.24</v>
      </c>
      <c r="C4" s="42">
        <f t="shared" ref="C4:C13" si="2">COUNTIF($D$20:$D$503,A4)</f>
        <v>46</v>
      </c>
      <c r="D4" s="42">
        <f t="shared" ref="D4:D8" si="3">IFERROR(B4/C4,0)</f>
        <v>1889.092174</v>
      </c>
    </row>
    <row r="5">
      <c r="A5" s="34" t="s">
        <v>1392</v>
      </c>
      <c r="B5" s="36">
        <f t="shared" si="1"/>
        <v>18197.45</v>
      </c>
      <c r="C5" s="36">
        <f t="shared" si="2"/>
        <v>14</v>
      </c>
      <c r="D5" s="36">
        <f t="shared" si="3"/>
        <v>1299.817857</v>
      </c>
    </row>
    <row r="6">
      <c r="A6" s="34" t="s">
        <v>1393</v>
      </c>
      <c r="B6" s="36">
        <f t="shared" si="1"/>
        <v>24512.04</v>
      </c>
      <c r="C6" s="36">
        <f t="shared" si="2"/>
        <v>18</v>
      </c>
      <c r="D6" s="36">
        <f t="shared" si="3"/>
        <v>1361.78</v>
      </c>
    </row>
    <row r="7">
      <c r="A7" s="34" t="s">
        <v>46</v>
      </c>
      <c r="B7" s="36">
        <f t="shared" si="1"/>
        <v>17759.41</v>
      </c>
      <c r="C7" s="36">
        <f t="shared" si="2"/>
        <v>10</v>
      </c>
      <c r="D7" s="36">
        <f t="shared" si="3"/>
        <v>1775.941</v>
      </c>
    </row>
    <row r="8">
      <c r="A8" s="34" t="s">
        <v>47</v>
      </c>
      <c r="B8" s="36">
        <f t="shared" si="1"/>
        <v>372922.38</v>
      </c>
      <c r="C8" s="36">
        <f t="shared" si="2"/>
        <v>22</v>
      </c>
      <c r="D8" s="36">
        <f t="shared" si="3"/>
        <v>16951.01727</v>
      </c>
    </row>
    <row r="9">
      <c r="A9" s="34" t="s">
        <v>48</v>
      </c>
      <c r="B9" s="36">
        <f t="shared" si="1"/>
        <v>65021.92</v>
      </c>
      <c r="C9" s="36">
        <f t="shared" si="2"/>
        <v>39</v>
      </c>
      <c r="D9" s="36">
        <f t="shared" ref="D9:D13" si="4">IFERROR(B9/C9,0)</f>
        <v>1667.228718</v>
      </c>
    </row>
    <row r="10">
      <c r="A10" s="34" t="s">
        <v>49</v>
      </c>
      <c r="B10" s="36">
        <f t="shared" si="1"/>
        <v>1349535.46</v>
      </c>
      <c r="C10" s="36">
        <f t="shared" si="2"/>
        <v>14</v>
      </c>
      <c r="D10" s="36">
        <f t="shared" si="4"/>
        <v>96395.39</v>
      </c>
    </row>
    <row r="11">
      <c r="A11" s="34" t="s">
        <v>50</v>
      </c>
      <c r="B11" s="36">
        <f t="shared" si="1"/>
        <v>8545.51</v>
      </c>
      <c r="C11" s="36">
        <f t="shared" si="2"/>
        <v>22</v>
      </c>
      <c r="D11" s="36">
        <f t="shared" si="4"/>
        <v>388.4322727</v>
      </c>
    </row>
    <row r="12">
      <c r="A12" s="91" t="s">
        <v>52</v>
      </c>
      <c r="B12" s="36">
        <f t="shared" si="1"/>
        <v>248652.07</v>
      </c>
      <c r="C12" s="36">
        <f t="shared" si="2"/>
        <v>17</v>
      </c>
      <c r="D12" s="36">
        <f t="shared" si="4"/>
        <v>14626.59235</v>
      </c>
    </row>
    <row r="13">
      <c r="A13" s="91" t="s">
        <v>58</v>
      </c>
      <c r="B13" s="36">
        <f t="shared" si="1"/>
        <v>3245</v>
      </c>
      <c r="C13" s="36">
        <f t="shared" si="2"/>
        <v>6</v>
      </c>
      <c r="D13" s="36">
        <f t="shared" si="4"/>
        <v>540.8333333</v>
      </c>
    </row>
    <row r="14">
      <c r="A14" s="34" t="s">
        <v>1761</v>
      </c>
      <c r="B14" s="36">
        <f>SUMIF($D$21:$D$504,A14,$G$21:$G$504)</f>
        <v>72741.9</v>
      </c>
      <c r="C14" s="36">
        <f t="shared" ref="C14:C16" si="5">COUNTIF($D$21:$D$504,A14)</f>
        <v>114</v>
      </c>
      <c r="D14" s="36">
        <f t="shared" ref="D14:D15" si="6">IFERROR(B14/C14,0)</f>
        <v>638.0868421</v>
      </c>
    </row>
    <row r="15">
      <c r="A15" s="34" t="s">
        <v>2040</v>
      </c>
      <c r="B15" s="36">
        <f t="shared" ref="B15:B16" si="7">SUMIF($D$20:$D$503,A15,$G$20:$G$503)</f>
        <v>15556.35</v>
      </c>
      <c r="C15" s="36">
        <f t="shared" si="5"/>
        <v>19</v>
      </c>
      <c r="D15" s="36">
        <f t="shared" si="6"/>
        <v>818.7552632</v>
      </c>
    </row>
    <row r="16">
      <c r="A16" s="34" t="s">
        <v>57</v>
      </c>
      <c r="B16" s="36">
        <f t="shared" si="7"/>
        <v>4366.48</v>
      </c>
      <c r="C16" s="36">
        <f t="shared" si="5"/>
        <v>18</v>
      </c>
      <c r="D16" s="36">
        <f>IFERROR(B16/C16,0)</f>
        <v>242.5822222</v>
      </c>
    </row>
    <row r="17">
      <c r="A17" s="38" t="s">
        <v>59</v>
      </c>
      <c r="B17" s="39">
        <f>SUM(B4:B16)</f>
        <v>2287954.21</v>
      </c>
      <c r="C17" s="39">
        <f>SUM(C5:C15)</f>
        <v>295</v>
      </c>
      <c r="D17" s="39">
        <f>IFERROR(B17/C17,0)</f>
        <v>7755.776983</v>
      </c>
    </row>
    <row r="19">
      <c r="A19" s="7" t="s">
        <v>1871</v>
      </c>
    </row>
    <row r="20">
      <c r="A20" s="41" t="s">
        <v>130</v>
      </c>
      <c r="B20" s="41" t="s">
        <v>131</v>
      </c>
      <c r="C20" s="41" t="s">
        <v>132</v>
      </c>
      <c r="D20" s="41" t="s">
        <v>41</v>
      </c>
      <c r="E20" s="41" t="s">
        <v>133</v>
      </c>
      <c r="F20" s="41" t="s">
        <v>134</v>
      </c>
      <c r="G20" s="41" t="s">
        <v>104</v>
      </c>
      <c r="H20" s="41" t="s">
        <v>135</v>
      </c>
    </row>
    <row r="21">
      <c r="A21" s="60" t="s">
        <v>2149</v>
      </c>
      <c r="B21" s="60" t="s">
        <v>2150</v>
      </c>
      <c r="C21" s="34" t="s">
        <v>81</v>
      </c>
      <c r="D21" s="34" t="s">
        <v>1391</v>
      </c>
      <c r="E21" s="68">
        <v>310.9</v>
      </c>
      <c r="F21" s="36"/>
      <c r="G21" s="36">
        <f t="shared" ref="G21:G504" si="8">IF(E21="","",E21-F21)</f>
        <v>310.9</v>
      </c>
      <c r="H21" s="37"/>
    </row>
    <row r="22">
      <c r="A22" s="60" t="s">
        <v>170</v>
      </c>
      <c r="B22" s="60" t="s">
        <v>171</v>
      </c>
      <c r="C22" s="34" t="s">
        <v>81</v>
      </c>
      <c r="D22" s="34" t="s">
        <v>1391</v>
      </c>
      <c r="E22" s="68">
        <v>135.97</v>
      </c>
      <c r="F22" s="36"/>
      <c r="G22" s="36">
        <f t="shared" si="8"/>
        <v>135.97</v>
      </c>
      <c r="H22" s="37"/>
    </row>
    <row r="23">
      <c r="A23" s="60" t="s">
        <v>174</v>
      </c>
      <c r="B23" s="60" t="s">
        <v>175</v>
      </c>
      <c r="C23" s="34" t="s">
        <v>81</v>
      </c>
      <c r="D23" s="34" t="s">
        <v>1391</v>
      </c>
      <c r="E23" s="68">
        <v>1030.85</v>
      </c>
      <c r="F23" s="36"/>
      <c r="G23" s="36">
        <f t="shared" si="8"/>
        <v>1030.85</v>
      </c>
      <c r="H23" s="37"/>
    </row>
    <row r="24">
      <c r="A24" s="60" t="s">
        <v>176</v>
      </c>
      <c r="B24" s="60" t="s">
        <v>177</v>
      </c>
      <c r="C24" s="34" t="s">
        <v>81</v>
      </c>
      <c r="D24" s="34" t="s">
        <v>1391</v>
      </c>
      <c r="E24" s="68">
        <v>931.82</v>
      </c>
      <c r="F24" s="36"/>
      <c r="G24" s="36">
        <f t="shared" si="8"/>
        <v>931.82</v>
      </c>
      <c r="H24" s="37"/>
    </row>
    <row r="25">
      <c r="A25" s="60" t="s">
        <v>178</v>
      </c>
      <c r="B25" s="60" t="s">
        <v>179</v>
      </c>
      <c r="C25" s="34" t="s">
        <v>81</v>
      </c>
      <c r="D25" s="34" t="s">
        <v>1391</v>
      </c>
      <c r="E25" s="68">
        <v>1140.67</v>
      </c>
      <c r="F25" s="36"/>
      <c r="G25" s="36">
        <f t="shared" si="8"/>
        <v>1140.67</v>
      </c>
      <c r="H25" s="37"/>
    </row>
    <row r="26">
      <c r="A26" s="60" t="s">
        <v>184</v>
      </c>
      <c r="B26" s="60" t="s">
        <v>185</v>
      </c>
      <c r="C26" s="34" t="s">
        <v>81</v>
      </c>
      <c r="D26" s="34" t="s">
        <v>1391</v>
      </c>
      <c r="E26" s="68">
        <v>2975.6</v>
      </c>
      <c r="F26" s="36"/>
      <c r="G26" s="36">
        <f t="shared" si="8"/>
        <v>2975.6</v>
      </c>
      <c r="H26" s="37"/>
    </row>
    <row r="27">
      <c r="A27" s="60" t="s">
        <v>186</v>
      </c>
      <c r="B27" s="60" t="s">
        <v>187</v>
      </c>
      <c r="C27" s="34" t="s">
        <v>81</v>
      </c>
      <c r="D27" s="34" t="s">
        <v>1391</v>
      </c>
      <c r="E27" s="68">
        <v>1029.85</v>
      </c>
      <c r="F27" s="36"/>
      <c r="G27" s="36">
        <f t="shared" si="8"/>
        <v>1029.85</v>
      </c>
      <c r="H27" s="37"/>
    </row>
    <row r="28">
      <c r="A28" s="60" t="s">
        <v>190</v>
      </c>
      <c r="B28" s="60" t="s">
        <v>191</v>
      </c>
      <c r="C28" s="34" t="s">
        <v>81</v>
      </c>
      <c r="D28" s="34" t="s">
        <v>1391</v>
      </c>
      <c r="E28" s="68">
        <v>1847.76</v>
      </c>
      <c r="F28" s="36"/>
      <c r="G28" s="36">
        <f t="shared" si="8"/>
        <v>1847.76</v>
      </c>
      <c r="H28" s="37"/>
    </row>
    <row r="29">
      <c r="A29" s="60" t="s">
        <v>2436</v>
      </c>
      <c r="B29" s="60" t="s">
        <v>165</v>
      </c>
      <c r="C29" s="34" t="s">
        <v>81</v>
      </c>
      <c r="D29" s="34" t="s">
        <v>1391</v>
      </c>
      <c r="E29" s="68">
        <v>610.89</v>
      </c>
      <c r="F29" s="36"/>
      <c r="G29" s="36">
        <f t="shared" si="8"/>
        <v>610.89</v>
      </c>
      <c r="H29" s="37"/>
    </row>
    <row r="30">
      <c r="A30" s="60" t="s">
        <v>192</v>
      </c>
      <c r="B30" s="60" t="s">
        <v>193</v>
      </c>
      <c r="C30" s="34" t="s">
        <v>81</v>
      </c>
      <c r="D30" s="34" t="s">
        <v>1391</v>
      </c>
      <c r="E30" s="68">
        <v>1052.83</v>
      </c>
      <c r="F30" s="36"/>
      <c r="G30" s="36">
        <f t="shared" si="8"/>
        <v>1052.83</v>
      </c>
      <c r="H30" s="37"/>
    </row>
    <row r="31">
      <c r="A31" s="60" t="s">
        <v>194</v>
      </c>
      <c r="B31" s="60" t="s">
        <v>195</v>
      </c>
      <c r="C31" s="34" t="s">
        <v>81</v>
      </c>
      <c r="D31" s="34" t="s">
        <v>1391</v>
      </c>
      <c r="E31" s="68">
        <v>1123.68</v>
      </c>
      <c r="F31" s="36"/>
      <c r="G31" s="36">
        <f t="shared" si="8"/>
        <v>1123.68</v>
      </c>
      <c r="H31" s="37"/>
    </row>
    <row r="32">
      <c r="A32" s="60" t="s">
        <v>196</v>
      </c>
      <c r="B32" s="60" t="s">
        <v>197</v>
      </c>
      <c r="C32" s="34" t="s">
        <v>81</v>
      </c>
      <c r="D32" s="34" t="s">
        <v>1391</v>
      </c>
      <c r="E32" s="68">
        <v>839.77</v>
      </c>
      <c r="F32" s="36"/>
      <c r="G32" s="36">
        <f t="shared" si="8"/>
        <v>839.77</v>
      </c>
      <c r="H32" s="37"/>
    </row>
    <row r="33">
      <c r="A33" s="60" t="s">
        <v>198</v>
      </c>
      <c r="B33" s="60" t="s">
        <v>199</v>
      </c>
      <c r="C33" s="34" t="s">
        <v>81</v>
      </c>
      <c r="D33" s="34" t="s">
        <v>1391</v>
      </c>
      <c r="E33" s="68">
        <v>3391.28</v>
      </c>
      <c r="F33" s="36"/>
      <c r="G33" s="36">
        <f t="shared" si="8"/>
        <v>3391.28</v>
      </c>
      <c r="H33" s="37"/>
    </row>
    <row r="34">
      <c r="A34" s="60" t="s">
        <v>200</v>
      </c>
      <c r="B34" s="60" t="s">
        <v>201</v>
      </c>
      <c r="C34" s="34" t="s">
        <v>81</v>
      </c>
      <c r="D34" s="34" t="s">
        <v>1391</v>
      </c>
      <c r="E34" s="68">
        <v>1021.87</v>
      </c>
      <c r="F34" s="36"/>
      <c r="G34" s="36">
        <f t="shared" si="8"/>
        <v>1021.87</v>
      </c>
      <c r="H34" s="37"/>
    </row>
    <row r="35">
      <c r="A35" s="60" t="s">
        <v>202</v>
      </c>
      <c r="B35" s="60" t="s">
        <v>203</v>
      </c>
      <c r="C35" s="34" t="s">
        <v>81</v>
      </c>
      <c r="D35" s="34" t="s">
        <v>1391</v>
      </c>
      <c r="E35" s="68">
        <v>384.95</v>
      </c>
      <c r="F35" s="36"/>
      <c r="G35" s="36">
        <f t="shared" si="8"/>
        <v>384.95</v>
      </c>
      <c r="H35" s="37"/>
    </row>
    <row r="36">
      <c r="A36" s="60" t="s">
        <v>204</v>
      </c>
      <c r="B36" s="60" t="s">
        <v>205</v>
      </c>
      <c r="C36" s="34" t="s">
        <v>81</v>
      </c>
      <c r="D36" s="34" t="s">
        <v>1391</v>
      </c>
      <c r="E36" s="68">
        <v>1037.86</v>
      </c>
      <c r="F36" s="36"/>
      <c r="G36" s="36">
        <f t="shared" si="8"/>
        <v>1037.86</v>
      </c>
      <c r="H36" s="37"/>
    </row>
    <row r="37">
      <c r="A37" s="60" t="s">
        <v>206</v>
      </c>
      <c r="B37" s="60" t="s">
        <v>207</v>
      </c>
      <c r="C37" s="34" t="s">
        <v>81</v>
      </c>
      <c r="D37" s="34" t="s">
        <v>1391</v>
      </c>
      <c r="E37" s="68">
        <v>4073.39</v>
      </c>
      <c r="F37" s="36"/>
      <c r="G37" s="36">
        <f t="shared" si="8"/>
        <v>4073.39</v>
      </c>
      <c r="H37" s="37"/>
    </row>
    <row r="38">
      <c r="A38" s="60" t="s">
        <v>208</v>
      </c>
      <c r="B38" s="60" t="s">
        <v>209</v>
      </c>
      <c r="C38" s="34" t="s">
        <v>81</v>
      </c>
      <c r="D38" s="34" t="s">
        <v>1391</v>
      </c>
      <c r="E38" s="68">
        <v>2025.72</v>
      </c>
      <c r="F38" s="36"/>
      <c r="G38" s="36">
        <f t="shared" si="8"/>
        <v>2025.72</v>
      </c>
      <c r="H38" s="37"/>
    </row>
    <row r="39">
      <c r="A39" s="60" t="s">
        <v>212</v>
      </c>
      <c r="B39" s="60" t="s">
        <v>2043</v>
      </c>
      <c r="C39" s="34" t="s">
        <v>81</v>
      </c>
      <c r="D39" s="34" t="s">
        <v>1391</v>
      </c>
      <c r="E39" s="68">
        <v>3389.59</v>
      </c>
      <c r="F39" s="36"/>
      <c r="G39" s="36">
        <f t="shared" si="8"/>
        <v>3389.59</v>
      </c>
      <c r="H39" s="37"/>
    </row>
    <row r="40">
      <c r="A40" s="60" t="s">
        <v>214</v>
      </c>
      <c r="B40" s="60" t="s">
        <v>215</v>
      </c>
      <c r="C40" s="34" t="s">
        <v>81</v>
      </c>
      <c r="D40" s="34" t="s">
        <v>1391</v>
      </c>
      <c r="E40" s="68">
        <v>234.97</v>
      </c>
      <c r="F40" s="36"/>
      <c r="G40" s="36">
        <f t="shared" si="8"/>
        <v>234.97</v>
      </c>
      <c r="H40" s="37"/>
    </row>
    <row r="41">
      <c r="A41" s="60" t="s">
        <v>1762</v>
      </c>
      <c r="B41" s="60" t="s">
        <v>1763</v>
      </c>
      <c r="C41" s="34" t="s">
        <v>81</v>
      </c>
      <c r="D41" s="34" t="s">
        <v>1391</v>
      </c>
      <c r="E41" s="68">
        <v>819.9</v>
      </c>
      <c r="F41" s="36"/>
      <c r="G41" s="36">
        <f t="shared" si="8"/>
        <v>819.9</v>
      </c>
      <c r="H41" s="37"/>
    </row>
    <row r="42">
      <c r="A42" s="60" t="s">
        <v>218</v>
      </c>
      <c r="B42" s="60" t="s">
        <v>219</v>
      </c>
      <c r="C42" s="34" t="s">
        <v>81</v>
      </c>
      <c r="D42" s="34" t="s">
        <v>1391</v>
      </c>
      <c r="E42" s="68">
        <v>4529.34</v>
      </c>
      <c r="F42" s="36"/>
      <c r="G42" s="36">
        <f t="shared" si="8"/>
        <v>4529.34</v>
      </c>
      <c r="H42" s="37"/>
    </row>
    <row r="43">
      <c r="A43" s="60" t="s">
        <v>220</v>
      </c>
      <c r="B43" s="60" t="s">
        <v>221</v>
      </c>
      <c r="C43" s="34" t="s">
        <v>81</v>
      </c>
      <c r="D43" s="34" t="s">
        <v>1391</v>
      </c>
      <c r="E43" s="68">
        <v>258.94</v>
      </c>
      <c r="F43" s="36"/>
      <c r="G43" s="36">
        <f t="shared" si="8"/>
        <v>258.94</v>
      </c>
      <c r="H43" s="37"/>
    </row>
    <row r="44">
      <c r="A44" s="60" t="s">
        <v>222</v>
      </c>
      <c r="B44" s="60" t="s">
        <v>223</v>
      </c>
      <c r="C44" s="34" t="s">
        <v>81</v>
      </c>
      <c r="D44" s="34" t="s">
        <v>1391</v>
      </c>
      <c r="E44" s="68">
        <v>74.99</v>
      </c>
      <c r="F44" s="36"/>
      <c r="G44" s="36">
        <f t="shared" si="8"/>
        <v>74.99</v>
      </c>
      <c r="H44" s="37"/>
    </row>
    <row r="45">
      <c r="A45" s="60" t="s">
        <v>224</v>
      </c>
      <c r="B45" s="60" t="s">
        <v>225</v>
      </c>
      <c r="C45" s="34" t="s">
        <v>81</v>
      </c>
      <c r="D45" s="34" t="s">
        <v>1391</v>
      </c>
      <c r="E45" s="68">
        <v>1067.84</v>
      </c>
      <c r="F45" s="36"/>
      <c r="G45" s="36">
        <f t="shared" si="8"/>
        <v>1067.84</v>
      </c>
      <c r="H45" s="37"/>
    </row>
    <row r="46">
      <c r="A46" s="60" t="s">
        <v>226</v>
      </c>
      <c r="B46" s="60" t="s">
        <v>227</v>
      </c>
      <c r="C46" s="34" t="s">
        <v>81</v>
      </c>
      <c r="D46" s="34" t="s">
        <v>1391</v>
      </c>
      <c r="E46" s="68">
        <v>1000.0</v>
      </c>
      <c r="F46" s="36"/>
      <c r="G46" s="36">
        <f t="shared" si="8"/>
        <v>1000</v>
      </c>
      <c r="H46" s="37"/>
    </row>
    <row r="47">
      <c r="A47" s="60" t="s">
        <v>228</v>
      </c>
      <c r="B47" s="60" t="s">
        <v>229</v>
      </c>
      <c r="C47" s="34" t="s">
        <v>81</v>
      </c>
      <c r="D47" s="34" t="s">
        <v>1391</v>
      </c>
      <c r="E47" s="68">
        <v>1187.82</v>
      </c>
      <c r="F47" s="36"/>
      <c r="G47" s="36">
        <f t="shared" si="8"/>
        <v>1187.82</v>
      </c>
      <c r="H47" s="37"/>
    </row>
    <row r="48">
      <c r="A48" s="60" t="s">
        <v>230</v>
      </c>
      <c r="B48" s="60" t="s">
        <v>231</v>
      </c>
      <c r="C48" s="34" t="s">
        <v>81</v>
      </c>
      <c r="D48" s="34" t="s">
        <v>1391</v>
      </c>
      <c r="E48" s="68">
        <v>1246.27</v>
      </c>
      <c r="F48" s="36"/>
      <c r="G48" s="36">
        <f t="shared" si="8"/>
        <v>1246.27</v>
      </c>
      <c r="H48" s="37"/>
    </row>
    <row r="49">
      <c r="A49" s="60" t="s">
        <v>232</v>
      </c>
      <c r="B49" s="60" t="s">
        <v>233</v>
      </c>
      <c r="C49" s="34" t="s">
        <v>81</v>
      </c>
      <c r="D49" s="34" t="s">
        <v>1391</v>
      </c>
      <c r="E49" s="68">
        <v>1743.72</v>
      </c>
      <c r="F49" s="36"/>
      <c r="G49" s="36">
        <f t="shared" si="8"/>
        <v>1743.72</v>
      </c>
      <c r="H49" s="37"/>
    </row>
    <row r="50">
      <c r="A50" s="60" t="s">
        <v>234</v>
      </c>
      <c r="B50" s="60" t="s">
        <v>235</v>
      </c>
      <c r="C50" s="34" t="s">
        <v>81</v>
      </c>
      <c r="D50" s="34" t="s">
        <v>1391</v>
      </c>
      <c r="E50" s="68">
        <v>1031.86</v>
      </c>
      <c r="F50" s="36"/>
      <c r="G50" s="36">
        <f t="shared" si="8"/>
        <v>1031.86</v>
      </c>
      <c r="H50" s="37"/>
    </row>
    <row r="51">
      <c r="A51" s="60" t="s">
        <v>236</v>
      </c>
      <c r="B51" s="60" t="s">
        <v>237</v>
      </c>
      <c r="C51" s="34" t="s">
        <v>81</v>
      </c>
      <c r="D51" s="34" t="s">
        <v>1391</v>
      </c>
      <c r="E51" s="68">
        <v>292.95</v>
      </c>
      <c r="F51" s="36"/>
      <c r="G51" s="36">
        <f t="shared" si="8"/>
        <v>292.95</v>
      </c>
      <c r="H51" s="37"/>
    </row>
    <row r="52">
      <c r="A52" s="60" t="s">
        <v>238</v>
      </c>
      <c r="B52" s="60" t="s">
        <v>239</v>
      </c>
      <c r="C52" s="34" t="s">
        <v>81</v>
      </c>
      <c r="D52" s="34" t="s">
        <v>1391</v>
      </c>
      <c r="E52" s="68">
        <v>1730.69</v>
      </c>
      <c r="F52" s="36"/>
      <c r="G52" s="36">
        <f t="shared" si="8"/>
        <v>1730.69</v>
      </c>
      <c r="H52" s="37"/>
    </row>
    <row r="53">
      <c r="A53" s="60" t="s">
        <v>240</v>
      </c>
      <c r="B53" s="60" t="s">
        <v>241</v>
      </c>
      <c r="C53" s="34" t="s">
        <v>81</v>
      </c>
      <c r="D53" s="34" t="s">
        <v>1391</v>
      </c>
      <c r="E53" s="68">
        <v>12638.08</v>
      </c>
      <c r="F53" s="36"/>
      <c r="G53" s="36">
        <f t="shared" si="8"/>
        <v>12638.08</v>
      </c>
      <c r="H53" s="37"/>
    </row>
    <row r="54">
      <c r="A54" s="60" t="s">
        <v>242</v>
      </c>
      <c r="B54" s="60" t="s">
        <v>243</v>
      </c>
      <c r="C54" s="34" t="s">
        <v>81</v>
      </c>
      <c r="D54" s="34" t="s">
        <v>1391</v>
      </c>
      <c r="E54" s="68">
        <v>18643.46</v>
      </c>
      <c r="F54" s="36"/>
      <c r="G54" s="36">
        <f t="shared" si="8"/>
        <v>18643.46</v>
      </c>
      <c r="H54" s="37"/>
    </row>
    <row r="55">
      <c r="A55" s="60" t="s">
        <v>244</v>
      </c>
      <c r="B55" s="60" t="s">
        <v>245</v>
      </c>
      <c r="C55" s="34" t="s">
        <v>81</v>
      </c>
      <c r="D55" s="34" t="s">
        <v>1391</v>
      </c>
      <c r="E55" s="68">
        <v>600.0</v>
      </c>
      <c r="F55" s="36"/>
      <c r="G55" s="36">
        <f t="shared" si="8"/>
        <v>600</v>
      </c>
      <c r="H55" s="37"/>
    </row>
    <row r="56">
      <c r="A56" s="60" t="s">
        <v>248</v>
      </c>
      <c r="B56" s="60" t="s">
        <v>249</v>
      </c>
      <c r="C56" s="34" t="s">
        <v>81</v>
      </c>
      <c r="D56" s="34" t="s">
        <v>1391</v>
      </c>
      <c r="E56" s="68">
        <v>1.87</v>
      </c>
      <c r="F56" s="36"/>
      <c r="G56" s="36">
        <f t="shared" si="8"/>
        <v>1.87</v>
      </c>
      <c r="H56" s="37"/>
    </row>
    <row r="57">
      <c r="A57" s="60" t="s">
        <v>250</v>
      </c>
      <c r="B57" s="60" t="s">
        <v>251</v>
      </c>
      <c r="C57" s="34" t="s">
        <v>81</v>
      </c>
      <c r="D57" s="34" t="s">
        <v>1391</v>
      </c>
      <c r="E57" s="68">
        <v>1933.64</v>
      </c>
      <c r="F57" s="36"/>
      <c r="G57" s="36">
        <f t="shared" si="8"/>
        <v>1933.64</v>
      </c>
      <c r="H57" s="37"/>
    </row>
    <row r="58">
      <c r="A58" s="60" t="s">
        <v>252</v>
      </c>
      <c r="B58" s="60" t="s">
        <v>253</v>
      </c>
      <c r="C58" s="34" t="s">
        <v>81</v>
      </c>
      <c r="D58" s="34" t="s">
        <v>1391</v>
      </c>
      <c r="E58" s="68">
        <v>387.93</v>
      </c>
      <c r="F58" s="36"/>
      <c r="G58" s="36">
        <f t="shared" si="8"/>
        <v>387.93</v>
      </c>
      <c r="H58" s="37"/>
    </row>
    <row r="59">
      <c r="A59" s="60" t="s">
        <v>254</v>
      </c>
      <c r="B59" s="60" t="s">
        <v>2155</v>
      </c>
      <c r="C59" s="34" t="s">
        <v>81</v>
      </c>
      <c r="D59" s="34" t="s">
        <v>1391</v>
      </c>
      <c r="E59" s="68">
        <v>1013.85</v>
      </c>
      <c r="F59" s="36"/>
      <c r="G59" s="36">
        <f t="shared" si="8"/>
        <v>1013.85</v>
      </c>
      <c r="H59" s="37"/>
    </row>
    <row r="60">
      <c r="A60" s="60" t="s">
        <v>256</v>
      </c>
      <c r="B60" s="60" t="s">
        <v>257</v>
      </c>
      <c r="C60" s="34" t="s">
        <v>81</v>
      </c>
      <c r="D60" s="34" t="s">
        <v>1391</v>
      </c>
      <c r="E60" s="68">
        <v>1045.84</v>
      </c>
      <c r="F60" s="36"/>
      <c r="G60" s="36">
        <f t="shared" si="8"/>
        <v>1045.84</v>
      </c>
      <c r="H60" s="37"/>
    </row>
    <row r="61">
      <c r="A61" s="60" t="s">
        <v>258</v>
      </c>
      <c r="B61" s="60" t="s">
        <v>259</v>
      </c>
      <c r="C61" s="34" t="s">
        <v>81</v>
      </c>
      <c r="D61" s="34" t="s">
        <v>1391</v>
      </c>
      <c r="E61" s="68">
        <v>1379.83</v>
      </c>
      <c r="F61" s="36"/>
      <c r="G61" s="36">
        <f t="shared" si="8"/>
        <v>1379.83</v>
      </c>
      <c r="H61" s="37"/>
    </row>
    <row r="62">
      <c r="A62" s="60" t="s">
        <v>260</v>
      </c>
      <c r="B62" s="60" t="s">
        <v>261</v>
      </c>
      <c r="C62" s="34" t="s">
        <v>81</v>
      </c>
      <c r="D62" s="34" t="s">
        <v>1391</v>
      </c>
      <c r="E62" s="68">
        <v>609.91</v>
      </c>
      <c r="F62" s="36"/>
      <c r="G62" s="36">
        <f t="shared" si="8"/>
        <v>609.91</v>
      </c>
      <c r="H62" s="37"/>
    </row>
    <row r="63">
      <c r="A63" s="60" t="s">
        <v>1407</v>
      </c>
      <c r="B63" s="60" t="s">
        <v>1408</v>
      </c>
      <c r="C63" s="34" t="s">
        <v>81</v>
      </c>
      <c r="D63" s="34" t="s">
        <v>1391</v>
      </c>
      <c r="E63" s="68">
        <v>2007.71</v>
      </c>
      <c r="F63" s="36"/>
      <c r="G63" s="36">
        <f t="shared" si="8"/>
        <v>2007.71</v>
      </c>
      <c r="H63" s="37"/>
    </row>
    <row r="64">
      <c r="A64" s="60" t="s">
        <v>262</v>
      </c>
      <c r="B64" s="60" t="s">
        <v>263</v>
      </c>
      <c r="C64" s="34" t="s">
        <v>81</v>
      </c>
      <c r="D64" s="34" t="s">
        <v>1391</v>
      </c>
      <c r="E64" s="68">
        <v>1005.86</v>
      </c>
      <c r="F64" s="36"/>
      <c r="G64" s="36">
        <f t="shared" si="8"/>
        <v>1005.86</v>
      </c>
      <c r="H64" s="37"/>
    </row>
    <row r="65">
      <c r="A65" s="60" t="s">
        <v>2437</v>
      </c>
      <c r="B65" s="60" t="s">
        <v>2438</v>
      </c>
      <c r="C65" s="34" t="s">
        <v>81</v>
      </c>
      <c r="D65" s="34" t="s">
        <v>1391</v>
      </c>
      <c r="E65" s="68">
        <v>1003.86</v>
      </c>
      <c r="F65" s="36"/>
      <c r="G65" s="36">
        <f t="shared" si="8"/>
        <v>1003.86</v>
      </c>
      <c r="H65" s="37"/>
    </row>
    <row r="66">
      <c r="A66" s="60" t="s">
        <v>264</v>
      </c>
      <c r="B66" s="60" t="s">
        <v>265</v>
      </c>
      <c r="C66" s="34" t="s">
        <v>81</v>
      </c>
      <c r="D66" s="34" t="s">
        <v>1391</v>
      </c>
      <c r="E66" s="68">
        <v>1051.86</v>
      </c>
      <c r="F66" s="36"/>
      <c r="G66" s="36">
        <f t="shared" si="8"/>
        <v>1051.86</v>
      </c>
      <c r="H66" s="37"/>
    </row>
    <row r="67">
      <c r="A67" s="60" t="s">
        <v>136</v>
      </c>
      <c r="B67" s="60" t="s">
        <v>137</v>
      </c>
      <c r="C67" s="34" t="s">
        <v>83</v>
      </c>
      <c r="D67" s="34" t="s">
        <v>1392</v>
      </c>
      <c r="E67" s="68">
        <v>1235.8</v>
      </c>
      <c r="F67" s="36"/>
      <c r="G67" s="36">
        <f t="shared" si="8"/>
        <v>1235.8</v>
      </c>
      <c r="H67" s="37"/>
    </row>
    <row r="68">
      <c r="A68" s="60" t="s">
        <v>138</v>
      </c>
      <c r="B68" s="60" t="s">
        <v>139</v>
      </c>
      <c r="C68" s="34" t="s">
        <v>83</v>
      </c>
      <c r="D68" s="34" t="s">
        <v>1392</v>
      </c>
      <c r="E68" s="68">
        <v>1939.7</v>
      </c>
      <c r="F68" s="36"/>
      <c r="G68" s="36">
        <f t="shared" si="8"/>
        <v>1939.7</v>
      </c>
      <c r="H68" s="37"/>
    </row>
    <row r="69">
      <c r="A69" s="60" t="s">
        <v>142</v>
      </c>
      <c r="B69" s="60" t="s">
        <v>143</v>
      </c>
      <c r="C69" s="34" t="s">
        <v>83</v>
      </c>
      <c r="D69" s="34" t="s">
        <v>1392</v>
      </c>
      <c r="E69" s="68">
        <v>1460.78</v>
      </c>
      <c r="F69" s="36"/>
      <c r="G69" s="36">
        <f t="shared" si="8"/>
        <v>1460.78</v>
      </c>
      <c r="H69" s="37"/>
    </row>
    <row r="70">
      <c r="A70" s="60" t="s">
        <v>1600</v>
      </c>
      <c r="B70" s="60" t="s">
        <v>1601</v>
      </c>
      <c r="C70" s="34" t="s">
        <v>83</v>
      </c>
      <c r="D70" s="34" t="s">
        <v>1392</v>
      </c>
      <c r="E70" s="68">
        <v>881.87</v>
      </c>
      <c r="F70" s="36"/>
      <c r="G70" s="36">
        <f t="shared" si="8"/>
        <v>881.87</v>
      </c>
      <c r="H70" s="37"/>
    </row>
    <row r="71">
      <c r="A71" s="60" t="s">
        <v>1602</v>
      </c>
      <c r="B71" s="60" t="s">
        <v>1603</v>
      </c>
      <c r="C71" s="34" t="s">
        <v>83</v>
      </c>
      <c r="D71" s="34" t="s">
        <v>1392</v>
      </c>
      <c r="E71" s="68">
        <v>1007.86</v>
      </c>
      <c r="F71" s="36"/>
      <c r="G71" s="36">
        <f t="shared" si="8"/>
        <v>1007.86</v>
      </c>
      <c r="H71" s="37"/>
    </row>
    <row r="72">
      <c r="A72" s="60" t="s">
        <v>1889</v>
      </c>
      <c r="B72" s="60" t="s">
        <v>1890</v>
      </c>
      <c r="C72" s="34" t="s">
        <v>83</v>
      </c>
      <c r="D72" s="34" t="s">
        <v>1392</v>
      </c>
      <c r="E72" s="68">
        <v>150.0</v>
      </c>
      <c r="F72" s="36"/>
      <c r="G72" s="36">
        <f t="shared" si="8"/>
        <v>150</v>
      </c>
      <c r="H72" s="37"/>
    </row>
    <row r="73">
      <c r="A73" s="60" t="s">
        <v>148</v>
      </c>
      <c r="B73" s="60" t="s">
        <v>149</v>
      </c>
      <c r="C73" s="34" t="s">
        <v>83</v>
      </c>
      <c r="D73" s="34" t="s">
        <v>1392</v>
      </c>
      <c r="E73" s="68">
        <v>2347.66</v>
      </c>
      <c r="F73" s="36"/>
      <c r="G73" s="36">
        <f t="shared" si="8"/>
        <v>2347.66</v>
      </c>
      <c r="H73" s="37"/>
    </row>
    <row r="74">
      <c r="A74" s="60" t="s">
        <v>150</v>
      </c>
      <c r="B74" s="60" t="s">
        <v>151</v>
      </c>
      <c r="C74" s="34" t="s">
        <v>83</v>
      </c>
      <c r="D74" s="34" t="s">
        <v>1392</v>
      </c>
      <c r="E74" s="68">
        <v>1256.81</v>
      </c>
      <c r="F74" s="36"/>
      <c r="G74" s="36">
        <f t="shared" si="8"/>
        <v>1256.81</v>
      </c>
      <c r="H74" s="37"/>
    </row>
    <row r="75">
      <c r="A75" s="60" t="s">
        <v>152</v>
      </c>
      <c r="B75" s="60" t="s">
        <v>153</v>
      </c>
      <c r="C75" s="34" t="s">
        <v>83</v>
      </c>
      <c r="D75" s="34" t="s">
        <v>1392</v>
      </c>
      <c r="E75" s="68">
        <v>2995.59</v>
      </c>
      <c r="F75" s="36"/>
      <c r="G75" s="36">
        <f t="shared" si="8"/>
        <v>2995.59</v>
      </c>
      <c r="H75" s="37"/>
    </row>
    <row r="76">
      <c r="A76" s="60" t="s">
        <v>154</v>
      </c>
      <c r="B76" s="60" t="s">
        <v>155</v>
      </c>
      <c r="C76" s="34" t="s">
        <v>83</v>
      </c>
      <c r="D76" s="34" t="s">
        <v>1392</v>
      </c>
      <c r="E76" s="68">
        <v>527.93</v>
      </c>
      <c r="F76" s="36"/>
      <c r="G76" s="36">
        <f t="shared" si="8"/>
        <v>527.93</v>
      </c>
      <c r="H76" s="37"/>
    </row>
    <row r="77">
      <c r="A77" s="60" t="s">
        <v>156</v>
      </c>
      <c r="B77" s="60" t="s">
        <v>157</v>
      </c>
      <c r="C77" s="34" t="s">
        <v>83</v>
      </c>
      <c r="D77" s="34" t="s">
        <v>1392</v>
      </c>
      <c r="E77" s="68">
        <v>1023.86</v>
      </c>
      <c r="F77" s="36"/>
      <c r="G77" s="36">
        <f t="shared" si="8"/>
        <v>1023.86</v>
      </c>
      <c r="H77" s="37"/>
    </row>
    <row r="78">
      <c r="A78" s="60" t="s">
        <v>158</v>
      </c>
      <c r="B78" s="60" t="s">
        <v>159</v>
      </c>
      <c r="C78" s="34" t="s">
        <v>83</v>
      </c>
      <c r="D78" s="34" t="s">
        <v>1392</v>
      </c>
      <c r="E78" s="68">
        <v>1133.83</v>
      </c>
      <c r="F78" s="36"/>
      <c r="G78" s="36">
        <f t="shared" si="8"/>
        <v>1133.83</v>
      </c>
      <c r="H78" s="37"/>
    </row>
    <row r="79">
      <c r="A79" s="60" t="s">
        <v>160</v>
      </c>
      <c r="B79" s="60" t="s">
        <v>161</v>
      </c>
      <c r="C79" s="34" t="s">
        <v>83</v>
      </c>
      <c r="D79" s="34" t="s">
        <v>1392</v>
      </c>
      <c r="E79" s="68">
        <v>1589.85</v>
      </c>
      <c r="F79" s="36"/>
      <c r="G79" s="36">
        <f t="shared" si="8"/>
        <v>1589.85</v>
      </c>
      <c r="H79" s="37"/>
    </row>
    <row r="80">
      <c r="A80" s="60" t="s">
        <v>162</v>
      </c>
      <c r="B80" s="60" t="s">
        <v>163</v>
      </c>
      <c r="C80" s="34" t="s">
        <v>83</v>
      </c>
      <c r="D80" s="34" t="s">
        <v>1392</v>
      </c>
      <c r="E80" s="68">
        <v>645.91</v>
      </c>
      <c r="F80" s="36"/>
      <c r="G80" s="36">
        <f t="shared" si="8"/>
        <v>645.91</v>
      </c>
      <c r="H80" s="37"/>
    </row>
    <row r="81">
      <c r="A81" s="60" t="s">
        <v>278</v>
      </c>
      <c r="B81" s="60" t="s">
        <v>279</v>
      </c>
      <c r="C81" s="34" t="s">
        <v>82</v>
      </c>
      <c r="D81" s="34" t="s">
        <v>1393</v>
      </c>
      <c r="E81" s="68">
        <v>1631.75</v>
      </c>
      <c r="F81" s="36"/>
      <c r="G81" s="36">
        <f t="shared" si="8"/>
        <v>1631.75</v>
      </c>
      <c r="H81" s="37"/>
    </row>
    <row r="82">
      <c r="A82" s="60" t="s">
        <v>980</v>
      </c>
      <c r="B82" s="60" t="s">
        <v>981</v>
      </c>
      <c r="C82" s="34" t="s">
        <v>82</v>
      </c>
      <c r="D82" s="34" t="s">
        <v>1393</v>
      </c>
      <c r="E82" s="68">
        <v>450.0</v>
      </c>
      <c r="F82" s="36"/>
      <c r="G82" s="36">
        <f t="shared" si="8"/>
        <v>450</v>
      </c>
      <c r="H82" s="37"/>
    </row>
    <row r="83">
      <c r="A83" s="60" t="s">
        <v>280</v>
      </c>
      <c r="B83" s="60" t="s">
        <v>281</v>
      </c>
      <c r="C83" s="34" t="s">
        <v>82</v>
      </c>
      <c r="D83" s="34" t="s">
        <v>1393</v>
      </c>
      <c r="E83" s="68">
        <v>1699.99</v>
      </c>
      <c r="F83" s="36"/>
      <c r="G83" s="36">
        <f t="shared" si="8"/>
        <v>1699.99</v>
      </c>
      <c r="H83" s="37"/>
    </row>
    <row r="84">
      <c r="A84" s="60" t="s">
        <v>282</v>
      </c>
      <c r="B84" s="60" t="s">
        <v>283</v>
      </c>
      <c r="C84" s="34" t="s">
        <v>82</v>
      </c>
      <c r="D84" s="34" t="s">
        <v>1393</v>
      </c>
      <c r="E84" s="68">
        <v>1004.87</v>
      </c>
      <c r="F84" s="36"/>
      <c r="G84" s="36">
        <f t="shared" si="8"/>
        <v>1004.87</v>
      </c>
      <c r="H84" s="37"/>
    </row>
    <row r="85">
      <c r="A85" s="60" t="s">
        <v>284</v>
      </c>
      <c r="B85" s="60" t="s">
        <v>285</v>
      </c>
      <c r="C85" s="34" t="s">
        <v>82</v>
      </c>
      <c r="D85" s="34" t="s">
        <v>1393</v>
      </c>
      <c r="E85" s="68">
        <v>1226.16</v>
      </c>
      <c r="F85" s="36"/>
      <c r="G85" s="36">
        <f t="shared" si="8"/>
        <v>1226.16</v>
      </c>
      <c r="H85" s="37"/>
    </row>
    <row r="86">
      <c r="A86" s="60" t="s">
        <v>286</v>
      </c>
      <c r="B86" s="60" t="s">
        <v>287</v>
      </c>
      <c r="C86" s="34" t="s">
        <v>82</v>
      </c>
      <c r="D86" s="34" t="s">
        <v>1393</v>
      </c>
      <c r="E86" s="68">
        <v>2499.16</v>
      </c>
      <c r="F86" s="36"/>
      <c r="G86" s="36">
        <f t="shared" si="8"/>
        <v>2499.16</v>
      </c>
      <c r="H86" s="37"/>
    </row>
    <row r="87">
      <c r="A87" s="60" t="s">
        <v>290</v>
      </c>
      <c r="B87" s="60" t="s">
        <v>291</v>
      </c>
      <c r="C87" s="34" t="s">
        <v>82</v>
      </c>
      <c r="D87" s="34" t="s">
        <v>1393</v>
      </c>
      <c r="E87" s="68">
        <v>2114.7</v>
      </c>
      <c r="F87" s="36"/>
      <c r="G87" s="36">
        <f t="shared" si="8"/>
        <v>2114.7</v>
      </c>
      <c r="H87" s="37"/>
    </row>
    <row r="88">
      <c r="A88" s="60" t="s">
        <v>294</v>
      </c>
      <c r="B88" s="60" t="s">
        <v>295</v>
      </c>
      <c r="C88" s="34" t="s">
        <v>82</v>
      </c>
      <c r="D88" s="34" t="s">
        <v>1393</v>
      </c>
      <c r="E88" s="68">
        <v>1048.85</v>
      </c>
      <c r="F88" s="36"/>
      <c r="G88" s="36">
        <f t="shared" si="8"/>
        <v>1048.85</v>
      </c>
      <c r="H88" s="37"/>
    </row>
    <row r="89">
      <c r="A89" s="60" t="s">
        <v>1771</v>
      </c>
      <c r="B89" s="60" t="s">
        <v>1772</v>
      </c>
      <c r="C89" s="34" t="s">
        <v>82</v>
      </c>
      <c r="D89" s="34" t="s">
        <v>1393</v>
      </c>
      <c r="E89" s="68">
        <v>2043.71</v>
      </c>
      <c r="F89" s="36"/>
      <c r="G89" s="36">
        <f t="shared" si="8"/>
        <v>2043.71</v>
      </c>
      <c r="H89" s="37"/>
    </row>
    <row r="90">
      <c r="A90" s="60" t="s">
        <v>2439</v>
      </c>
      <c r="B90" s="60" t="s">
        <v>2440</v>
      </c>
      <c r="C90" s="34" t="s">
        <v>82</v>
      </c>
      <c r="D90" s="34" t="s">
        <v>1393</v>
      </c>
      <c r="E90" s="68">
        <v>500.0</v>
      </c>
      <c r="F90" s="36"/>
      <c r="G90" s="36">
        <f t="shared" si="8"/>
        <v>500</v>
      </c>
      <c r="H90" s="37"/>
    </row>
    <row r="91">
      <c r="A91" s="60" t="s">
        <v>296</v>
      </c>
      <c r="B91" s="60" t="s">
        <v>297</v>
      </c>
      <c r="C91" s="34" t="s">
        <v>82</v>
      </c>
      <c r="D91" s="34" t="s">
        <v>1393</v>
      </c>
      <c r="E91" s="68">
        <v>2043.73</v>
      </c>
      <c r="F91" s="36"/>
      <c r="G91" s="36">
        <f t="shared" si="8"/>
        <v>2043.73</v>
      </c>
      <c r="H91" s="37"/>
    </row>
    <row r="92">
      <c r="A92" s="60" t="s">
        <v>2441</v>
      </c>
      <c r="B92" s="60" t="s">
        <v>2442</v>
      </c>
      <c r="C92" s="34" t="s">
        <v>82</v>
      </c>
      <c r="D92" s="34" t="s">
        <v>1393</v>
      </c>
      <c r="E92" s="68">
        <v>1207.86</v>
      </c>
      <c r="F92" s="36"/>
      <c r="G92" s="36">
        <f t="shared" si="8"/>
        <v>1207.86</v>
      </c>
      <c r="H92" s="37"/>
    </row>
    <row r="93">
      <c r="A93" s="60" t="s">
        <v>2443</v>
      </c>
      <c r="B93" s="60" t="s">
        <v>2444</v>
      </c>
      <c r="C93" s="34" t="s">
        <v>82</v>
      </c>
      <c r="D93" s="34" t="s">
        <v>1393</v>
      </c>
      <c r="E93" s="68">
        <v>234.96</v>
      </c>
      <c r="F93" s="36"/>
      <c r="G93" s="36">
        <f t="shared" si="8"/>
        <v>234.96</v>
      </c>
      <c r="H93" s="37"/>
    </row>
    <row r="94">
      <c r="A94" s="60" t="s">
        <v>1415</v>
      </c>
      <c r="B94" s="60" t="s">
        <v>1416</v>
      </c>
      <c r="C94" s="34" t="s">
        <v>82</v>
      </c>
      <c r="D94" s="34" t="s">
        <v>1393</v>
      </c>
      <c r="E94" s="68">
        <v>2580.11</v>
      </c>
      <c r="F94" s="36"/>
      <c r="G94" s="36">
        <f t="shared" si="8"/>
        <v>2580.11</v>
      </c>
      <c r="H94" s="37"/>
    </row>
    <row r="95">
      <c r="A95" s="60" t="s">
        <v>302</v>
      </c>
      <c r="B95" s="60" t="s">
        <v>303</v>
      </c>
      <c r="C95" s="34" t="s">
        <v>82</v>
      </c>
      <c r="D95" s="34" t="s">
        <v>1393</v>
      </c>
      <c r="E95" s="68">
        <v>1906.73</v>
      </c>
      <c r="F95" s="36"/>
      <c r="G95" s="36">
        <f t="shared" si="8"/>
        <v>1906.73</v>
      </c>
      <c r="H95" s="37"/>
    </row>
    <row r="96">
      <c r="A96" s="60" t="s">
        <v>2445</v>
      </c>
      <c r="B96" s="60" t="s">
        <v>2446</v>
      </c>
      <c r="C96" s="34" t="s">
        <v>82</v>
      </c>
      <c r="D96" s="34" t="s">
        <v>1393</v>
      </c>
      <c r="E96" s="68">
        <v>1221.85</v>
      </c>
      <c r="F96" s="36"/>
      <c r="G96" s="36">
        <f t="shared" si="8"/>
        <v>1221.85</v>
      </c>
      <c r="H96" s="37"/>
    </row>
    <row r="97">
      <c r="A97" s="60" t="s">
        <v>2160</v>
      </c>
      <c r="B97" s="60" t="s">
        <v>2161</v>
      </c>
      <c r="C97" s="34" t="s">
        <v>82</v>
      </c>
      <c r="D97" s="34" t="s">
        <v>1393</v>
      </c>
      <c r="E97" s="68">
        <v>997.87</v>
      </c>
      <c r="F97" s="36"/>
      <c r="G97" s="36">
        <f t="shared" si="8"/>
        <v>997.87</v>
      </c>
      <c r="H97" s="37"/>
    </row>
    <row r="98">
      <c r="A98" s="60" t="s">
        <v>2162</v>
      </c>
      <c r="B98" s="60" t="s">
        <v>2163</v>
      </c>
      <c r="C98" s="34" t="s">
        <v>82</v>
      </c>
      <c r="D98" s="34" t="s">
        <v>1393</v>
      </c>
      <c r="E98" s="68">
        <v>99.74</v>
      </c>
      <c r="F98" s="36"/>
      <c r="G98" s="36">
        <f t="shared" si="8"/>
        <v>99.74</v>
      </c>
      <c r="H98" s="37"/>
    </row>
    <row r="99">
      <c r="A99" s="60" t="s">
        <v>308</v>
      </c>
      <c r="B99" s="60" t="s">
        <v>309</v>
      </c>
      <c r="C99" s="34" t="s">
        <v>73</v>
      </c>
      <c r="D99" s="34" t="s">
        <v>52</v>
      </c>
      <c r="E99" s="68">
        <v>25167.65</v>
      </c>
      <c r="F99" s="36"/>
      <c r="G99" s="36">
        <f t="shared" si="8"/>
        <v>25167.65</v>
      </c>
      <c r="H99" s="37"/>
    </row>
    <row r="100">
      <c r="A100" s="60" t="s">
        <v>310</v>
      </c>
      <c r="B100" s="60" t="s">
        <v>311</v>
      </c>
      <c r="C100" s="34" t="s">
        <v>73</v>
      </c>
      <c r="D100" s="34" t="s">
        <v>52</v>
      </c>
      <c r="E100" s="68">
        <v>19329.37</v>
      </c>
      <c r="F100" s="36"/>
      <c r="G100" s="36">
        <f t="shared" si="8"/>
        <v>19329.37</v>
      </c>
      <c r="H100" s="37"/>
    </row>
    <row r="101">
      <c r="A101" s="60" t="s">
        <v>312</v>
      </c>
      <c r="B101" s="60" t="s">
        <v>313</v>
      </c>
      <c r="C101" s="34" t="s">
        <v>73</v>
      </c>
      <c r="D101" s="34" t="s">
        <v>52</v>
      </c>
      <c r="E101" s="68">
        <v>5295.05</v>
      </c>
      <c r="F101" s="36"/>
      <c r="G101" s="36">
        <f t="shared" si="8"/>
        <v>5295.05</v>
      </c>
      <c r="H101" s="37"/>
    </row>
    <row r="102">
      <c r="A102" s="60" t="s">
        <v>314</v>
      </c>
      <c r="B102" s="60" t="s">
        <v>315</v>
      </c>
      <c r="C102" s="34" t="s">
        <v>73</v>
      </c>
      <c r="D102" s="34" t="s">
        <v>52</v>
      </c>
      <c r="E102" s="68">
        <v>13292.6</v>
      </c>
      <c r="F102" s="36"/>
      <c r="G102" s="36">
        <f t="shared" si="8"/>
        <v>13292.6</v>
      </c>
      <c r="H102" s="37"/>
    </row>
    <row r="103">
      <c r="A103" s="60" t="s">
        <v>318</v>
      </c>
      <c r="B103" s="60" t="s">
        <v>319</v>
      </c>
      <c r="C103" s="34" t="s">
        <v>73</v>
      </c>
      <c r="D103" s="34" t="s">
        <v>52</v>
      </c>
      <c r="E103" s="68">
        <v>13141.03</v>
      </c>
      <c r="F103" s="36"/>
      <c r="G103" s="36">
        <f t="shared" si="8"/>
        <v>13141.03</v>
      </c>
      <c r="H103" s="37"/>
    </row>
    <row r="104">
      <c r="A104" s="60" t="s">
        <v>320</v>
      </c>
      <c r="B104" s="60" t="s">
        <v>321</v>
      </c>
      <c r="C104" s="34" t="s">
        <v>73</v>
      </c>
      <c r="D104" s="34" t="s">
        <v>52</v>
      </c>
      <c r="E104" s="68">
        <v>3223.25</v>
      </c>
      <c r="F104" s="36"/>
      <c r="G104" s="36">
        <f t="shared" si="8"/>
        <v>3223.25</v>
      </c>
      <c r="H104" s="37"/>
    </row>
    <row r="105">
      <c r="A105" s="60" t="s">
        <v>322</v>
      </c>
      <c r="B105" s="60" t="s">
        <v>323</v>
      </c>
      <c r="C105" s="34" t="s">
        <v>73</v>
      </c>
      <c r="D105" s="34" t="s">
        <v>52</v>
      </c>
      <c r="E105" s="68">
        <v>5215.33</v>
      </c>
      <c r="F105" s="36"/>
      <c r="G105" s="36">
        <f t="shared" si="8"/>
        <v>5215.33</v>
      </c>
      <c r="H105" s="37"/>
    </row>
    <row r="106">
      <c r="A106" s="60" t="s">
        <v>326</v>
      </c>
      <c r="B106" s="60" t="s">
        <v>327</v>
      </c>
      <c r="C106" s="34" t="s">
        <v>73</v>
      </c>
      <c r="D106" s="34" t="s">
        <v>52</v>
      </c>
      <c r="E106" s="68">
        <v>1019.99</v>
      </c>
      <c r="F106" s="36"/>
      <c r="G106" s="36">
        <f t="shared" si="8"/>
        <v>1019.99</v>
      </c>
      <c r="H106" s="37"/>
    </row>
    <row r="107">
      <c r="A107" s="60" t="s">
        <v>328</v>
      </c>
      <c r="B107" s="60" t="s">
        <v>329</v>
      </c>
      <c r="C107" s="34" t="s">
        <v>73</v>
      </c>
      <c r="D107" s="34" t="s">
        <v>52</v>
      </c>
      <c r="E107" s="68">
        <v>10750.77</v>
      </c>
      <c r="F107" s="36"/>
      <c r="G107" s="36">
        <f t="shared" si="8"/>
        <v>10750.77</v>
      </c>
      <c r="H107" s="37"/>
    </row>
    <row r="108">
      <c r="A108" s="60" t="s">
        <v>330</v>
      </c>
      <c r="B108" s="60" t="s">
        <v>331</v>
      </c>
      <c r="C108" s="34" t="s">
        <v>73</v>
      </c>
      <c r="D108" s="34" t="s">
        <v>52</v>
      </c>
      <c r="E108" s="68">
        <v>3399.98</v>
      </c>
      <c r="F108" s="36"/>
      <c r="G108" s="36">
        <f t="shared" si="8"/>
        <v>3399.98</v>
      </c>
      <c r="H108" s="37"/>
    </row>
    <row r="109">
      <c r="A109" s="60" t="s">
        <v>332</v>
      </c>
      <c r="B109" s="60" t="s">
        <v>333</v>
      </c>
      <c r="C109" s="34" t="s">
        <v>73</v>
      </c>
      <c r="D109" s="34" t="s">
        <v>52</v>
      </c>
      <c r="E109" s="68">
        <v>550.75</v>
      </c>
      <c r="F109" s="36"/>
      <c r="G109" s="36">
        <f t="shared" si="8"/>
        <v>550.75</v>
      </c>
      <c r="H109" s="37"/>
    </row>
    <row r="110">
      <c r="A110" s="60" t="s">
        <v>334</v>
      </c>
      <c r="B110" s="60" t="s">
        <v>335</v>
      </c>
      <c r="C110" s="34" t="s">
        <v>73</v>
      </c>
      <c r="D110" s="34" t="s">
        <v>52</v>
      </c>
      <c r="E110" s="68">
        <v>123263.75</v>
      </c>
      <c r="F110" s="36"/>
      <c r="G110" s="36">
        <f t="shared" si="8"/>
        <v>123263.75</v>
      </c>
      <c r="H110" s="37"/>
    </row>
    <row r="111">
      <c r="A111" s="60" t="s">
        <v>336</v>
      </c>
      <c r="B111" s="60" t="s">
        <v>337</v>
      </c>
      <c r="C111" s="34" t="s">
        <v>73</v>
      </c>
      <c r="D111" s="34" t="s">
        <v>52</v>
      </c>
      <c r="E111" s="68">
        <v>3300.09</v>
      </c>
      <c r="F111" s="36"/>
      <c r="G111" s="36">
        <f t="shared" si="8"/>
        <v>3300.09</v>
      </c>
      <c r="H111" s="37"/>
    </row>
    <row r="112">
      <c r="A112" s="60" t="s">
        <v>340</v>
      </c>
      <c r="B112" s="60" t="s">
        <v>341</v>
      </c>
      <c r="C112" s="34" t="s">
        <v>73</v>
      </c>
      <c r="D112" s="34" t="s">
        <v>52</v>
      </c>
      <c r="E112" s="68">
        <v>2248.97</v>
      </c>
      <c r="F112" s="36"/>
      <c r="G112" s="36">
        <f t="shared" si="8"/>
        <v>2248.97</v>
      </c>
      <c r="H112" s="37"/>
    </row>
    <row r="113">
      <c r="A113" s="60" t="s">
        <v>342</v>
      </c>
      <c r="B113" s="60" t="s">
        <v>343</v>
      </c>
      <c r="C113" s="34" t="s">
        <v>73</v>
      </c>
      <c r="D113" s="34" t="s">
        <v>52</v>
      </c>
      <c r="E113" s="68">
        <v>6325.0</v>
      </c>
      <c r="F113" s="36"/>
      <c r="G113" s="36">
        <f t="shared" si="8"/>
        <v>6325</v>
      </c>
      <c r="H113" s="37"/>
    </row>
    <row r="114">
      <c r="A114" s="60" t="s">
        <v>344</v>
      </c>
      <c r="B114" s="60" t="s">
        <v>345</v>
      </c>
      <c r="C114" s="34" t="s">
        <v>73</v>
      </c>
      <c r="D114" s="34" t="s">
        <v>52</v>
      </c>
      <c r="E114" s="68">
        <v>12397.5</v>
      </c>
      <c r="F114" s="36"/>
      <c r="G114" s="36">
        <f t="shared" si="8"/>
        <v>12397.5</v>
      </c>
      <c r="H114" s="37"/>
    </row>
    <row r="115">
      <c r="A115" s="60" t="s">
        <v>1912</v>
      </c>
      <c r="B115" s="60" t="s">
        <v>1913</v>
      </c>
      <c r="C115" s="34" t="s">
        <v>73</v>
      </c>
      <c r="D115" s="34" t="s">
        <v>52</v>
      </c>
      <c r="E115" s="68">
        <v>730.99</v>
      </c>
      <c r="F115" s="36"/>
      <c r="G115" s="36">
        <f t="shared" si="8"/>
        <v>730.99</v>
      </c>
      <c r="H115" s="37"/>
    </row>
    <row r="116">
      <c r="A116" s="60" t="s">
        <v>350</v>
      </c>
      <c r="B116" s="60" t="s">
        <v>351</v>
      </c>
      <c r="C116" s="34" t="s">
        <v>2447</v>
      </c>
      <c r="D116" s="34" t="s">
        <v>2269</v>
      </c>
      <c r="E116" s="68">
        <v>100.0</v>
      </c>
      <c r="F116" s="36"/>
      <c r="G116" s="36">
        <f t="shared" si="8"/>
        <v>100</v>
      </c>
      <c r="H116" s="37"/>
    </row>
    <row r="117">
      <c r="A117" s="60" t="s">
        <v>352</v>
      </c>
      <c r="B117" s="60" t="s">
        <v>353</v>
      </c>
      <c r="C117" s="34" t="s">
        <v>2447</v>
      </c>
      <c r="D117" s="34" t="s">
        <v>2269</v>
      </c>
      <c r="E117" s="68">
        <v>108.98</v>
      </c>
      <c r="F117" s="36"/>
      <c r="G117" s="36">
        <f t="shared" si="8"/>
        <v>108.98</v>
      </c>
      <c r="H117" s="37"/>
    </row>
    <row r="118">
      <c r="A118" s="60" t="s">
        <v>354</v>
      </c>
      <c r="B118" s="60" t="s">
        <v>355</v>
      </c>
      <c r="C118" s="34" t="s">
        <v>2447</v>
      </c>
      <c r="D118" s="34" t="s">
        <v>2269</v>
      </c>
      <c r="E118" s="68">
        <v>744.0</v>
      </c>
      <c r="F118" s="36"/>
      <c r="G118" s="36">
        <f t="shared" si="8"/>
        <v>744</v>
      </c>
      <c r="H118" s="37"/>
    </row>
    <row r="119">
      <c r="A119" s="60" t="s">
        <v>356</v>
      </c>
      <c r="B119" s="60" t="s">
        <v>357</v>
      </c>
      <c r="C119" s="34" t="s">
        <v>2447</v>
      </c>
      <c r="D119" s="34" t="s">
        <v>2269</v>
      </c>
      <c r="E119" s="68">
        <v>149.98</v>
      </c>
      <c r="F119" s="36"/>
      <c r="G119" s="36">
        <f t="shared" si="8"/>
        <v>149.98</v>
      </c>
      <c r="H119" s="37"/>
    </row>
    <row r="120">
      <c r="A120" s="60" t="s">
        <v>358</v>
      </c>
      <c r="B120" s="60" t="s">
        <v>359</v>
      </c>
      <c r="C120" s="34" t="s">
        <v>2447</v>
      </c>
      <c r="D120" s="34" t="s">
        <v>2269</v>
      </c>
      <c r="E120" s="68">
        <v>207.98</v>
      </c>
      <c r="F120" s="36"/>
      <c r="G120" s="36">
        <f t="shared" si="8"/>
        <v>207.98</v>
      </c>
      <c r="H120" s="37"/>
    </row>
    <row r="121">
      <c r="A121" s="60" t="s">
        <v>362</v>
      </c>
      <c r="B121" s="60" t="s">
        <v>363</v>
      </c>
      <c r="C121" s="34" t="s">
        <v>2447</v>
      </c>
      <c r="D121" s="34" t="s">
        <v>2269</v>
      </c>
      <c r="E121" s="68">
        <v>142.98</v>
      </c>
      <c r="F121" s="36"/>
      <c r="G121" s="36">
        <f t="shared" si="8"/>
        <v>142.98</v>
      </c>
      <c r="H121" s="37"/>
    </row>
    <row r="122">
      <c r="A122" s="60" t="s">
        <v>364</v>
      </c>
      <c r="B122" s="60" t="s">
        <v>365</v>
      </c>
      <c r="C122" s="34" t="s">
        <v>2447</v>
      </c>
      <c r="D122" s="34" t="s">
        <v>2269</v>
      </c>
      <c r="E122" s="68">
        <v>8079.64</v>
      </c>
      <c r="F122" s="36"/>
      <c r="G122" s="36">
        <f t="shared" si="8"/>
        <v>8079.64</v>
      </c>
      <c r="H122" s="37"/>
    </row>
    <row r="123">
      <c r="A123" s="60" t="s">
        <v>366</v>
      </c>
      <c r="B123" s="60" t="s">
        <v>367</v>
      </c>
      <c r="C123" s="34" t="s">
        <v>2447</v>
      </c>
      <c r="D123" s="34" t="s">
        <v>2269</v>
      </c>
      <c r="E123" s="68">
        <v>868.89</v>
      </c>
      <c r="F123" s="36"/>
      <c r="G123" s="36">
        <f t="shared" si="8"/>
        <v>868.89</v>
      </c>
      <c r="H123" s="37"/>
    </row>
    <row r="124">
      <c r="A124" s="60" t="s">
        <v>368</v>
      </c>
      <c r="B124" s="60" t="s">
        <v>1618</v>
      </c>
      <c r="C124" s="34" t="s">
        <v>2447</v>
      </c>
      <c r="D124" s="34" t="s">
        <v>2269</v>
      </c>
      <c r="E124" s="68">
        <v>10107.21</v>
      </c>
      <c r="F124" s="36"/>
      <c r="G124" s="36">
        <f t="shared" si="8"/>
        <v>10107.21</v>
      </c>
      <c r="H124" s="37"/>
    </row>
    <row r="125">
      <c r="A125" s="60" t="s">
        <v>1443</v>
      </c>
      <c r="B125" s="60" t="s">
        <v>1444</v>
      </c>
      <c r="C125" s="34" t="s">
        <v>2447</v>
      </c>
      <c r="D125" s="34" t="s">
        <v>2269</v>
      </c>
      <c r="E125" s="68">
        <v>1620.01</v>
      </c>
      <c r="F125" s="36"/>
      <c r="G125" s="36">
        <f t="shared" si="8"/>
        <v>1620.01</v>
      </c>
      <c r="H125" s="37"/>
    </row>
    <row r="126">
      <c r="A126" s="60" t="s">
        <v>716</v>
      </c>
      <c r="B126" s="60" t="s">
        <v>717</v>
      </c>
      <c r="C126" s="34" t="s">
        <v>2447</v>
      </c>
      <c r="D126" s="34" t="s">
        <v>2269</v>
      </c>
      <c r="E126" s="68">
        <v>1584.04</v>
      </c>
      <c r="F126" s="36"/>
      <c r="G126" s="36">
        <f t="shared" si="8"/>
        <v>1584.04</v>
      </c>
      <c r="H126" s="37"/>
    </row>
    <row r="127">
      <c r="A127" s="60" t="s">
        <v>1445</v>
      </c>
      <c r="B127" s="60" t="s">
        <v>1446</v>
      </c>
      <c r="C127" s="34" t="s">
        <v>2447</v>
      </c>
      <c r="D127" s="34" t="s">
        <v>2269</v>
      </c>
      <c r="E127" s="68">
        <v>388.0</v>
      </c>
      <c r="F127" s="36"/>
      <c r="G127" s="36">
        <f t="shared" si="8"/>
        <v>388</v>
      </c>
      <c r="H127" s="37"/>
    </row>
    <row r="128">
      <c r="A128" s="60" t="s">
        <v>370</v>
      </c>
      <c r="B128" s="60" t="s">
        <v>371</v>
      </c>
      <c r="C128" s="34" t="s">
        <v>2447</v>
      </c>
      <c r="D128" s="34" t="s">
        <v>2269</v>
      </c>
      <c r="E128" s="68">
        <v>2352.04</v>
      </c>
      <c r="F128" s="36"/>
      <c r="G128" s="36">
        <f t="shared" si="8"/>
        <v>2352.04</v>
      </c>
      <c r="H128" s="37"/>
    </row>
    <row r="129">
      <c r="A129" s="60" t="s">
        <v>376</v>
      </c>
      <c r="B129" s="60" t="s">
        <v>377</v>
      </c>
      <c r="C129" s="34" t="s">
        <v>2447</v>
      </c>
      <c r="D129" s="34" t="s">
        <v>2269</v>
      </c>
      <c r="E129" s="68">
        <v>3290.92</v>
      </c>
      <c r="F129" s="36"/>
      <c r="G129" s="36">
        <f t="shared" si="8"/>
        <v>3290.92</v>
      </c>
      <c r="H129" s="37"/>
    </row>
    <row r="130">
      <c r="A130" s="60" t="s">
        <v>384</v>
      </c>
      <c r="B130" s="60" t="s">
        <v>385</v>
      </c>
      <c r="C130" s="34" t="s">
        <v>2447</v>
      </c>
      <c r="D130" s="34" t="s">
        <v>2269</v>
      </c>
      <c r="E130" s="68">
        <v>2469.68</v>
      </c>
      <c r="F130" s="36"/>
      <c r="G130" s="36">
        <f t="shared" si="8"/>
        <v>2469.68</v>
      </c>
      <c r="H130" s="37"/>
    </row>
    <row r="131">
      <c r="A131" s="60" t="s">
        <v>386</v>
      </c>
      <c r="B131" s="60" t="s">
        <v>387</v>
      </c>
      <c r="C131" s="34" t="s">
        <v>2447</v>
      </c>
      <c r="D131" s="34" t="s">
        <v>2269</v>
      </c>
      <c r="E131" s="68">
        <v>333.96</v>
      </c>
      <c r="F131" s="36"/>
      <c r="G131" s="36">
        <f t="shared" si="8"/>
        <v>333.96</v>
      </c>
      <c r="H131" s="37"/>
    </row>
    <row r="132">
      <c r="A132" s="60" t="s">
        <v>388</v>
      </c>
      <c r="B132" s="60" t="s">
        <v>389</v>
      </c>
      <c r="C132" s="34" t="s">
        <v>2447</v>
      </c>
      <c r="D132" s="34" t="s">
        <v>2269</v>
      </c>
      <c r="E132" s="68">
        <v>513.92</v>
      </c>
      <c r="F132" s="36"/>
      <c r="G132" s="36">
        <f t="shared" si="8"/>
        <v>513.92</v>
      </c>
      <c r="H132" s="37"/>
    </row>
    <row r="133">
      <c r="A133" s="60" t="s">
        <v>746</v>
      </c>
      <c r="B133" s="60" t="s">
        <v>747</v>
      </c>
      <c r="C133" s="34" t="s">
        <v>2447</v>
      </c>
      <c r="D133" s="34" t="s">
        <v>2269</v>
      </c>
      <c r="E133" s="68">
        <v>3730.1</v>
      </c>
      <c r="F133" s="36"/>
      <c r="G133" s="36">
        <f t="shared" si="8"/>
        <v>3730.1</v>
      </c>
      <c r="H133" s="37"/>
    </row>
    <row r="134">
      <c r="A134" s="60" t="s">
        <v>390</v>
      </c>
      <c r="B134" s="60" t="s">
        <v>391</v>
      </c>
      <c r="C134" s="34" t="s">
        <v>2447</v>
      </c>
      <c r="D134" s="34" t="s">
        <v>2269</v>
      </c>
      <c r="E134" s="68">
        <v>377.94</v>
      </c>
      <c r="F134" s="36"/>
      <c r="G134" s="36">
        <f t="shared" si="8"/>
        <v>377.94</v>
      </c>
      <c r="H134" s="37"/>
    </row>
    <row r="135">
      <c r="A135" s="60" t="s">
        <v>396</v>
      </c>
      <c r="B135" s="60" t="s">
        <v>397</v>
      </c>
      <c r="C135" s="34" t="s">
        <v>2447</v>
      </c>
      <c r="D135" s="34" t="s">
        <v>2269</v>
      </c>
      <c r="E135" s="68">
        <v>518.99</v>
      </c>
      <c r="F135" s="36"/>
      <c r="G135" s="36">
        <f t="shared" si="8"/>
        <v>518.99</v>
      </c>
      <c r="H135" s="37"/>
    </row>
    <row r="136">
      <c r="A136" s="60" t="s">
        <v>748</v>
      </c>
      <c r="B136" s="60" t="s">
        <v>749</v>
      </c>
      <c r="C136" s="34" t="s">
        <v>2447</v>
      </c>
      <c r="D136" s="34" t="s">
        <v>2269</v>
      </c>
      <c r="E136" s="68">
        <v>217.97</v>
      </c>
      <c r="F136" s="36"/>
      <c r="G136" s="36">
        <f t="shared" si="8"/>
        <v>217.97</v>
      </c>
      <c r="H136" s="37"/>
    </row>
    <row r="137">
      <c r="A137" s="60" t="s">
        <v>400</v>
      </c>
      <c r="B137" s="60" t="s">
        <v>1621</v>
      </c>
      <c r="C137" s="34" t="s">
        <v>2447</v>
      </c>
      <c r="D137" s="34" t="s">
        <v>2269</v>
      </c>
      <c r="E137" s="68">
        <v>180.98</v>
      </c>
      <c r="F137" s="36"/>
      <c r="G137" s="36">
        <f t="shared" si="8"/>
        <v>180.98</v>
      </c>
      <c r="H137" s="37"/>
    </row>
    <row r="138">
      <c r="A138" s="60" t="s">
        <v>402</v>
      </c>
      <c r="B138" s="60" t="s">
        <v>403</v>
      </c>
      <c r="C138" s="34" t="s">
        <v>2447</v>
      </c>
      <c r="D138" s="34" t="s">
        <v>2269</v>
      </c>
      <c r="E138" s="68">
        <v>124.98</v>
      </c>
      <c r="F138" s="36"/>
      <c r="G138" s="36">
        <f t="shared" si="8"/>
        <v>124.98</v>
      </c>
      <c r="H138" s="37"/>
    </row>
    <row r="139">
      <c r="A139" s="60" t="s">
        <v>424</v>
      </c>
      <c r="B139" s="60" t="s">
        <v>425</v>
      </c>
      <c r="C139" s="34" t="s">
        <v>2447</v>
      </c>
      <c r="D139" s="34" t="s">
        <v>2269</v>
      </c>
      <c r="E139" s="68">
        <v>285.96</v>
      </c>
      <c r="F139" s="36"/>
      <c r="G139" s="36">
        <f t="shared" si="8"/>
        <v>285.96</v>
      </c>
      <c r="H139" s="37"/>
    </row>
    <row r="140">
      <c r="A140" s="60" t="s">
        <v>426</v>
      </c>
      <c r="B140" s="60" t="s">
        <v>1914</v>
      </c>
      <c r="C140" s="34" t="s">
        <v>2447</v>
      </c>
      <c r="D140" s="34" t="s">
        <v>2269</v>
      </c>
      <c r="E140" s="68">
        <v>234.97</v>
      </c>
      <c r="F140" s="36"/>
      <c r="G140" s="36">
        <f t="shared" si="8"/>
        <v>234.97</v>
      </c>
      <c r="H140" s="37"/>
    </row>
    <row r="141">
      <c r="A141" s="60" t="s">
        <v>432</v>
      </c>
      <c r="B141" s="60" t="s">
        <v>433</v>
      </c>
      <c r="C141" s="34" t="s">
        <v>2447</v>
      </c>
      <c r="D141" s="34" t="s">
        <v>2269</v>
      </c>
      <c r="E141" s="68">
        <v>460.03</v>
      </c>
      <c r="F141" s="36"/>
      <c r="G141" s="36">
        <f t="shared" si="8"/>
        <v>460.03</v>
      </c>
      <c r="H141" s="37"/>
    </row>
    <row r="142">
      <c r="A142" s="60" t="s">
        <v>436</v>
      </c>
      <c r="B142" s="60" t="s">
        <v>437</v>
      </c>
      <c r="C142" s="34" t="s">
        <v>2447</v>
      </c>
      <c r="D142" s="34" t="s">
        <v>2269</v>
      </c>
      <c r="E142" s="68">
        <v>67.99</v>
      </c>
      <c r="F142" s="36"/>
      <c r="G142" s="36">
        <f t="shared" si="8"/>
        <v>67.99</v>
      </c>
      <c r="H142" s="37"/>
    </row>
    <row r="143">
      <c r="A143" s="60" t="s">
        <v>438</v>
      </c>
      <c r="B143" s="60" t="s">
        <v>439</v>
      </c>
      <c r="C143" s="34" t="s">
        <v>2447</v>
      </c>
      <c r="D143" s="34" t="s">
        <v>2269</v>
      </c>
      <c r="E143" s="68">
        <v>1022.04</v>
      </c>
      <c r="F143" s="36"/>
      <c r="G143" s="36">
        <f t="shared" si="8"/>
        <v>1022.04</v>
      </c>
      <c r="H143" s="37"/>
    </row>
    <row r="144">
      <c r="A144" s="60" t="s">
        <v>442</v>
      </c>
      <c r="B144" s="60" t="s">
        <v>443</v>
      </c>
      <c r="C144" s="34" t="s">
        <v>2447</v>
      </c>
      <c r="D144" s="34" t="s">
        <v>2269</v>
      </c>
      <c r="E144" s="68">
        <v>7756.77</v>
      </c>
      <c r="F144" s="36"/>
      <c r="G144" s="36">
        <f t="shared" si="8"/>
        <v>7756.77</v>
      </c>
      <c r="H144" s="37"/>
    </row>
    <row r="145">
      <c r="A145" s="60" t="s">
        <v>446</v>
      </c>
      <c r="B145" s="60" t="s">
        <v>447</v>
      </c>
      <c r="C145" s="34" t="s">
        <v>2447</v>
      </c>
      <c r="D145" s="34" t="s">
        <v>2269</v>
      </c>
      <c r="E145" s="68">
        <v>1259.25</v>
      </c>
      <c r="F145" s="36"/>
      <c r="G145" s="36">
        <f t="shared" si="8"/>
        <v>1259.25</v>
      </c>
      <c r="H145" s="37"/>
    </row>
    <row r="146">
      <c r="A146" s="60" t="s">
        <v>448</v>
      </c>
      <c r="B146" s="60" t="s">
        <v>449</v>
      </c>
      <c r="C146" s="34" t="s">
        <v>2447</v>
      </c>
      <c r="D146" s="34" t="s">
        <v>2269</v>
      </c>
      <c r="E146" s="68">
        <v>1684.35</v>
      </c>
      <c r="F146" s="36"/>
      <c r="G146" s="36">
        <f t="shared" si="8"/>
        <v>1684.35</v>
      </c>
      <c r="H146" s="37"/>
    </row>
    <row r="147">
      <c r="A147" s="60" t="s">
        <v>450</v>
      </c>
      <c r="B147" s="60" t="s">
        <v>451</v>
      </c>
      <c r="C147" s="34" t="s">
        <v>2447</v>
      </c>
      <c r="D147" s="34" t="s">
        <v>2269</v>
      </c>
      <c r="E147" s="68">
        <v>1723.8</v>
      </c>
      <c r="F147" s="36"/>
      <c r="G147" s="36">
        <f t="shared" si="8"/>
        <v>1723.8</v>
      </c>
      <c r="H147" s="37"/>
    </row>
    <row r="148">
      <c r="A148" s="60" t="s">
        <v>456</v>
      </c>
      <c r="B148" s="60" t="s">
        <v>457</v>
      </c>
      <c r="C148" s="34" t="s">
        <v>2447</v>
      </c>
      <c r="D148" s="34" t="s">
        <v>2269</v>
      </c>
      <c r="E148" s="68">
        <v>217.97</v>
      </c>
      <c r="F148" s="36"/>
      <c r="G148" s="36">
        <f t="shared" si="8"/>
        <v>217.97</v>
      </c>
      <c r="H148" s="37"/>
    </row>
    <row r="149">
      <c r="A149" s="60" t="s">
        <v>458</v>
      </c>
      <c r="B149" s="60" t="s">
        <v>2448</v>
      </c>
      <c r="C149" s="34" t="s">
        <v>2447</v>
      </c>
      <c r="D149" s="34" t="s">
        <v>2269</v>
      </c>
      <c r="E149" s="68">
        <v>488.0</v>
      </c>
      <c r="F149" s="36"/>
      <c r="G149" s="36">
        <f t="shared" si="8"/>
        <v>488</v>
      </c>
      <c r="H149" s="37"/>
    </row>
    <row r="150">
      <c r="A150" s="60" t="s">
        <v>460</v>
      </c>
      <c r="B150" s="60" t="s">
        <v>461</v>
      </c>
      <c r="C150" s="34" t="s">
        <v>2447</v>
      </c>
      <c r="D150" s="34" t="s">
        <v>2269</v>
      </c>
      <c r="E150" s="68">
        <v>252.64</v>
      </c>
      <c r="F150" s="36"/>
      <c r="G150" s="36">
        <f t="shared" si="8"/>
        <v>252.64</v>
      </c>
      <c r="H150" s="37"/>
    </row>
    <row r="151">
      <c r="A151" s="60" t="s">
        <v>462</v>
      </c>
      <c r="B151" s="60" t="s">
        <v>463</v>
      </c>
      <c r="C151" s="34" t="s">
        <v>2447</v>
      </c>
      <c r="D151" s="34" t="s">
        <v>2269</v>
      </c>
      <c r="E151" s="68">
        <v>7014.11</v>
      </c>
      <c r="F151" s="36"/>
      <c r="G151" s="36">
        <f t="shared" si="8"/>
        <v>7014.11</v>
      </c>
      <c r="H151" s="37"/>
    </row>
    <row r="152">
      <c r="A152" s="60" t="s">
        <v>466</v>
      </c>
      <c r="B152" s="60" t="s">
        <v>467</v>
      </c>
      <c r="C152" s="34" t="s">
        <v>2447</v>
      </c>
      <c r="D152" s="34" t="s">
        <v>2269</v>
      </c>
      <c r="E152" s="68">
        <v>2282.02</v>
      </c>
      <c r="F152" s="36"/>
      <c r="G152" s="36">
        <f t="shared" si="8"/>
        <v>2282.02</v>
      </c>
      <c r="H152" s="37"/>
    </row>
    <row r="153">
      <c r="A153" s="60" t="s">
        <v>468</v>
      </c>
      <c r="B153" s="60" t="s">
        <v>469</v>
      </c>
      <c r="C153" s="34" t="s">
        <v>2447</v>
      </c>
      <c r="D153" s="34" t="s">
        <v>2269</v>
      </c>
      <c r="E153" s="68">
        <v>1566.81</v>
      </c>
      <c r="F153" s="36"/>
      <c r="G153" s="36">
        <f t="shared" si="8"/>
        <v>1566.81</v>
      </c>
      <c r="H153" s="37"/>
    </row>
    <row r="154">
      <c r="A154" s="60" t="s">
        <v>470</v>
      </c>
      <c r="B154" s="60" t="s">
        <v>471</v>
      </c>
      <c r="C154" s="34" t="s">
        <v>2447</v>
      </c>
      <c r="D154" s="34" t="s">
        <v>2269</v>
      </c>
      <c r="E154" s="68">
        <v>492.02</v>
      </c>
      <c r="F154" s="36"/>
      <c r="G154" s="36">
        <f t="shared" si="8"/>
        <v>492.02</v>
      </c>
      <c r="H154" s="37"/>
    </row>
    <row r="155">
      <c r="A155" s="60" t="s">
        <v>472</v>
      </c>
      <c r="B155" s="60" t="s">
        <v>473</v>
      </c>
      <c r="C155" s="34" t="s">
        <v>2447</v>
      </c>
      <c r="D155" s="34" t="s">
        <v>53</v>
      </c>
      <c r="E155" s="68">
        <v>218.01</v>
      </c>
      <c r="F155" s="36"/>
      <c r="G155" s="36">
        <f t="shared" si="8"/>
        <v>218.01</v>
      </c>
      <c r="H155" s="37"/>
    </row>
    <row r="156">
      <c r="A156" s="60" t="s">
        <v>474</v>
      </c>
      <c r="B156" s="60" t="s">
        <v>475</v>
      </c>
      <c r="C156" s="34" t="s">
        <v>2447</v>
      </c>
      <c r="D156" s="34" t="s">
        <v>53</v>
      </c>
      <c r="E156" s="68">
        <v>47.28</v>
      </c>
      <c r="F156" s="36"/>
      <c r="G156" s="36">
        <f t="shared" si="8"/>
        <v>47.28</v>
      </c>
      <c r="H156" s="37"/>
    </row>
    <row r="157">
      <c r="A157" s="60" t="s">
        <v>476</v>
      </c>
      <c r="B157" s="60" t="s">
        <v>477</v>
      </c>
      <c r="C157" s="34" t="s">
        <v>2447</v>
      </c>
      <c r="D157" s="34" t="s">
        <v>53</v>
      </c>
      <c r="E157" s="68">
        <v>101.98</v>
      </c>
      <c r="F157" s="36"/>
      <c r="G157" s="36">
        <f t="shared" si="8"/>
        <v>101.98</v>
      </c>
      <c r="H157" s="37"/>
    </row>
    <row r="158">
      <c r="A158" s="60" t="s">
        <v>478</v>
      </c>
      <c r="B158" s="60" t="s">
        <v>479</v>
      </c>
      <c r="C158" s="34" t="s">
        <v>2447</v>
      </c>
      <c r="D158" s="34" t="s">
        <v>53</v>
      </c>
      <c r="E158" s="68">
        <v>367.95</v>
      </c>
      <c r="F158" s="36"/>
      <c r="G158" s="36">
        <f t="shared" si="8"/>
        <v>367.95</v>
      </c>
      <c r="H158" s="37"/>
    </row>
    <row r="159">
      <c r="A159" s="60" t="s">
        <v>480</v>
      </c>
      <c r="B159" s="60" t="s">
        <v>481</v>
      </c>
      <c r="C159" s="34" t="s">
        <v>2447</v>
      </c>
      <c r="D159" s="34" t="s">
        <v>53</v>
      </c>
      <c r="E159" s="68">
        <v>200.98</v>
      </c>
      <c r="F159" s="36"/>
      <c r="G159" s="36">
        <f t="shared" si="8"/>
        <v>200.98</v>
      </c>
      <c r="H159" s="37"/>
    </row>
    <row r="160">
      <c r="A160" s="60" t="s">
        <v>482</v>
      </c>
      <c r="B160" s="60" t="s">
        <v>483</v>
      </c>
      <c r="C160" s="34" t="s">
        <v>2447</v>
      </c>
      <c r="D160" s="34" t="s">
        <v>53</v>
      </c>
      <c r="E160" s="68">
        <v>183.98</v>
      </c>
      <c r="F160" s="36"/>
      <c r="G160" s="36">
        <f t="shared" si="8"/>
        <v>183.98</v>
      </c>
      <c r="H160" s="37"/>
    </row>
    <row r="161">
      <c r="A161" s="60" t="s">
        <v>2164</v>
      </c>
      <c r="B161" s="60" t="s">
        <v>2165</v>
      </c>
      <c r="C161" s="34" t="s">
        <v>2447</v>
      </c>
      <c r="D161" s="34" t="s">
        <v>53</v>
      </c>
      <c r="E161" s="68">
        <v>217.97</v>
      </c>
      <c r="F161" s="36"/>
      <c r="G161" s="36">
        <f t="shared" si="8"/>
        <v>217.97</v>
      </c>
      <c r="H161" s="37"/>
    </row>
    <row r="162">
      <c r="A162" s="60" t="s">
        <v>484</v>
      </c>
      <c r="B162" s="60" t="s">
        <v>485</v>
      </c>
      <c r="C162" s="34" t="s">
        <v>2447</v>
      </c>
      <c r="D162" s="34" t="s">
        <v>53</v>
      </c>
      <c r="E162" s="68">
        <v>778.02</v>
      </c>
      <c r="F162" s="36"/>
      <c r="G162" s="36">
        <f t="shared" si="8"/>
        <v>778.02</v>
      </c>
      <c r="H162" s="37"/>
    </row>
    <row r="163">
      <c r="A163" s="60" t="s">
        <v>486</v>
      </c>
      <c r="B163" s="60" t="s">
        <v>487</v>
      </c>
      <c r="C163" s="34" t="s">
        <v>2447</v>
      </c>
      <c r="D163" s="34" t="s">
        <v>53</v>
      </c>
      <c r="E163" s="68">
        <v>408.95</v>
      </c>
      <c r="F163" s="36"/>
      <c r="G163" s="36">
        <f t="shared" si="8"/>
        <v>408.95</v>
      </c>
      <c r="H163" s="37"/>
    </row>
    <row r="164">
      <c r="A164" s="60" t="s">
        <v>488</v>
      </c>
      <c r="B164" s="60" t="s">
        <v>489</v>
      </c>
      <c r="C164" s="34" t="s">
        <v>2447</v>
      </c>
      <c r="D164" s="34" t="s">
        <v>53</v>
      </c>
      <c r="E164" s="68">
        <v>108.98</v>
      </c>
      <c r="F164" s="36"/>
      <c r="G164" s="36">
        <f t="shared" si="8"/>
        <v>108.98</v>
      </c>
      <c r="H164" s="37"/>
    </row>
    <row r="165">
      <c r="A165" s="60" t="s">
        <v>490</v>
      </c>
      <c r="B165" s="60" t="s">
        <v>491</v>
      </c>
      <c r="C165" s="34" t="s">
        <v>2447</v>
      </c>
      <c r="D165" s="34" t="s">
        <v>53</v>
      </c>
      <c r="E165" s="68">
        <v>285.96</v>
      </c>
      <c r="F165" s="36"/>
      <c r="G165" s="36">
        <f t="shared" si="8"/>
        <v>285.96</v>
      </c>
      <c r="H165" s="37"/>
    </row>
    <row r="166">
      <c r="A166" s="60" t="s">
        <v>492</v>
      </c>
      <c r="B166" s="60" t="s">
        <v>493</v>
      </c>
      <c r="C166" s="34" t="s">
        <v>2447</v>
      </c>
      <c r="D166" s="34" t="s">
        <v>53</v>
      </c>
      <c r="E166" s="68">
        <v>217.97</v>
      </c>
      <c r="F166" s="36"/>
      <c r="G166" s="36">
        <f t="shared" si="8"/>
        <v>217.97</v>
      </c>
      <c r="H166" s="37"/>
    </row>
    <row r="167">
      <c r="A167" s="60" t="s">
        <v>494</v>
      </c>
      <c r="B167" s="60" t="s">
        <v>495</v>
      </c>
      <c r="C167" s="34" t="s">
        <v>2447</v>
      </c>
      <c r="D167" s="34" t="s">
        <v>53</v>
      </c>
      <c r="E167" s="68">
        <v>108.98</v>
      </c>
      <c r="F167" s="36"/>
      <c r="G167" s="36">
        <f t="shared" si="8"/>
        <v>108.98</v>
      </c>
      <c r="H167" s="37"/>
    </row>
    <row r="168">
      <c r="A168" s="60" t="s">
        <v>496</v>
      </c>
      <c r="B168" s="60" t="s">
        <v>497</v>
      </c>
      <c r="C168" s="34" t="s">
        <v>2447</v>
      </c>
      <c r="D168" s="34" t="s">
        <v>53</v>
      </c>
      <c r="E168" s="68">
        <v>91.98</v>
      </c>
      <c r="F168" s="36"/>
      <c r="G168" s="36">
        <f t="shared" si="8"/>
        <v>91.98</v>
      </c>
      <c r="H168" s="37"/>
    </row>
    <row r="169">
      <c r="A169" s="60" t="s">
        <v>498</v>
      </c>
      <c r="B169" s="60" t="s">
        <v>499</v>
      </c>
      <c r="C169" s="34" t="s">
        <v>2447</v>
      </c>
      <c r="D169" s="34" t="s">
        <v>53</v>
      </c>
      <c r="E169" s="68">
        <v>401.95</v>
      </c>
      <c r="F169" s="36"/>
      <c r="G169" s="36">
        <f t="shared" si="8"/>
        <v>401.95</v>
      </c>
      <c r="H169" s="37"/>
    </row>
    <row r="170">
      <c r="A170" s="60" t="s">
        <v>500</v>
      </c>
      <c r="B170" s="60" t="s">
        <v>501</v>
      </c>
      <c r="C170" s="34" t="s">
        <v>2447</v>
      </c>
      <c r="D170" s="34" t="s">
        <v>53</v>
      </c>
      <c r="E170" s="68">
        <v>275.96</v>
      </c>
      <c r="F170" s="36"/>
      <c r="G170" s="36">
        <f t="shared" si="8"/>
        <v>275.96</v>
      </c>
      <c r="H170" s="37"/>
    </row>
    <row r="171">
      <c r="A171" s="60" t="s">
        <v>502</v>
      </c>
      <c r="B171" s="60" t="s">
        <v>503</v>
      </c>
      <c r="C171" s="34" t="s">
        <v>2447</v>
      </c>
      <c r="D171" s="34" t="s">
        <v>53</v>
      </c>
      <c r="E171" s="68">
        <v>53.98</v>
      </c>
      <c r="F171" s="36"/>
      <c r="G171" s="36">
        <f t="shared" si="8"/>
        <v>53.98</v>
      </c>
      <c r="H171" s="37"/>
    </row>
    <row r="172">
      <c r="A172" s="60" t="s">
        <v>504</v>
      </c>
      <c r="B172" s="60" t="s">
        <v>505</v>
      </c>
      <c r="C172" s="34" t="s">
        <v>2447</v>
      </c>
      <c r="D172" s="34" t="s">
        <v>53</v>
      </c>
      <c r="E172" s="68">
        <v>74.99</v>
      </c>
      <c r="F172" s="36"/>
      <c r="G172" s="36">
        <f t="shared" si="8"/>
        <v>74.99</v>
      </c>
      <c r="H172" s="37"/>
    </row>
    <row r="173">
      <c r="A173" s="60" t="s">
        <v>506</v>
      </c>
      <c r="B173" s="60" t="s">
        <v>507</v>
      </c>
      <c r="C173" s="34" t="s">
        <v>2447</v>
      </c>
      <c r="D173" s="34" t="s">
        <v>53</v>
      </c>
      <c r="E173" s="68">
        <v>1522.29</v>
      </c>
      <c r="F173" s="36"/>
      <c r="G173" s="36">
        <f t="shared" si="8"/>
        <v>1522.29</v>
      </c>
      <c r="H173" s="37"/>
    </row>
    <row r="174">
      <c r="A174" s="60" t="s">
        <v>508</v>
      </c>
      <c r="B174" s="60" t="s">
        <v>509</v>
      </c>
      <c r="C174" s="34" t="s">
        <v>2447</v>
      </c>
      <c r="D174" s="34" t="s">
        <v>53</v>
      </c>
      <c r="E174" s="68">
        <v>460.03</v>
      </c>
      <c r="F174" s="36"/>
      <c r="G174" s="36">
        <f t="shared" si="8"/>
        <v>460.03</v>
      </c>
      <c r="H174" s="37"/>
    </row>
    <row r="175">
      <c r="A175" s="60" t="s">
        <v>510</v>
      </c>
      <c r="B175" s="60" t="s">
        <v>511</v>
      </c>
      <c r="C175" s="34" t="s">
        <v>2447</v>
      </c>
      <c r="D175" s="34" t="s">
        <v>53</v>
      </c>
      <c r="E175" s="68">
        <v>422.96</v>
      </c>
      <c r="F175" s="36"/>
      <c r="G175" s="36">
        <f t="shared" si="8"/>
        <v>422.96</v>
      </c>
      <c r="H175" s="37"/>
    </row>
    <row r="176">
      <c r="A176" s="60" t="s">
        <v>1924</v>
      </c>
      <c r="B176" s="60" t="s">
        <v>1925</v>
      </c>
      <c r="C176" s="34" t="s">
        <v>2447</v>
      </c>
      <c r="D176" s="34" t="s">
        <v>53</v>
      </c>
      <c r="E176" s="68">
        <v>442.95</v>
      </c>
      <c r="F176" s="36"/>
      <c r="G176" s="36">
        <f t="shared" si="8"/>
        <v>442.95</v>
      </c>
      <c r="H176" s="37"/>
    </row>
    <row r="177">
      <c r="A177" s="60" t="s">
        <v>512</v>
      </c>
      <c r="B177" s="60" t="s">
        <v>513</v>
      </c>
      <c r="C177" s="34" t="s">
        <v>2447</v>
      </c>
      <c r="D177" s="34" t="s">
        <v>53</v>
      </c>
      <c r="E177" s="68">
        <v>276.0</v>
      </c>
      <c r="F177" s="36"/>
      <c r="G177" s="36">
        <f t="shared" si="8"/>
        <v>276</v>
      </c>
      <c r="H177" s="37"/>
    </row>
    <row r="178">
      <c r="A178" s="60" t="s">
        <v>514</v>
      </c>
      <c r="B178" s="60" t="s">
        <v>515</v>
      </c>
      <c r="C178" s="34" t="s">
        <v>2447</v>
      </c>
      <c r="D178" s="34" t="s">
        <v>53</v>
      </c>
      <c r="E178" s="68">
        <v>125.97</v>
      </c>
      <c r="F178" s="36"/>
      <c r="G178" s="36">
        <f t="shared" si="8"/>
        <v>125.97</v>
      </c>
      <c r="H178" s="37"/>
    </row>
    <row r="179">
      <c r="A179" s="60" t="s">
        <v>516</v>
      </c>
      <c r="B179" s="60" t="s">
        <v>517</v>
      </c>
      <c r="C179" s="34" t="s">
        <v>2447</v>
      </c>
      <c r="D179" s="34" t="s">
        <v>53</v>
      </c>
      <c r="E179" s="68">
        <v>265.97</v>
      </c>
      <c r="F179" s="36"/>
      <c r="G179" s="36">
        <f t="shared" si="8"/>
        <v>265.97</v>
      </c>
      <c r="H179" s="37"/>
    </row>
    <row r="180">
      <c r="A180" s="60" t="s">
        <v>518</v>
      </c>
      <c r="B180" s="60" t="s">
        <v>519</v>
      </c>
      <c r="C180" s="34" t="s">
        <v>2447</v>
      </c>
      <c r="D180" s="34" t="s">
        <v>53</v>
      </c>
      <c r="E180" s="68">
        <v>425.94</v>
      </c>
      <c r="F180" s="36"/>
      <c r="G180" s="36">
        <f t="shared" si="8"/>
        <v>425.94</v>
      </c>
      <c r="H180" s="37"/>
    </row>
    <row r="181">
      <c r="A181" s="60" t="s">
        <v>520</v>
      </c>
      <c r="B181" s="60" t="s">
        <v>521</v>
      </c>
      <c r="C181" s="34" t="s">
        <v>2447</v>
      </c>
      <c r="D181" s="34" t="s">
        <v>53</v>
      </c>
      <c r="E181" s="68">
        <v>220.96</v>
      </c>
      <c r="F181" s="36"/>
      <c r="G181" s="36">
        <f t="shared" si="8"/>
        <v>220.96</v>
      </c>
      <c r="H181" s="37"/>
    </row>
    <row r="182">
      <c r="A182" s="60" t="s">
        <v>522</v>
      </c>
      <c r="B182" s="60" t="s">
        <v>523</v>
      </c>
      <c r="C182" s="34" t="s">
        <v>2447</v>
      </c>
      <c r="D182" s="34" t="s">
        <v>53</v>
      </c>
      <c r="E182" s="68">
        <v>309.95</v>
      </c>
      <c r="F182" s="36"/>
      <c r="G182" s="36">
        <f t="shared" si="8"/>
        <v>309.95</v>
      </c>
      <c r="H182" s="37"/>
    </row>
    <row r="183">
      <c r="A183" s="60" t="s">
        <v>524</v>
      </c>
      <c r="B183" s="60" t="s">
        <v>525</v>
      </c>
      <c r="C183" s="34" t="s">
        <v>2447</v>
      </c>
      <c r="D183" s="34" t="s">
        <v>53</v>
      </c>
      <c r="E183" s="68">
        <v>8672.94</v>
      </c>
      <c r="F183" s="36"/>
      <c r="G183" s="36">
        <f t="shared" si="8"/>
        <v>8672.94</v>
      </c>
      <c r="H183" s="37"/>
    </row>
    <row r="184">
      <c r="A184" s="60" t="s">
        <v>1775</v>
      </c>
      <c r="B184" s="60" t="s">
        <v>1776</v>
      </c>
      <c r="C184" s="34" t="s">
        <v>2447</v>
      </c>
      <c r="D184" s="34" t="s">
        <v>53</v>
      </c>
      <c r="E184" s="68">
        <v>1610.0</v>
      </c>
      <c r="F184" s="36"/>
      <c r="G184" s="36">
        <f t="shared" si="8"/>
        <v>1610</v>
      </c>
      <c r="H184" s="37"/>
    </row>
    <row r="185">
      <c r="A185" s="60" t="s">
        <v>526</v>
      </c>
      <c r="B185" s="60" t="s">
        <v>527</v>
      </c>
      <c r="C185" s="34" t="s">
        <v>2447</v>
      </c>
      <c r="D185" s="34" t="s">
        <v>53</v>
      </c>
      <c r="E185" s="68">
        <v>108.98</v>
      </c>
      <c r="F185" s="36"/>
      <c r="G185" s="36">
        <f t="shared" si="8"/>
        <v>108.98</v>
      </c>
      <c r="H185" s="37"/>
    </row>
    <row r="186">
      <c r="A186" s="60" t="s">
        <v>528</v>
      </c>
      <c r="B186" s="60" t="s">
        <v>529</v>
      </c>
      <c r="C186" s="34" t="s">
        <v>2447</v>
      </c>
      <c r="D186" s="34" t="s">
        <v>53</v>
      </c>
      <c r="E186" s="68">
        <v>217.97</v>
      </c>
      <c r="F186" s="36"/>
      <c r="G186" s="36">
        <f t="shared" si="8"/>
        <v>217.97</v>
      </c>
      <c r="H186" s="37"/>
    </row>
    <row r="187">
      <c r="A187" s="60" t="s">
        <v>530</v>
      </c>
      <c r="B187" s="60" t="s">
        <v>531</v>
      </c>
      <c r="C187" s="34" t="s">
        <v>2447</v>
      </c>
      <c r="D187" s="34" t="s">
        <v>53</v>
      </c>
      <c r="E187" s="68">
        <v>511.02</v>
      </c>
      <c r="F187" s="36"/>
      <c r="G187" s="36">
        <f t="shared" si="8"/>
        <v>511.02</v>
      </c>
      <c r="H187" s="37"/>
    </row>
    <row r="188">
      <c r="A188" s="60" t="s">
        <v>532</v>
      </c>
      <c r="B188" s="60" t="s">
        <v>533</v>
      </c>
      <c r="C188" s="34" t="s">
        <v>2447</v>
      </c>
      <c r="D188" s="34" t="s">
        <v>53</v>
      </c>
      <c r="E188" s="68">
        <v>183.98</v>
      </c>
      <c r="F188" s="36"/>
      <c r="G188" s="36">
        <f t="shared" si="8"/>
        <v>183.98</v>
      </c>
      <c r="H188" s="37"/>
    </row>
    <row r="189">
      <c r="A189" s="60" t="s">
        <v>534</v>
      </c>
      <c r="B189" s="60" t="s">
        <v>535</v>
      </c>
      <c r="C189" s="34" t="s">
        <v>2447</v>
      </c>
      <c r="D189" s="34" t="s">
        <v>53</v>
      </c>
      <c r="E189" s="68">
        <v>50.99</v>
      </c>
      <c r="F189" s="36"/>
      <c r="G189" s="36">
        <f t="shared" si="8"/>
        <v>50.99</v>
      </c>
      <c r="H189" s="37"/>
    </row>
    <row r="190">
      <c r="A190" s="60" t="s">
        <v>536</v>
      </c>
      <c r="B190" s="60" t="s">
        <v>537</v>
      </c>
      <c r="C190" s="34" t="s">
        <v>2447</v>
      </c>
      <c r="D190" s="34" t="s">
        <v>53</v>
      </c>
      <c r="E190" s="68">
        <v>200.98</v>
      </c>
      <c r="F190" s="36"/>
      <c r="G190" s="36">
        <f t="shared" si="8"/>
        <v>200.98</v>
      </c>
      <c r="H190" s="37"/>
    </row>
    <row r="191">
      <c r="A191" s="60" t="s">
        <v>538</v>
      </c>
      <c r="B191" s="60" t="s">
        <v>539</v>
      </c>
      <c r="C191" s="34" t="s">
        <v>2447</v>
      </c>
      <c r="D191" s="34" t="s">
        <v>53</v>
      </c>
      <c r="E191" s="68">
        <v>459.94</v>
      </c>
      <c r="F191" s="36"/>
      <c r="G191" s="36">
        <f t="shared" si="8"/>
        <v>459.94</v>
      </c>
      <c r="H191" s="37"/>
    </row>
    <row r="192">
      <c r="A192" s="60" t="s">
        <v>540</v>
      </c>
      <c r="B192" s="60" t="s">
        <v>541</v>
      </c>
      <c r="C192" s="34" t="s">
        <v>2447</v>
      </c>
      <c r="D192" s="34" t="s">
        <v>53</v>
      </c>
      <c r="E192" s="68">
        <v>173.98</v>
      </c>
      <c r="F192" s="36"/>
      <c r="G192" s="36">
        <f t="shared" si="8"/>
        <v>173.98</v>
      </c>
      <c r="H192" s="37"/>
    </row>
    <row r="193">
      <c r="A193" s="60" t="s">
        <v>542</v>
      </c>
      <c r="B193" s="60" t="s">
        <v>543</v>
      </c>
      <c r="C193" s="34" t="s">
        <v>2447</v>
      </c>
      <c r="D193" s="34" t="s">
        <v>53</v>
      </c>
      <c r="E193" s="68">
        <v>1211.42</v>
      </c>
      <c r="F193" s="36"/>
      <c r="G193" s="36">
        <f t="shared" si="8"/>
        <v>1211.42</v>
      </c>
      <c r="H193" s="37"/>
    </row>
    <row r="194">
      <c r="A194" s="60" t="s">
        <v>544</v>
      </c>
      <c r="B194" s="60" t="s">
        <v>545</v>
      </c>
      <c r="C194" s="34" t="s">
        <v>2447</v>
      </c>
      <c r="D194" s="34" t="s">
        <v>53</v>
      </c>
      <c r="E194" s="68">
        <v>275.96</v>
      </c>
      <c r="F194" s="36"/>
      <c r="G194" s="36">
        <f t="shared" si="8"/>
        <v>275.96</v>
      </c>
      <c r="H194" s="37"/>
    </row>
    <row r="195">
      <c r="A195" s="60" t="s">
        <v>546</v>
      </c>
      <c r="B195" s="60" t="s">
        <v>547</v>
      </c>
      <c r="C195" s="34" t="s">
        <v>2447</v>
      </c>
      <c r="D195" s="34" t="s">
        <v>53</v>
      </c>
      <c r="E195" s="68">
        <v>251.96</v>
      </c>
      <c r="F195" s="36"/>
      <c r="G195" s="36">
        <f t="shared" si="8"/>
        <v>251.96</v>
      </c>
      <c r="H195" s="37"/>
    </row>
    <row r="196">
      <c r="A196" s="60" t="s">
        <v>1928</v>
      </c>
      <c r="B196" s="60" t="s">
        <v>1929</v>
      </c>
      <c r="C196" s="34" t="s">
        <v>2447</v>
      </c>
      <c r="D196" s="34" t="s">
        <v>53</v>
      </c>
      <c r="E196" s="68">
        <v>108.98</v>
      </c>
      <c r="F196" s="36"/>
      <c r="G196" s="36">
        <f t="shared" si="8"/>
        <v>108.98</v>
      </c>
      <c r="H196" s="37"/>
    </row>
    <row r="197">
      <c r="A197" s="60" t="s">
        <v>548</v>
      </c>
      <c r="B197" s="60" t="s">
        <v>549</v>
      </c>
      <c r="C197" s="34" t="s">
        <v>2447</v>
      </c>
      <c r="D197" s="34" t="s">
        <v>53</v>
      </c>
      <c r="E197" s="68">
        <v>200.98</v>
      </c>
      <c r="F197" s="36"/>
      <c r="G197" s="36">
        <f t="shared" si="8"/>
        <v>200.98</v>
      </c>
      <c r="H197" s="37"/>
    </row>
    <row r="198">
      <c r="A198" s="60" t="s">
        <v>550</v>
      </c>
      <c r="B198" s="60" t="s">
        <v>551</v>
      </c>
      <c r="C198" s="34" t="s">
        <v>2447</v>
      </c>
      <c r="D198" s="34" t="s">
        <v>53</v>
      </c>
      <c r="E198" s="68">
        <v>309.95</v>
      </c>
      <c r="F198" s="36"/>
      <c r="G198" s="36">
        <f t="shared" si="8"/>
        <v>309.95</v>
      </c>
      <c r="H198" s="37"/>
    </row>
    <row r="199">
      <c r="A199" s="60" t="s">
        <v>552</v>
      </c>
      <c r="B199" s="60" t="s">
        <v>553</v>
      </c>
      <c r="C199" s="34" t="s">
        <v>2447</v>
      </c>
      <c r="D199" s="34" t="s">
        <v>53</v>
      </c>
      <c r="E199" s="68">
        <v>599.96</v>
      </c>
      <c r="F199" s="36"/>
      <c r="G199" s="36">
        <f t="shared" si="8"/>
        <v>599.96</v>
      </c>
      <c r="H199" s="37"/>
    </row>
    <row r="200">
      <c r="A200" s="60" t="s">
        <v>554</v>
      </c>
      <c r="B200" s="60" t="s">
        <v>555</v>
      </c>
      <c r="C200" s="34" t="s">
        <v>2447</v>
      </c>
      <c r="D200" s="34" t="s">
        <v>53</v>
      </c>
      <c r="E200" s="68">
        <v>3335.0</v>
      </c>
      <c r="F200" s="36"/>
      <c r="G200" s="36">
        <f t="shared" si="8"/>
        <v>3335</v>
      </c>
      <c r="H200" s="37"/>
    </row>
    <row r="201">
      <c r="A201" s="60" t="s">
        <v>556</v>
      </c>
      <c r="B201" s="60" t="s">
        <v>557</v>
      </c>
      <c r="C201" s="34" t="s">
        <v>2447</v>
      </c>
      <c r="D201" s="34" t="s">
        <v>53</v>
      </c>
      <c r="E201" s="68">
        <v>173.98</v>
      </c>
      <c r="F201" s="36"/>
      <c r="G201" s="36">
        <f t="shared" si="8"/>
        <v>173.98</v>
      </c>
      <c r="H201" s="37"/>
    </row>
    <row r="202">
      <c r="A202" s="60" t="s">
        <v>558</v>
      </c>
      <c r="B202" s="60" t="s">
        <v>559</v>
      </c>
      <c r="C202" s="34" t="s">
        <v>2447</v>
      </c>
      <c r="D202" s="34" t="s">
        <v>53</v>
      </c>
      <c r="E202" s="68">
        <v>391.95</v>
      </c>
      <c r="F202" s="36"/>
      <c r="G202" s="36">
        <f t="shared" si="8"/>
        <v>391.95</v>
      </c>
      <c r="H202" s="37"/>
    </row>
    <row r="203">
      <c r="A203" s="60" t="s">
        <v>560</v>
      </c>
      <c r="B203" s="60" t="s">
        <v>561</v>
      </c>
      <c r="C203" s="34" t="s">
        <v>2447</v>
      </c>
      <c r="D203" s="34" t="s">
        <v>53</v>
      </c>
      <c r="E203" s="68">
        <v>268.96</v>
      </c>
      <c r="F203" s="36"/>
      <c r="G203" s="36">
        <f t="shared" si="8"/>
        <v>268.96</v>
      </c>
      <c r="H203" s="37"/>
    </row>
    <row r="204">
      <c r="A204" s="60" t="s">
        <v>562</v>
      </c>
      <c r="B204" s="60" t="s">
        <v>563</v>
      </c>
      <c r="C204" s="34" t="s">
        <v>2447</v>
      </c>
      <c r="D204" s="34" t="s">
        <v>53</v>
      </c>
      <c r="E204" s="68">
        <v>84.99</v>
      </c>
      <c r="F204" s="36"/>
      <c r="G204" s="36">
        <f t="shared" si="8"/>
        <v>84.99</v>
      </c>
      <c r="H204" s="37"/>
    </row>
    <row r="205">
      <c r="A205" s="60" t="s">
        <v>564</v>
      </c>
      <c r="B205" s="60" t="s">
        <v>565</v>
      </c>
      <c r="C205" s="34" t="s">
        <v>2447</v>
      </c>
      <c r="D205" s="34" t="s">
        <v>53</v>
      </c>
      <c r="E205" s="68">
        <v>108.98</v>
      </c>
      <c r="F205" s="36"/>
      <c r="G205" s="36">
        <f t="shared" si="8"/>
        <v>108.98</v>
      </c>
      <c r="H205" s="37"/>
    </row>
    <row r="206">
      <c r="A206" s="60" t="s">
        <v>566</v>
      </c>
      <c r="B206" s="60" t="s">
        <v>567</v>
      </c>
      <c r="C206" s="34" t="s">
        <v>2447</v>
      </c>
      <c r="D206" s="34" t="s">
        <v>53</v>
      </c>
      <c r="E206" s="68">
        <v>275.96</v>
      </c>
      <c r="F206" s="36"/>
      <c r="G206" s="36">
        <f t="shared" si="8"/>
        <v>275.96</v>
      </c>
      <c r="H206" s="37"/>
    </row>
    <row r="207">
      <c r="A207" s="60" t="s">
        <v>1932</v>
      </c>
      <c r="B207" s="60" t="s">
        <v>1933</v>
      </c>
      <c r="C207" s="34" t="s">
        <v>2447</v>
      </c>
      <c r="D207" s="34" t="s">
        <v>53</v>
      </c>
      <c r="E207" s="68">
        <v>183.98</v>
      </c>
      <c r="F207" s="36"/>
      <c r="G207" s="36">
        <f t="shared" si="8"/>
        <v>183.98</v>
      </c>
      <c r="H207" s="37"/>
    </row>
    <row r="208">
      <c r="A208" s="60" t="s">
        <v>568</v>
      </c>
      <c r="B208" s="60" t="s">
        <v>569</v>
      </c>
      <c r="C208" s="34" t="s">
        <v>2447</v>
      </c>
      <c r="D208" s="34" t="s">
        <v>53</v>
      </c>
      <c r="E208" s="68">
        <v>1955.0</v>
      </c>
      <c r="F208" s="36"/>
      <c r="G208" s="36">
        <f t="shared" si="8"/>
        <v>1955</v>
      </c>
      <c r="H208" s="37"/>
    </row>
    <row r="209">
      <c r="A209" s="60" t="s">
        <v>570</v>
      </c>
      <c r="B209" s="60" t="s">
        <v>571</v>
      </c>
      <c r="C209" s="34" t="s">
        <v>2447</v>
      </c>
      <c r="D209" s="34" t="s">
        <v>53</v>
      </c>
      <c r="E209" s="68">
        <v>309.95</v>
      </c>
      <c r="F209" s="36"/>
      <c r="G209" s="36">
        <f t="shared" si="8"/>
        <v>309.95</v>
      </c>
      <c r="H209" s="37"/>
    </row>
    <row r="210">
      <c r="A210" s="60" t="s">
        <v>572</v>
      </c>
      <c r="B210" s="60" t="s">
        <v>573</v>
      </c>
      <c r="C210" s="34" t="s">
        <v>2447</v>
      </c>
      <c r="D210" s="34" t="s">
        <v>53</v>
      </c>
      <c r="E210" s="68">
        <v>217.97</v>
      </c>
      <c r="F210" s="36"/>
      <c r="G210" s="36">
        <f t="shared" si="8"/>
        <v>217.97</v>
      </c>
      <c r="H210" s="37"/>
    </row>
    <row r="211">
      <c r="A211" s="60" t="s">
        <v>2166</v>
      </c>
      <c r="B211" s="60" t="s">
        <v>2167</v>
      </c>
      <c r="C211" s="34" t="s">
        <v>2447</v>
      </c>
      <c r="D211" s="34" t="s">
        <v>53</v>
      </c>
      <c r="E211" s="68">
        <v>91.98</v>
      </c>
      <c r="F211" s="36"/>
      <c r="G211" s="36">
        <f t="shared" si="8"/>
        <v>91.98</v>
      </c>
      <c r="H211" s="37"/>
    </row>
    <row r="212">
      <c r="A212" s="60" t="s">
        <v>574</v>
      </c>
      <c r="B212" s="60" t="s">
        <v>575</v>
      </c>
      <c r="C212" s="34" t="s">
        <v>2447</v>
      </c>
      <c r="D212" s="34" t="s">
        <v>53</v>
      </c>
      <c r="E212" s="68">
        <v>108.98</v>
      </c>
      <c r="F212" s="36"/>
      <c r="G212" s="36">
        <f t="shared" si="8"/>
        <v>108.98</v>
      </c>
      <c r="H212" s="37"/>
    </row>
    <row r="213">
      <c r="A213" s="60" t="s">
        <v>576</v>
      </c>
      <c r="B213" s="60" t="s">
        <v>577</v>
      </c>
      <c r="C213" s="34" t="s">
        <v>2447</v>
      </c>
      <c r="D213" s="34" t="s">
        <v>53</v>
      </c>
      <c r="E213" s="68">
        <v>166.98</v>
      </c>
      <c r="F213" s="36"/>
      <c r="G213" s="36">
        <f t="shared" si="8"/>
        <v>166.98</v>
      </c>
      <c r="H213" s="37"/>
    </row>
    <row r="214">
      <c r="A214" s="60" t="s">
        <v>578</v>
      </c>
      <c r="B214" s="60" t="s">
        <v>579</v>
      </c>
      <c r="C214" s="34" t="s">
        <v>2447</v>
      </c>
      <c r="D214" s="34" t="s">
        <v>53</v>
      </c>
      <c r="E214" s="68">
        <v>183.97</v>
      </c>
      <c r="F214" s="36"/>
      <c r="G214" s="36">
        <f t="shared" si="8"/>
        <v>183.97</v>
      </c>
      <c r="H214" s="37"/>
    </row>
    <row r="215">
      <c r="A215" s="60" t="s">
        <v>580</v>
      </c>
      <c r="B215" s="60" t="s">
        <v>581</v>
      </c>
      <c r="C215" s="34" t="s">
        <v>2447</v>
      </c>
      <c r="D215" s="34" t="s">
        <v>53</v>
      </c>
      <c r="E215" s="68">
        <v>149.98</v>
      </c>
      <c r="F215" s="36"/>
      <c r="G215" s="36">
        <f t="shared" si="8"/>
        <v>149.98</v>
      </c>
      <c r="H215" s="37"/>
    </row>
    <row r="216">
      <c r="A216" s="60" t="s">
        <v>582</v>
      </c>
      <c r="B216" s="60" t="s">
        <v>583</v>
      </c>
      <c r="C216" s="34" t="s">
        <v>2447</v>
      </c>
      <c r="D216" s="34" t="s">
        <v>53</v>
      </c>
      <c r="E216" s="68">
        <v>217.97</v>
      </c>
      <c r="F216" s="36"/>
      <c r="G216" s="36">
        <f t="shared" si="8"/>
        <v>217.97</v>
      </c>
      <c r="H216" s="37"/>
    </row>
    <row r="217">
      <c r="A217" s="60" t="s">
        <v>586</v>
      </c>
      <c r="B217" s="60" t="s">
        <v>587</v>
      </c>
      <c r="C217" s="34" t="s">
        <v>2447</v>
      </c>
      <c r="D217" s="34" t="s">
        <v>53</v>
      </c>
      <c r="E217" s="68">
        <v>562.01</v>
      </c>
      <c r="F217" s="36"/>
      <c r="G217" s="36">
        <f t="shared" si="8"/>
        <v>562.01</v>
      </c>
      <c r="H217" s="37"/>
    </row>
    <row r="218">
      <c r="A218" s="60" t="s">
        <v>588</v>
      </c>
      <c r="B218" s="60" t="s">
        <v>589</v>
      </c>
      <c r="C218" s="34" t="s">
        <v>2447</v>
      </c>
      <c r="D218" s="34" t="s">
        <v>53</v>
      </c>
      <c r="E218" s="68">
        <v>527.93</v>
      </c>
      <c r="F218" s="36"/>
      <c r="G218" s="36">
        <f t="shared" si="8"/>
        <v>527.93</v>
      </c>
      <c r="H218" s="37"/>
    </row>
    <row r="219">
      <c r="A219" s="60" t="s">
        <v>1777</v>
      </c>
      <c r="B219" s="60" t="s">
        <v>1778</v>
      </c>
      <c r="C219" s="34" t="s">
        <v>2447</v>
      </c>
      <c r="D219" s="34" t="s">
        <v>53</v>
      </c>
      <c r="E219" s="68">
        <v>108.98</v>
      </c>
      <c r="F219" s="36"/>
      <c r="G219" s="36">
        <f t="shared" si="8"/>
        <v>108.98</v>
      </c>
      <c r="H219" s="37"/>
    </row>
    <row r="220">
      <c r="A220" s="60" t="s">
        <v>590</v>
      </c>
      <c r="B220" s="60" t="s">
        <v>591</v>
      </c>
      <c r="C220" s="34" t="s">
        <v>2447</v>
      </c>
      <c r="D220" s="34" t="s">
        <v>53</v>
      </c>
      <c r="E220" s="68">
        <v>108.98</v>
      </c>
      <c r="F220" s="36"/>
      <c r="G220" s="36">
        <f t="shared" si="8"/>
        <v>108.98</v>
      </c>
      <c r="H220" s="37"/>
    </row>
    <row r="221">
      <c r="A221" s="60" t="s">
        <v>592</v>
      </c>
      <c r="B221" s="60" t="s">
        <v>593</v>
      </c>
      <c r="C221" s="34" t="s">
        <v>2447</v>
      </c>
      <c r="D221" s="34" t="s">
        <v>53</v>
      </c>
      <c r="E221" s="68">
        <v>108.98</v>
      </c>
      <c r="F221" s="36"/>
      <c r="G221" s="36">
        <f t="shared" si="8"/>
        <v>108.98</v>
      </c>
      <c r="H221" s="37"/>
    </row>
    <row r="222">
      <c r="A222" s="60" t="s">
        <v>594</v>
      </c>
      <c r="B222" s="60" t="s">
        <v>595</v>
      </c>
      <c r="C222" s="34" t="s">
        <v>2447</v>
      </c>
      <c r="D222" s="34" t="s">
        <v>53</v>
      </c>
      <c r="E222" s="68">
        <v>217.97</v>
      </c>
      <c r="F222" s="36"/>
      <c r="G222" s="36">
        <f t="shared" si="8"/>
        <v>217.97</v>
      </c>
      <c r="H222" s="37"/>
    </row>
    <row r="223">
      <c r="A223" s="60" t="s">
        <v>596</v>
      </c>
      <c r="B223" s="60" t="s">
        <v>597</v>
      </c>
      <c r="C223" s="34" t="s">
        <v>2447</v>
      </c>
      <c r="D223" s="34" t="s">
        <v>53</v>
      </c>
      <c r="E223" s="68">
        <v>108.98</v>
      </c>
      <c r="F223" s="36"/>
      <c r="G223" s="36">
        <f t="shared" si="8"/>
        <v>108.98</v>
      </c>
      <c r="H223" s="37"/>
    </row>
    <row r="224">
      <c r="A224" s="60" t="s">
        <v>598</v>
      </c>
      <c r="B224" s="60" t="s">
        <v>599</v>
      </c>
      <c r="C224" s="34" t="s">
        <v>2447</v>
      </c>
      <c r="D224" s="34" t="s">
        <v>53</v>
      </c>
      <c r="E224" s="68">
        <v>473.91</v>
      </c>
      <c r="F224" s="36"/>
      <c r="G224" s="36">
        <f t="shared" si="8"/>
        <v>473.91</v>
      </c>
      <c r="H224" s="37"/>
    </row>
    <row r="225">
      <c r="A225" s="60" t="s">
        <v>600</v>
      </c>
      <c r="B225" s="60" t="s">
        <v>601</v>
      </c>
      <c r="C225" s="34" t="s">
        <v>2447</v>
      </c>
      <c r="D225" s="34" t="s">
        <v>53</v>
      </c>
      <c r="E225" s="68">
        <v>166.98</v>
      </c>
      <c r="F225" s="36"/>
      <c r="G225" s="36">
        <f t="shared" si="8"/>
        <v>166.98</v>
      </c>
      <c r="H225" s="37"/>
    </row>
    <row r="226">
      <c r="A226" s="60" t="s">
        <v>602</v>
      </c>
      <c r="B226" s="60" t="s">
        <v>603</v>
      </c>
      <c r="C226" s="34" t="s">
        <v>2447</v>
      </c>
      <c r="D226" s="34" t="s">
        <v>53</v>
      </c>
      <c r="E226" s="68">
        <v>3253.66</v>
      </c>
      <c r="F226" s="36"/>
      <c r="G226" s="36">
        <f t="shared" si="8"/>
        <v>3253.66</v>
      </c>
      <c r="H226" s="37"/>
    </row>
    <row r="227">
      <c r="A227" s="60" t="s">
        <v>604</v>
      </c>
      <c r="B227" s="60" t="s">
        <v>605</v>
      </c>
      <c r="C227" s="34" t="s">
        <v>2447</v>
      </c>
      <c r="D227" s="34" t="s">
        <v>53</v>
      </c>
      <c r="E227" s="68">
        <v>108.98</v>
      </c>
      <c r="F227" s="36"/>
      <c r="G227" s="36">
        <f t="shared" si="8"/>
        <v>108.98</v>
      </c>
      <c r="H227" s="37"/>
    </row>
    <row r="228">
      <c r="A228" s="60" t="s">
        <v>606</v>
      </c>
      <c r="B228" s="60" t="s">
        <v>1942</v>
      </c>
      <c r="C228" s="34" t="s">
        <v>2447</v>
      </c>
      <c r="D228" s="34" t="s">
        <v>53</v>
      </c>
      <c r="E228" s="68">
        <v>3253.54</v>
      </c>
      <c r="F228" s="36"/>
      <c r="G228" s="36">
        <f t="shared" si="8"/>
        <v>3253.54</v>
      </c>
      <c r="H228" s="37"/>
    </row>
    <row r="229">
      <c r="A229" s="60" t="s">
        <v>1943</v>
      </c>
      <c r="B229" s="60" t="s">
        <v>1944</v>
      </c>
      <c r="C229" s="34" t="s">
        <v>2447</v>
      </c>
      <c r="D229" s="34" t="s">
        <v>53</v>
      </c>
      <c r="E229" s="68">
        <v>149.98</v>
      </c>
      <c r="F229" s="36"/>
      <c r="G229" s="36">
        <f t="shared" si="8"/>
        <v>149.98</v>
      </c>
      <c r="H229" s="37"/>
    </row>
    <row r="230">
      <c r="A230" s="60" t="s">
        <v>608</v>
      </c>
      <c r="B230" s="60" t="s">
        <v>609</v>
      </c>
      <c r="C230" s="34" t="s">
        <v>2447</v>
      </c>
      <c r="D230" s="34" t="s">
        <v>53</v>
      </c>
      <c r="E230" s="68">
        <v>183.97</v>
      </c>
      <c r="F230" s="36"/>
      <c r="G230" s="36">
        <f t="shared" si="8"/>
        <v>183.97</v>
      </c>
      <c r="H230" s="37"/>
    </row>
    <row r="231">
      <c r="A231" s="60" t="s">
        <v>610</v>
      </c>
      <c r="B231" s="60" t="s">
        <v>611</v>
      </c>
      <c r="C231" s="34" t="s">
        <v>2447</v>
      </c>
      <c r="D231" s="34" t="s">
        <v>53</v>
      </c>
      <c r="E231" s="68">
        <v>470.47</v>
      </c>
      <c r="F231" s="36"/>
      <c r="G231" s="36">
        <f t="shared" si="8"/>
        <v>470.47</v>
      </c>
      <c r="H231" s="37"/>
    </row>
    <row r="232">
      <c r="A232" s="60" t="s">
        <v>612</v>
      </c>
      <c r="B232" s="60" t="s">
        <v>613</v>
      </c>
      <c r="C232" s="34" t="s">
        <v>2447</v>
      </c>
      <c r="D232" s="34" t="s">
        <v>53</v>
      </c>
      <c r="E232" s="68">
        <v>517.5</v>
      </c>
      <c r="F232" s="36"/>
      <c r="G232" s="36">
        <f t="shared" si="8"/>
        <v>517.5</v>
      </c>
      <c r="H232" s="37"/>
    </row>
    <row r="233">
      <c r="A233" s="60" t="s">
        <v>1947</v>
      </c>
      <c r="B233" s="60" t="s">
        <v>1948</v>
      </c>
      <c r="C233" s="34" t="s">
        <v>2447</v>
      </c>
      <c r="D233" s="34" t="s">
        <v>53</v>
      </c>
      <c r="E233" s="68">
        <v>217.97</v>
      </c>
      <c r="F233" s="36"/>
      <c r="G233" s="36">
        <f t="shared" si="8"/>
        <v>217.97</v>
      </c>
      <c r="H233" s="37"/>
    </row>
    <row r="234">
      <c r="A234" s="60" t="s">
        <v>614</v>
      </c>
      <c r="B234" s="60" t="s">
        <v>615</v>
      </c>
      <c r="C234" s="34" t="s">
        <v>2447</v>
      </c>
      <c r="D234" s="34" t="s">
        <v>53</v>
      </c>
      <c r="E234" s="68">
        <v>183.98</v>
      </c>
      <c r="F234" s="36"/>
      <c r="G234" s="36">
        <f t="shared" si="8"/>
        <v>183.98</v>
      </c>
      <c r="H234" s="37"/>
    </row>
    <row r="235">
      <c r="A235" s="60" t="s">
        <v>616</v>
      </c>
      <c r="B235" s="60" t="s">
        <v>617</v>
      </c>
      <c r="C235" s="34" t="s">
        <v>2447</v>
      </c>
      <c r="D235" s="34" t="s">
        <v>53</v>
      </c>
      <c r="E235" s="68">
        <v>108.98</v>
      </c>
      <c r="F235" s="36"/>
      <c r="G235" s="36">
        <f t="shared" si="8"/>
        <v>108.98</v>
      </c>
      <c r="H235" s="37"/>
    </row>
    <row r="236">
      <c r="A236" s="60" t="s">
        <v>618</v>
      </c>
      <c r="B236" s="60" t="s">
        <v>619</v>
      </c>
      <c r="C236" s="34" t="s">
        <v>2447</v>
      </c>
      <c r="D236" s="34" t="s">
        <v>53</v>
      </c>
      <c r="E236" s="68">
        <v>91.98</v>
      </c>
      <c r="F236" s="36"/>
      <c r="G236" s="36">
        <f t="shared" si="8"/>
        <v>91.98</v>
      </c>
      <c r="H236" s="37"/>
    </row>
    <row r="237">
      <c r="A237" s="60" t="s">
        <v>620</v>
      </c>
      <c r="B237" s="60" t="s">
        <v>621</v>
      </c>
      <c r="C237" s="34" t="s">
        <v>2447</v>
      </c>
      <c r="D237" s="34" t="s">
        <v>53</v>
      </c>
      <c r="E237" s="68">
        <v>367.95</v>
      </c>
      <c r="F237" s="36"/>
      <c r="G237" s="36">
        <f t="shared" si="8"/>
        <v>367.95</v>
      </c>
      <c r="H237" s="37"/>
    </row>
    <row r="238">
      <c r="A238" s="60" t="s">
        <v>622</v>
      </c>
      <c r="B238" s="60" t="s">
        <v>623</v>
      </c>
      <c r="C238" s="34" t="s">
        <v>2447</v>
      </c>
      <c r="D238" s="34" t="s">
        <v>53</v>
      </c>
      <c r="E238" s="68">
        <v>217.97</v>
      </c>
      <c r="F238" s="36"/>
      <c r="G238" s="36">
        <f t="shared" si="8"/>
        <v>217.97</v>
      </c>
      <c r="H238" s="37"/>
    </row>
    <row r="239">
      <c r="A239" s="60" t="s">
        <v>624</v>
      </c>
      <c r="B239" s="60" t="s">
        <v>625</v>
      </c>
      <c r="C239" s="34" t="s">
        <v>2447</v>
      </c>
      <c r="D239" s="34" t="s">
        <v>53</v>
      </c>
      <c r="E239" s="68">
        <v>1125.06</v>
      </c>
      <c r="F239" s="36"/>
      <c r="G239" s="36">
        <f t="shared" si="8"/>
        <v>1125.06</v>
      </c>
      <c r="H239" s="37"/>
    </row>
    <row r="240">
      <c r="A240" s="60" t="s">
        <v>626</v>
      </c>
      <c r="B240" s="60" t="s">
        <v>627</v>
      </c>
      <c r="C240" s="34" t="s">
        <v>2447</v>
      </c>
      <c r="D240" s="34" t="s">
        <v>53</v>
      </c>
      <c r="E240" s="68">
        <v>84.98</v>
      </c>
      <c r="F240" s="36"/>
      <c r="G240" s="36">
        <f t="shared" si="8"/>
        <v>84.98</v>
      </c>
      <c r="H240" s="37"/>
    </row>
    <row r="241">
      <c r="A241" s="60" t="s">
        <v>628</v>
      </c>
      <c r="B241" s="60" t="s">
        <v>629</v>
      </c>
      <c r="C241" s="34" t="s">
        <v>2447</v>
      </c>
      <c r="D241" s="34" t="s">
        <v>53</v>
      </c>
      <c r="E241" s="68">
        <v>142.98</v>
      </c>
      <c r="F241" s="36"/>
      <c r="G241" s="36">
        <f t="shared" si="8"/>
        <v>142.98</v>
      </c>
      <c r="H241" s="37"/>
    </row>
    <row r="242">
      <c r="A242" s="60" t="s">
        <v>630</v>
      </c>
      <c r="B242" s="60" t="s">
        <v>631</v>
      </c>
      <c r="C242" s="34" t="s">
        <v>2447</v>
      </c>
      <c r="D242" s="34" t="s">
        <v>53</v>
      </c>
      <c r="E242" s="68">
        <v>2167.85</v>
      </c>
      <c r="F242" s="36"/>
      <c r="G242" s="36">
        <f t="shared" si="8"/>
        <v>2167.85</v>
      </c>
      <c r="H242" s="37"/>
    </row>
    <row r="243">
      <c r="A243" s="60" t="s">
        <v>632</v>
      </c>
      <c r="B243" s="60" t="s">
        <v>633</v>
      </c>
      <c r="C243" s="34" t="s">
        <v>2447</v>
      </c>
      <c r="D243" s="34" t="s">
        <v>53</v>
      </c>
      <c r="E243" s="68">
        <v>2152.39</v>
      </c>
      <c r="F243" s="36"/>
      <c r="G243" s="36">
        <f t="shared" si="8"/>
        <v>2152.39</v>
      </c>
      <c r="H243" s="37"/>
    </row>
    <row r="244">
      <c r="A244" s="60" t="s">
        <v>634</v>
      </c>
      <c r="B244" s="60" t="s">
        <v>635</v>
      </c>
      <c r="C244" s="34" t="s">
        <v>2447</v>
      </c>
      <c r="D244" s="34" t="s">
        <v>53</v>
      </c>
      <c r="E244" s="68">
        <v>200.98</v>
      </c>
      <c r="F244" s="36"/>
      <c r="G244" s="36">
        <f t="shared" si="8"/>
        <v>200.98</v>
      </c>
      <c r="H244" s="37"/>
    </row>
    <row r="245">
      <c r="A245" s="60" t="s">
        <v>636</v>
      </c>
      <c r="B245" s="60" t="s">
        <v>637</v>
      </c>
      <c r="C245" s="34" t="s">
        <v>2447</v>
      </c>
      <c r="D245" s="34" t="s">
        <v>53</v>
      </c>
      <c r="E245" s="68">
        <v>511.02</v>
      </c>
      <c r="F245" s="36"/>
      <c r="G245" s="36">
        <f t="shared" si="8"/>
        <v>511.02</v>
      </c>
      <c r="H245" s="37"/>
    </row>
    <row r="246">
      <c r="A246" s="60" t="s">
        <v>638</v>
      </c>
      <c r="B246" s="60" t="s">
        <v>639</v>
      </c>
      <c r="C246" s="34" t="s">
        <v>2447</v>
      </c>
      <c r="D246" s="34" t="s">
        <v>53</v>
      </c>
      <c r="E246" s="68">
        <v>2914.2</v>
      </c>
      <c r="F246" s="36"/>
      <c r="G246" s="36">
        <f t="shared" si="8"/>
        <v>2914.2</v>
      </c>
      <c r="H246" s="37"/>
    </row>
    <row r="247">
      <c r="A247" s="60" t="s">
        <v>640</v>
      </c>
      <c r="B247" s="60" t="s">
        <v>641</v>
      </c>
      <c r="C247" s="34" t="s">
        <v>2447</v>
      </c>
      <c r="D247" s="34" t="s">
        <v>53</v>
      </c>
      <c r="E247" s="68">
        <v>4495.85</v>
      </c>
      <c r="F247" s="36"/>
      <c r="G247" s="36">
        <f t="shared" si="8"/>
        <v>4495.85</v>
      </c>
      <c r="H247" s="37"/>
    </row>
    <row r="248">
      <c r="A248" s="60" t="s">
        <v>642</v>
      </c>
      <c r="B248" s="60" t="s">
        <v>643</v>
      </c>
      <c r="C248" s="34" t="s">
        <v>2447</v>
      </c>
      <c r="D248" s="34" t="s">
        <v>53</v>
      </c>
      <c r="E248" s="68">
        <v>523.63</v>
      </c>
      <c r="F248" s="36"/>
      <c r="G248" s="36">
        <f t="shared" si="8"/>
        <v>523.63</v>
      </c>
      <c r="H248" s="37"/>
    </row>
    <row r="249">
      <c r="A249" s="60" t="s">
        <v>646</v>
      </c>
      <c r="B249" s="60" t="s">
        <v>647</v>
      </c>
      <c r="C249" s="34" t="s">
        <v>2447</v>
      </c>
      <c r="D249" s="34" t="s">
        <v>53</v>
      </c>
      <c r="E249" s="68">
        <v>200.98</v>
      </c>
      <c r="F249" s="36"/>
      <c r="G249" s="36">
        <f t="shared" si="8"/>
        <v>200.98</v>
      </c>
      <c r="H249" s="37"/>
    </row>
    <row r="250">
      <c r="A250" s="60" t="s">
        <v>648</v>
      </c>
      <c r="B250" s="60" t="s">
        <v>649</v>
      </c>
      <c r="C250" s="34" t="s">
        <v>2447</v>
      </c>
      <c r="D250" s="34" t="s">
        <v>53</v>
      </c>
      <c r="E250" s="68">
        <v>2537.3</v>
      </c>
      <c r="F250" s="36"/>
      <c r="G250" s="36">
        <f t="shared" si="8"/>
        <v>2537.3</v>
      </c>
      <c r="H250" s="37"/>
    </row>
    <row r="251">
      <c r="A251" s="60" t="s">
        <v>650</v>
      </c>
      <c r="B251" s="60" t="s">
        <v>651</v>
      </c>
      <c r="C251" s="34" t="s">
        <v>2447</v>
      </c>
      <c r="D251" s="34" t="s">
        <v>53</v>
      </c>
      <c r="E251" s="68">
        <v>463.96</v>
      </c>
      <c r="F251" s="36"/>
      <c r="G251" s="36">
        <f t="shared" si="8"/>
        <v>463.96</v>
      </c>
      <c r="H251" s="37"/>
    </row>
    <row r="252">
      <c r="A252" s="60" t="s">
        <v>652</v>
      </c>
      <c r="B252" s="60" t="s">
        <v>653</v>
      </c>
      <c r="C252" s="34" t="s">
        <v>2447</v>
      </c>
      <c r="D252" s="34" t="s">
        <v>53</v>
      </c>
      <c r="E252" s="68">
        <v>275.96</v>
      </c>
      <c r="F252" s="36"/>
      <c r="G252" s="36">
        <f t="shared" si="8"/>
        <v>275.96</v>
      </c>
      <c r="H252" s="37"/>
    </row>
    <row r="253">
      <c r="A253" s="60" t="s">
        <v>654</v>
      </c>
      <c r="B253" s="60" t="s">
        <v>655</v>
      </c>
      <c r="C253" s="34" t="s">
        <v>2447</v>
      </c>
      <c r="D253" s="34" t="s">
        <v>53</v>
      </c>
      <c r="E253" s="68">
        <v>108.98</v>
      </c>
      <c r="F253" s="36"/>
      <c r="G253" s="36">
        <f t="shared" si="8"/>
        <v>108.98</v>
      </c>
      <c r="H253" s="37"/>
    </row>
    <row r="254">
      <c r="A254" s="60" t="s">
        <v>656</v>
      </c>
      <c r="B254" s="60" t="s">
        <v>657</v>
      </c>
      <c r="C254" s="34" t="s">
        <v>2447</v>
      </c>
      <c r="D254" s="34" t="s">
        <v>53</v>
      </c>
      <c r="E254" s="68">
        <v>108.98</v>
      </c>
      <c r="F254" s="36"/>
      <c r="G254" s="36">
        <f t="shared" si="8"/>
        <v>108.98</v>
      </c>
      <c r="H254" s="37"/>
    </row>
    <row r="255">
      <c r="A255" s="60" t="s">
        <v>2275</v>
      </c>
      <c r="B255" s="60" t="s">
        <v>2276</v>
      </c>
      <c r="C255" s="34" t="s">
        <v>2447</v>
      </c>
      <c r="D255" s="34" t="s">
        <v>53</v>
      </c>
      <c r="E255" s="68">
        <v>2760.0</v>
      </c>
      <c r="F255" s="36"/>
      <c r="G255" s="36">
        <f t="shared" si="8"/>
        <v>2760</v>
      </c>
      <c r="H255" s="37"/>
    </row>
    <row r="256">
      <c r="A256" s="60" t="s">
        <v>658</v>
      </c>
      <c r="B256" s="60" t="s">
        <v>659</v>
      </c>
      <c r="C256" s="34" t="s">
        <v>2447</v>
      </c>
      <c r="D256" s="34" t="s">
        <v>53</v>
      </c>
      <c r="E256" s="68">
        <v>125.97</v>
      </c>
      <c r="F256" s="36"/>
      <c r="G256" s="36">
        <f t="shared" si="8"/>
        <v>125.97</v>
      </c>
      <c r="H256" s="37"/>
    </row>
    <row r="257">
      <c r="A257" s="60" t="s">
        <v>660</v>
      </c>
      <c r="B257" s="60" t="s">
        <v>661</v>
      </c>
      <c r="C257" s="34" t="s">
        <v>2447</v>
      </c>
      <c r="D257" s="34" t="s">
        <v>53</v>
      </c>
      <c r="E257" s="68">
        <v>964.6</v>
      </c>
      <c r="F257" s="36"/>
      <c r="G257" s="36">
        <f t="shared" si="8"/>
        <v>964.6</v>
      </c>
      <c r="H257" s="37"/>
    </row>
    <row r="258">
      <c r="A258" s="60" t="s">
        <v>2277</v>
      </c>
      <c r="B258" s="60" t="s">
        <v>2278</v>
      </c>
      <c r="C258" s="34" t="s">
        <v>2447</v>
      </c>
      <c r="D258" s="34" t="s">
        <v>53</v>
      </c>
      <c r="E258" s="68">
        <v>460.0</v>
      </c>
      <c r="F258" s="36"/>
      <c r="G258" s="36">
        <f t="shared" si="8"/>
        <v>460</v>
      </c>
      <c r="H258" s="37"/>
    </row>
    <row r="259">
      <c r="A259" s="60" t="s">
        <v>662</v>
      </c>
      <c r="B259" s="60" t="s">
        <v>663</v>
      </c>
      <c r="C259" s="34" t="s">
        <v>2447</v>
      </c>
      <c r="D259" s="34" t="s">
        <v>53</v>
      </c>
      <c r="E259" s="68">
        <v>108.98</v>
      </c>
      <c r="F259" s="36"/>
      <c r="G259" s="36">
        <f t="shared" si="8"/>
        <v>108.98</v>
      </c>
      <c r="H259" s="37"/>
    </row>
    <row r="260">
      <c r="A260" s="60" t="s">
        <v>2279</v>
      </c>
      <c r="B260" s="60" t="s">
        <v>2280</v>
      </c>
      <c r="C260" s="34" t="s">
        <v>2447</v>
      </c>
      <c r="D260" s="34" t="s">
        <v>53</v>
      </c>
      <c r="E260" s="68">
        <v>2415.0</v>
      </c>
      <c r="F260" s="36"/>
      <c r="G260" s="36">
        <f t="shared" si="8"/>
        <v>2415</v>
      </c>
      <c r="H260" s="37"/>
    </row>
    <row r="261">
      <c r="A261" s="60" t="s">
        <v>664</v>
      </c>
      <c r="B261" s="60" t="s">
        <v>665</v>
      </c>
      <c r="C261" s="34" t="s">
        <v>2447</v>
      </c>
      <c r="D261" s="34" t="s">
        <v>53</v>
      </c>
      <c r="E261" s="68">
        <v>67.99</v>
      </c>
      <c r="F261" s="36"/>
      <c r="G261" s="36">
        <f t="shared" si="8"/>
        <v>67.99</v>
      </c>
      <c r="H261" s="37"/>
    </row>
    <row r="262">
      <c r="A262" s="60" t="s">
        <v>666</v>
      </c>
      <c r="B262" s="60" t="s">
        <v>667</v>
      </c>
      <c r="C262" s="34" t="s">
        <v>2447</v>
      </c>
      <c r="D262" s="34" t="s">
        <v>53</v>
      </c>
      <c r="E262" s="68">
        <v>192.86</v>
      </c>
      <c r="F262" s="36"/>
      <c r="G262" s="36">
        <f t="shared" si="8"/>
        <v>192.86</v>
      </c>
      <c r="H262" s="37"/>
    </row>
    <row r="263">
      <c r="A263" s="60" t="s">
        <v>668</v>
      </c>
      <c r="B263" s="60" t="s">
        <v>2281</v>
      </c>
      <c r="C263" s="34" t="s">
        <v>2447</v>
      </c>
      <c r="D263" s="34" t="s">
        <v>53</v>
      </c>
      <c r="E263" s="68">
        <v>199.88</v>
      </c>
      <c r="F263" s="36"/>
      <c r="G263" s="36">
        <f t="shared" si="8"/>
        <v>199.88</v>
      </c>
      <c r="H263" s="37"/>
    </row>
    <row r="264">
      <c r="A264" s="60" t="s">
        <v>670</v>
      </c>
      <c r="B264" s="60" t="s">
        <v>2449</v>
      </c>
      <c r="C264" s="34" t="s">
        <v>2447</v>
      </c>
      <c r="D264" s="34" t="s">
        <v>53</v>
      </c>
      <c r="E264" s="68">
        <v>360.94</v>
      </c>
      <c r="F264" s="36"/>
      <c r="G264" s="36">
        <f t="shared" si="8"/>
        <v>360.94</v>
      </c>
      <c r="H264" s="37"/>
    </row>
    <row r="265">
      <c r="A265" s="60" t="s">
        <v>672</v>
      </c>
      <c r="B265" s="60" t="s">
        <v>673</v>
      </c>
      <c r="C265" s="34" t="s">
        <v>2447</v>
      </c>
      <c r="D265" s="34" t="s">
        <v>53</v>
      </c>
      <c r="E265" s="68">
        <v>482.3</v>
      </c>
      <c r="F265" s="36"/>
      <c r="G265" s="36">
        <f t="shared" si="8"/>
        <v>482.3</v>
      </c>
      <c r="H265" s="37"/>
    </row>
    <row r="266">
      <c r="A266" s="60" t="s">
        <v>1429</v>
      </c>
      <c r="B266" s="60" t="s">
        <v>1430</v>
      </c>
      <c r="C266" s="34" t="s">
        <v>2447</v>
      </c>
      <c r="D266" s="34" t="s">
        <v>53</v>
      </c>
      <c r="E266" s="68">
        <v>2730.22</v>
      </c>
      <c r="F266" s="36"/>
      <c r="G266" s="36">
        <f t="shared" si="8"/>
        <v>2730.22</v>
      </c>
      <c r="H266" s="37"/>
    </row>
    <row r="267">
      <c r="A267" s="60" t="s">
        <v>678</v>
      </c>
      <c r="B267" s="60" t="s">
        <v>679</v>
      </c>
      <c r="C267" s="34" t="s">
        <v>2447</v>
      </c>
      <c r="D267" s="34" t="s">
        <v>53</v>
      </c>
      <c r="E267" s="68">
        <v>108.98</v>
      </c>
      <c r="F267" s="36"/>
      <c r="G267" s="36">
        <f t="shared" si="8"/>
        <v>108.98</v>
      </c>
      <c r="H267" s="37"/>
    </row>
    <row r="268">
      <c r="A268" s="60" t="s">
        <v>680</v>
      </c>
      <c r="B268" s="60" t="s">
        <v>681</v>
      </c>
      <c r="C268" s="34" t="s">
        <v>2447</v>
      </c>
      <c r="D268" s="34" t="s">
        <v>53</v>
      </c>
      <c r="E268" s="68">
        <v>241.97</v>
      </c>
      <c r="F268" s="36"/>
      <c r="G268" s="36">
        <f t="shared" si="8"/>
        <v>241.97</v>
      </c>
      <c r="H268" s="37"/>
    </row>
    <row r="269">
      <c r="A269" s="60" t="s">
        <v>698</v>
      </c>
      <c r="B269" s="60" t="s">
        <v>699</v>
      </c>
      <c r="C269" s="34" t="s">
        <v>84</v>
      </c>
      <c r="D269" s="34" t="s">
        <v>58</v>
      </c>
      <c r="E269" s="68">
        <v>222.0</v>
      </c>
      <c r="F269" s="36"/>
      <c r="G269" s="36">
        <f t="shared" si="8"/>
        <v>222</v>
      </c>
      <c r="H269" s="37"/>
    </row>
    <row r="270">
      <c r="A270" s="60" t="s">
        <v>704</v>
      </c>
      <c r="B270" s="60" t="s">
        <v>705</v>
      </c>
      <c r="C270" s="34" t="s">
        <v>84</v>
      </c>
      <c r="D270" s="34" t="s">
        <v>58</v>
      </c>
      <c r="E270" s="68">
        <v>630.0</v>
      </c>
      <c r="F270" s="36"/>
      <c r="G270" s="36">
        <f t="shared" si="8"/>
        <v>630</v>
      </c>
      <c r="H270" s="37"/>
    </row>
    <row r="271">
      <c r="A271" s="60" t="s">
        <v>2172</v>
      </c>
      <c r="B271" s="60" t="s">
        <v>2173</v>
      </c>
      <c r="C271" s="34" t="s">
        <v>84</v>
      </c>
      <c r="D271" s="34" t="s">
        <v>58</v>
      </c>
      <c r="E271" s="68">
        <v>664.0</v>
      </c>
      <c r="F271" s="36"/>
      <c r="G271" s="36">
        <f t="shared" si="8"/>
        <v>664</v>
      </c>
      <c r="H271" s="37"/>
    </row>
    <row r="272">
      <c r="A272" s="60" t="s">
        <v>1435</v>
      </c>
      <c r="B272" s="60" t="s">
        <v>1436</v>
      </c>
      <c r="C272" s="34" t="s">
        <v>84</v>
      </c>
      <c r="D272" s="34" t="s">
        <v>58</v>
      </c>
      <c r="E272" s="68">
        <v>607.0</v>
      </c>
      <c r="F272" s="36"/>
      <c r="G272" s="36">
        <f t="shared" si="8"/>
        <v>607</v>
      </c>
      <c r="H272" s="37"/>
    </row>
    <row r="273">
      <c r="A273" s="60" t="s">
        <v>1437</v>
      </c>
      <c r="B273" s="60" t="s">
        <v>1438</v>
      </c>
      <c r="C273" s="34" t="s">
        <v>84</v>
      </c>
      <c r="D273" s="34" t="s">
        <v>58</v>
      </c>
      <c r="E273" s="68">
        <v>300.0</v>
      </c>
      <c r="F273" s="36"/>
      <c r="G273" s="36">
        <f t="shared" si="8"/>
        <v>300</v>
      </c>
      <c r="H273" s="37"/>
    </row>
    <row r="274">
      <c r="A274" s="60" t="s">
        <v>708</v>
      </c>
      <c r="B274" s="60" t="s">
        <v>709</v>
      </c>
      <c r="C274" s="34" t="s">
        <v>84</v>
      </c>
      <c r="D274" s="34" t="s">
        <v>58</v>
      </c>
      <c r="E274" s="68">
        <v>822.0</v>
      </c>
      <c r="F274" s="36"/>
      <c r="G274" s="36">
        <f t="shared" si="8"/>
        <v>822</v>
      </c>
      <c r="H274" s="37"/>
    </row>
    <row r="275">
      <c r="A275" s="60" t="s">
        <v>718</v>
      </c>
      <c r="B275" s="60" t="s">
        <v>719</v>
      </c>
      <c r="C275" s="34" t="s">
        <v>2450</v>
      </c>
      <c r="D275" s="34" t="s">
        <v>51</v>
      </c>
      <c r="E275" s="68">
        <v>1410.49</v>
      </c>
      <c r="F275" s="36"/>
      <c r="G275" s="36">
        <f t="shared" si="8"/>
        <v>1410.49</v>
      </c>
      <c r="H275" s="37"/>
    </row>
    <row r="276">
      <c r="A276" s="60" t="s">
        <v>720</v>
      </c>
      <c r="B276" s="60" t="s">
        <v>721</v>
      </c>
      <c r="C276" s="34" t="s">
        <v>2450</v>
      </c>
      <c r="D276" s="34" t="s">
        <v>51</v>
      </c>
      <c r="E276" s="68">
        <v>1258.01</v>
      </c>
      <c r="F276" s="36"/>
      <c r="G276" s="36">
        <f t="shared" si="8"/>
        <v>1258.01</v>
      </c>
      <c r="H276" s="37"/>
    </row>
    <row r="277">
      <c r="A277" s="60" t="s">
        <v>722</v>
      </c>
      <c r="B277" s="60" t="s">
        <v>723</v>
      </c>
      <c r="C277" s="34" t="s">
        <v>2450</v>
      </c>
      <c r="D277" s="34" t="s">
        <v>51</v>
      </c>
      <c r="E277" s="68">
        <v>664.38</v>
      </c>
      <c r="F277" s="36"/>
      <c r="G277" s="36">
        <f t="shared" si="8"/>
        <v>664.38</v>
      </c>
      <c r="H277" s="37"/>
    </row>
    <row r="278">
      <c r="A278" s="60" t="s">
        <v>724</v>
      </c>
      <c r="B278" s="60" t="s">
        <v>725</v>
      </c>
      <c r="C278" s="34" t="s">
        <v>2450</v>
      </c>
      <c r="D278" s="34" t="s">
        <v>51</v>
      </c>
      <c r="E278" s="68">
        <v>142.98</v>
      </c>
      <c r="F278" s="36"/>
      <c r="G278" s="36">
        <f t="shared" si="8"/>
        <v>142.98</v>
      </c>
      <c r="H278" s="37"/>
    </row>
    <row r="279">
      <c r="A279" s="60" t="s">
        <v>728</v>
      </c>
      <c r="B279" s="60" t="s">
        <v>729</v>
      </c>
      <c r="C279" s="34" t="s">
        <v>2450</v>
      </c>
      <c r="D279" s="34" t="s">
        <v>51</v>
      </c>
      <c r="E279" s="68">
        <v>183.02</v>
      </c>
      <c r="F279" s="36"/>
      <c r="G279" s="36">
        <f t="shared" si="8"/>
        <v>183.02</v>
      </c>
      <c r="H279" s="37"/>
    </row>
    <row r="280">
      <c r="A280" s="60" t="s">
        <v>730</v>
      </c>
      <c r="B280" s="60" t="s">
        <v>731</v>
      </c>
      <c r="C280" s="34" t="s">
        <v>2450</v>
      </c>
      <c r="D280" s="34" t="s">
        <v>51</v>
      </c>
      <c r="E280" s="68">
        <v>101.98</v>
      </c>
      <c r="F280" s="36"/>
      <c r="G280" s="36">
        <f t="shared" si="8"/>
        <v>101.98</v>
      </c>
      <c r="H280" s="37"/>
    </row>
    <row r="281">
      <c r="A281" s="60" t="s">
        <v>732</v>
      </c>
      <c r="B281" s="60" t="s">
        <v>733</v>
      </c>
      <c r="C281" s="34" t="s">
        <v>2450</v>
      </c>
      <c r="D281" s="34" t="s">
        <v>51</v>
      </c>
      <c r="E281" s="68">
        <v>190.96</v>
      </c>
      <c r="F281" s="36"/>
      <c r="G281" s="36">
        <f t="shared" si="8"/>
        <v>190.96</v>
      </c>
      <c r="H281" s="37"/>
    </row>
    <row r="282">
      <c r="A282" s="60" t="s">
        <v>734</v>
      </c>
      <c r="B282" s="60" t="s">
        <v>735</v>
      </c>
      <c r="C282" s="34" t="s">
        <v>2450</v>
      </c>
      <c r="D282" s="34" t="s">
        <v>51</v>
      </c>
      <c r="E282" s="68">
        <v>125.98</v>
      </c>
      <c r="F282" s="36"/>
      <c r="G282" s="36">
        <f t="shared" si="8"/>
        <v>125.98</v>
      </c>
      <c r="H282" s="37"/>
    </row>
    <row r="283">
      <c r="A283" s="60" t="s">
        <v>736</v>
      </c>
      <c r="B283" s="60" t="s">
        <v>737</v>
      </c>
      <c r="C283" s="34" t="s">
        <v>2450</v>
      </c>
      <c r="D283" s="34" t="s">
        <v>51</v>
      </c>
      <c r="E283" s="68">
        <v>735.35</v>
      </c>
      <c r="F283" s="36"/>
      <c r="G283" s="36">
        <f t="shared" si="8"/>
        <v>735.35</v>
      </c>
      <c r="H283" s="37"/>
    </row>
    <row r="284">
      <c r="A284" s="60" t="s">
        <v>2451</v>
      </c>
      <c r="B284" s="60" t="s">
        <v>2452</v>
      </c>
      <c r="C284" s="34" t="s">
        <v>2450</v>
      </c>
      <c r="D284" s="34" t="s">
        <v>51</v>
      </c>
      <c r="E284" s="68">
        <v>1608.54</v>
      </c>
      <c r="F284" s="36"/>
      <c r="G284" s="36">
        <f t="shared" si="8"/>
        <v>1608.54</v>
      </c>
      <c r="H284" s="37"/>
    </row>
    <row r="285">
      <c r="A285" s="60" t="s">
        <v>738</v>
      </c>
      <c r="B285" s="60" t="s">
        <v>739</v>
      </c>
      <c r="C285" s="34" t="s">
        <v>2450</v>
      </c>
      <c r="D285" s="34" t="s">
        <v>51</v>
      </c>
      <c r="E285" s="68">
        <v>91.98</v>
      </c>
      <c r="F285" s="36"/>
      <c r="G285" s="36">
        <f t="shared" si="8"/>
        <v>91.98</v>
      </c>
      <c r="H285" s="37"/>
    </row>
    <row r="286">
      <c r="A286" s="60" t="s">
        <v>740</v>
      </c>
      <c r="B286" s="60" t="s">
        <v>741</v>
      </c>
      <c r="C286" s="34" t="s">
        <v>2450</v>
      </c>
      <c r="D286" s="34" t="s">
        <v>51</v>
      </c>
      <c r="E286" s="68">
        <v>868.04</v>
      </c>
      <c r="F286" s="36"/>
      <c r="G286" s="36">
        <f t="shared" si="8"/>
        <v>868.04</v>
      </c>
      <c r="H286" s="37"/>
    </row>
    <row r="287">
      <c r="A287" s="60" t="s">
        <v>744</v>
      </c>
      <c r="B287" s="60" t="s">
        <v>745</v>
      </c>
      <c r="C287" s="34" t="s">
        <v>2450</v>
      </c>
      <c r="D287" s="34" t="s">
        <v>51</v>
      </c>
      <c r="E287" s="68">
        <v>705.03</v>
      </c>
      <c r="F287" s="36"/>
      <c r="G287" s="36">
        <f t="shared" si="8"/>
        <v>705.03</v>
      </c>
      <c r="H287" s="37"/>
    </row>
    <row r="288">
      <c r="A288" s="60" t="s">
        <v>2453</v>
      </c>
      <c r="B288" s="60" t="s">
        <v>2454</v>
      </c>
      <c r="C288" s="34" t="s">
        <v>2450</v>
      </c>
      <c r="D288" s="34" t="s">
        <v>51</v>
      </c>
      <c r="E288" s="68">
        <v>2505.39</v>
      </c>
      <c r="F288" s="36"/>
      <c r="G288" s="36">
        <f t="shared" si="8"/>
        <v>2505.39</v>
      </c>
      <c r="H288" s="37"/>
    </row>
    <row r="289">
      <c r="A289" s="60" t="s">
        <v>1786</v>
      </c>
      <c r="B289" s="60" t="s">
        <v>1787</v>
      </c>
      <c r="C289" s="34" t="s">
        <v>2450</v>
      </c>
      <c r="D289" s="34" t="s">
        <v>51</v>
      </c>
      <c r="E289" s="68">
        <v>882.0</v>
      </c>
      <c r="F289" s="36"/>
      <c r="G289" s="36">
        <f t="shared" si="8"/>
        <v>882</v>
      </c>
      <c r="H289" s="37"/>
    </row>
    <row r="290">
      <c r="A290" s="60" t="s">
        <v>2455</v>
      </c>
      <c r="B290" s="60" t="s">
        <v>2456</v>
      </c>
      <c r="C290" s="34" t="s">
        <v>2450</v>
      </c>
      <c r="D290" s="34" t="s">
        <v>51</v>
      </c>
      <c r="E290" s="68">
        <v>460.03</v>
      </c>
      <c r="F290" s="36"/>
      <c r="G290" s="36">
        <f t="shared" si="8"/>
        <v>460.03</v>
      </c>
      <c r="H290" s="37"/>
    </row>
    <row r="291">
      <c r="A291" s="60" t="s">
        <v>750</v>
      </c>
      <c r="B291" s="60" t="s">
        <v>751</v>
      </c>
      <c r="C291" s="34" t="s">
        <v>2450</v>
      </c>
      <c r="D291" s="34" t="s">
        <v>51</v>
      </c>
      <c r="E291" s="68">
        <v>159.97</v>
      </c>
      <c r="F291" s="36"/>
      <c r="G291" s="36">
        <f t="shared" si="8"/>
        <v>159.97</v>
      </c>
      <c r="H291" s="37"/>
    </row>
    <row r="292">
      <c r="A292" s="60" t="s">
        <v>752</v>
      </c>
      <c r="B292" s="60" t="s">
        <v>753</v>
      </c>
      <c r="C292" s="34" t="s">
        <v>2450</v>
      </c>
      <c r="D292" s="34" t="s">
        <v>51</v>
      </c>
      <c r="E292" s="68">
        <v>2730.22</v>
      </c>
      <c r="F292" s="36"/>
      <c r="G292" s="36">
        <f t="shared" si="8"/>
        <v>2730.22</v>
      </c>
      <c r="H292" s="37"/>
    </row>
    <row r="293">
      <c r="A293" s="60" t="s">
        <v>754</v>
      </c>
      <c r="B293" s="60" t="s">
        <v>755</v>
      </c>
      <c r="C293" s="34" t="s">
        <v>2450</v>
      </c>
      <c r="D293" s="34" t="s">
        <v>51</v>
      </c>
      <c r="E293" s="68">
        <v>732.0</v>
      </c>
      <c r="F293" s="36"/>
      <c r="G293" s="36">
        <f t="shared" si="8"/>
        <v>732</v>
      </c>
      <c r="H293" s="37"/>
    </row>
    <row r="294">
      <c r="A294" s="60" t="s">
        <v>796</v>
      </c>
      <c r="B294" s="60" t="s">
        <v>797</v>
      </c>
      <c r="C294" s="34" t="s">
        <v>77</v>
      </c>
      <c r="D294" s="34" t="s">
        <v>47</v>
      </c>
      <c r="E294" s="68">
        <v>8221.33</v>
      </c>
      <c r="F294" s="36"/>
      <c r="G294" s="36">
        <f t="shared" si="8"/>
        <v>8221.33</v>
      </c>
      <c r="H294" s="37"/>
    </row>
    <row r="295">
      <c r="A295" s="60" t="s">
        <v>798</v>
      </c>
      <c r="B295" s="60" t="s">
        <v>799</v>
      </c>
      <c r="C295" s="34" t="s">
        <v>77</v>
      </c>
      <c r="D295" s="34" t="s">
        <v>47</v>
      </c>
      <c r="E295" s="68">
        <v>44946.94</v>
      </c>
      <c r="F295" s="36"/>
      <c r="G295" s="36">
        <f t="shared" si="8"/>
        <v>44946.94</v>
      </c>
      <c r="H295" s="37"/>
    </row>
    <row r="296">
      <c r="A296" s="60" t="s">
        <v>800</v>
      </c>
      <c r="B296" s="60" t="s">
        <v>801</v>
      </c>
      <c r="C296" s="34" t="s">
        <v>77</v>
      </c>
      <c r="D296" s="34" t="s">
        <v>47</v>
      </c>
      <c r="E296" s="68">
        <v>10321.67</v>
      </c>
      <c r="F296" s="36"/>
      <c r="G296" s="36">
        <f t="shared" si="8"/>
        <v>10321.67</v>
      </c>
      <c r="H296" s="37"/>
    </row>
    <row r="297">
      <c r="A297" s="60" t="s">
        <v>802</v>
      </c>
      <c r="B297" s="60" t="s">
        <v>803</v>
      </c>
      <c r="C297" s="34" t="s">
        <v>77</v>
      </c>
      <c r="D297" s="34" t="s">
        <v>47</v>
      </c>
      <c r="E297" s="68">
        <v>8270.99</v>
      </c>
      <c r="F297" s="36"/>
      <c r="G297" s="36">
        <f t="shared" si="8"/>
        <v>8270.99</v>
      </c>
      <c r="H297" s="37"/>
    </row>
    <row r="298">
      <c r="A298" s="60" t="s">
        <v>806</v>
      </c>
      <c r="B298" s="60" t="s">
        <v>807</v>
      </c>
      <c r="C298" s="34" t="s">
        <v>77</v>
      </c>
      <c r="D298" s="34" t="s">
        <v>47</v>
      </c>
      <c r="E298" s="68">
        <v>4323.0</v>
      </c>
      <c r="F298" s="36"/>
      <c r="G298" s="36">
        <f t="shared" si="8"/>
        <v>4323</v>
      </c>
      <c r="H298" s="37"/>
    </row>
    <row r="299">
      <c r="A299" s="60" t="s">
        <v>808</v>
      </c>
      <c r="B299" s="60" t="s">
        <v>809</v>
      </c>
      <c r="C299" s="34" t="s">
        <v>77</v>
      </c>
      <c r="D299" s="34" t="s">
        <v>47</v>
      </c>
      <c r="E299" s="68">
        <v>7253.0</v>
      </c>
      <c r="F299" s="36"/>
      <c r="G299" s="36">
        <f t="shared" si="8"/>
        <v>7253</v>
      </c>
      <c r="H299" s="37"/>
    </row>
    <row r="300">
      <c r="A300" s="60" t="s">
        <v>810</v>
      </c>
      <c r="B300" s="60" t="s">
        <v>811</v>
      </c>
      <c r="C300" s="34" t="s">
        <v>77</v>
      </c>
      <c r="D300" s="34" t="s">
        <v>47</v>
      </c>
      <c r="E300" s="68">
        <v>6422.9</v>
      </c>
      <c r="F300" s="36"/>
      <c r="G300" s="36">
        <f t="shared" si="8"/>
        <v>6422.9</v>
      </c>
      <c r="H300" s="37"/>
    </row>
    <row r="301">
      <c r="A301" s="60" t="s">
        <v>812</v>
      </c>
      <c r="B301" s="60" t="s">
        <v>813</v>
      </c>
      <c r="C301" s="34" t="s">
        <v>77</v>
      </c>
      <c r="D301" s="34" t="s">
        <v>47</v>
      </c>
      <c r="E301" s="68">
        <v>5458.01</v>
      </c>
      <c r="F301" s="36"/>
      <c r="G301" s="36">
        <f t="shared" si="8"/>
        <v>5458.01</v>
      </c>
      <c r="H301" s="37"/>
    </row>
    <row r="302">
      <c r="A302" s="60" t="s">
        <v>818</v>
      </c>
      <c r="B302" s="60" t="s">
        <v>819</v>
      </c>
      <c r="C302" s="34" t="s">
        <v>77</v>
      </c>
      <c r="D302" s="34" t="s">
        <v>47</v>
      </c>
      <c r="E302" s="68">
        <v>170812.94</v>
      </c>
      <c r="F302" s="36"/>
      <c r="G302" s="36">
        <f t="shared" si="8"/>
        <v>170812.94</v>
      </c>
      <c r="H302" s="37"/>
    </row>
    <row r="303">
      <c r="A303" s="60" t="s">
        <v>820</v>
      </c>
      <c r="B303" s="60" t="s">
        <v>821</v>
      </c>
      <c r="C303" s="34" t="s">
        <v>77</v>
      </c>
      <c r="D303" s="34" t="s">
        <v>47</v>
      </c>
      <c r="E303" s="68">
        <v>6387.0</v>
      </c>
      <c r="F303" s="36"/>
      <c r="G303" s="36">
        <f t="shared" si="8"/>
        <v>6387</v>
      </c>
      <c r="H303" s="37"/>
    </row>
    <row r="304">
      <c r="A304" s="60" t="s">
        <v>822</v>
      </c>
      <c r="B304" s="60" t="s">
        <v>823</v>
      </c>
      <c r="C304" s="34" t="s">
        <v>77</v>
      </c>
      <c r="D304" s="34" t="s">
        <v>47</v>
      </c>
      <c r="E304" s="68">
        <v>540.0</v>
      </c>
      <c r="F304" s="36"/>
      <c r="G304" s="36">
        <f t="shared" si="8"/>
        <v>540</v>
      </c>
      <c r="H304" s="37"/>
    </row>
    <row r="305">
      <c r="A305" s="60" t="s">
        <v>824</v>
      </c>
      <c r="B305" s="60" t="s">
        <v>825</v>
      </c>
      <c r="C305" s="34" t="s">
        <v>77</v>
      </c>
      <c r="D305" s="34" t="s">
        <v>47</v>
      </c>
      <c r="E305" s="68">
        <v>117.04</v>
      </c>
      <c r="F305" s="36"/>
      <c r="G305" s="36">
        <f t="shared" si="8"/>
        <v>117.04</v>
      </c>
      <c r="H305" s="37"/>
    </row>
    <row r="306">
      <c r="A306" s="60" t="s">
        <v>826</v>
      </c>
      <c r="B306" s="60" t="s">
        <v>827</v>
      </c>
      <c r="C306" s="34" t="s">
        <v>77</v>
      </c>
      <c r="D306" s="34" t="s">
        <v>47</v>
      </c>
      <c r="E306" s="68">
        <v>18000.0</v>
      </c>
      <c r="F306" s="36"/>
      <c r="G306" s="36">
        <f t="shared" si="8"/>
        <v>18000</v>
      </c>
      <c r="H306" s="37"/>
    </row>
    <row r="307">
      <c r="A307" s="60" t="s">
        <v>828</v>
      </c>
      <c r="B307" s="60" t="s">
        <v>829</v>
      </c>
      <c r="C307" s="34" t="s">
        <v>77</v>
      </c>
      <c r="D307" s="34" t="s">
        <v>47</v>
      </c>
      <c r="E307" s="68">
        <v>5402.79</v>
      </c>
      <c r="F307" s="36"/>
      <c r="G307" s="36">
        <f t="shared" si="8"/>
        <v>5402.79</v>
      </c>
      <c r="H307" s="37"/>
    </row>
    <row r="308">
      <c r="A308" s="60" t="s">
        <v>1783</v>
      </c>
      <c r="B308" s="60" t="s">
        <v>1784</v>
      </c>
      <c r="C308" s="34" t="s">
        <v>77</v>
      </c>
      <c r="D308" s="34" t="s">
        <v>47</v>
      </c>
      <c r="E308" s="68">
        <v>2240.0</v>
      </c>
      <c r="F308" s="36"/>
      <c r="G308" s="36">
        <f t="shared" si="8"/>
        <v>2240</v>
      </c>
      <c r="H308" s="37"/>
    </row>
    <row r="309">
      <c r="A309" s="60" t="s">
        <v>830</v>
      </c>
      <c r="B309" s="60" t="s">
        <v>831</v>
      </c>
      <c r="C309" s="34" t="s">
        <v>77</v>
      </c>
      <c r="D309" s="34" t="s">
        <v>47</v>
      </c>
      <c r="E309" s="68">
        <v>5460.0</v>
      </c>
      <c r="F309" s="36"/>
      <c r="G309" s="36">
        <f t="shared" si="8"/>
        <v>5460</v>
      </c>
      <c r="H309" s="37"/>
    </row>
    <row r="310">
      <c r="A310" s="60" t="s">
        <v>832</v>
      </c>
      <c r="B310" s="60" t="s">
        <v>833</v>
      </c>
      <c r="C310" s="34" t="s">
        <v>77</v>
      </c>
      <c r="D310" s="34" t="s">
        <v>47</v>
      </c>
      <c r="E310" s="68">
        <v>4121.9</v>
      </c>
      <c r="F310" s="36"/>
      <c r="G310" s="36">
        <f t="shared" si="8"/>
        <v>4121.9</v>
      </c>
      <c r="H310" s="37"/>
    </row>
    <row r="311">
      <c r="A311" s="60" t="s">
        <v>836</v>
      </c>
      <c r="B311" s="60" t="s">
        <v>837</v>
      </c>
      <c r="C311" s="34" t="s">
        <v>77</v>
      </c>
      <c r="D311" s="34" t="s">
        <v>47</v>
      </c>
      <c r="E311" s="68">
        <v>8190.0</v>
      </c>
      <c r="F311" s="36"/>
      <c r="G311" s="36">
        <f t="shared" si="8"/>
        <v>8190</v>
      </c>
      <c r="H311" s="37"/>
    </row>
    <row r="312">
      <c r="A312" s="60" t="s">
        <v>838</v>
      </c>
      <c r="B312" s="60" t="s">
        <v>839</v>
      </c>
      <c r="C312" s="34" t="s">
        <v>77</v>
      </c>
      <c r="D312" s="34" t="s">
        <v>47</v>
      </c>
      <c r="E312" s="68">
        <v>4633.0</v>
      </c>
      <c r="F312" s="36"/>
      <c r="G312" s="36">
        <f t="shared" si="8"/>
        <v>4633</v>
      </c>
      <c r="H312" s="37"/>
    </row>
    <row r="313">
      <c r="A313" s="60" t="s">
        <v>840</v>
      </c>
      <c r="B313" s="60" t="s">
        <v>1785</v>
      </c>
      <c r="C313" s="34" t="s">
        <v>77</v>
      </c>
      <c r="D313" s="34" t="s">
        <v>47</v>
      </c>
      <c r="E313" s="68">
        <v>4368.0</v>
      </c>
      <c r="F313" s="36"/>
      <c r="G313" s="36">
        <f t="shared" si="8"/>
        <v>4368</v>
      </c>
      <c r="H313" s="37"/>
    </row>
    <row r="314">
      <c r="A314" s="60" t="s">
        <v>842</v>
      </c>
      <c r="B314" s="60" t="s">
        <v>843</v>
      </c>
      <c r="C314" s="34" t="s">
        <v>77</v>
      </c>
      <c r="D314" s="34" t="s">
        <v>47</v>
      </c>
      <c r="E314" s="68">
        <v>1092.0</v>
      </c>
      <c r="F314" s="36"/>
      <c r="G314" s="36">
        <f t="shared" si="8"/>
        <v>1092</v>
      </c>
      <c r="H314" s="37"/>
    </row>
    <row r="315">
      <c r="A315" s="60" t="s">
        <v>844</v>
      </c>
      <c r="B315" s="60" t="s">
        <v>845</v>
      </c>
      <c r="C315" s="34" t="s">
        <v>77</v>
      </c>
      <c r="D315" s="34" t="s">
        <v>47</v>
      </c>
      <c r="E315" s="68">
        <v>46339.87</v>
      </c>
      <c r="F315" s="36"/>
      <c r="G315" s="36">
        <f t="shared" si="8"/>
        <v>46339.87</v>
      </c>
      <c r="H315" s="37"/>
    </row>
    <row r="316">
      <c r="A316" s="60" t="s">
        <v>766</v>
      </c>
      <c r="B316" s="60" t="s">
        <v>767</v>
      </c>
      <c r="C316" s="34" t="s">
        <v>79</v>
      </c>
      <c r="D316" s="34" t="s">
        <v>49</v>
      </c>
      <c r="E316" s="68">
        <v>634.0</v>
      </c>
      <c r="F316" s="36"/>
      <c r="G316" s="36">
        <f t="shared" si="8"/>
        <v>634</v>
      </c>
      <c r="H316" s="37"/>
    </row>
    <row r="317">
      <c r="A317" s="60" t="s">
        <v>768</v>
      </c>
      <c r="B317" s="60" t="s">
        <v>769</v>
      </c>
      <c r="C317" s="34" t="s">
        <v>79</v>
      </c>
      <c r="D317" s="34" t="s">
        <v>49</v>
      </c>
      <c r="E317" s="68">
        <v>127254.3</v>
      </c>
      <c r="F317" s="36"/>
      <c r="G317" s="36">
        <f t="shared" si="8"/>
        <v>127254.3</v>
      </c>
      <c r="H317" s="37"/>
    </row>
    <row r="318">
      <c r="A318" s="60" t="s">
        <v>770</v>
      </c>
      <c r="B318" s="60" t="s">
        <v>771</v>
      </c>
      <c r="C318" s="34" t="s">
        <v>79</v>
      </c>
      <c r="D318" s="34" t="s">
        <v>49</v>
      </c>
      <c r="E318" s="68">
        <v>54510.0</v>
      </c>
      <c r="F318" s="36"/>
      <c r="G318" s="36">
        <f t="shared" si="8"/>
        <v>54510</v>
      </c>
      <c r="H318" s="37"/>
    </row>
    <row r="319">
      <c r="A319" s="60" t="s">
        <v>772</v>
      </c>
      <c r="B319" s="60" t="s">
        <v>773</v>
      </c>
      <c r="C319" s="34" t="s">
        <v>79</v>
      </c>
      <c r="D319" s="34" t="s">
        <v>49</v>
      </c>
      <c r="E319" s="68">
        <v>79536.07</v>
      </c>
      <c r="F319" s="36"/>
      <c r="G319" s="36">
        <f t="shared" si="8"/>
        <v>79536.07</v>
      </c>
      <c r="H319" s="37"/>
    </row>
    <row r="320">
      <c r="A320" s="60" t="s">
        <v>774</v>
      </c>
      <c r="B320" s="60" t="s">
        <v>775</v>
      </c>
      <c r="C320" s="34" t="s">
        <v>79</v>
      </c>
      <c r="D320" s="34" t="s">
        <v>49</v>
      </c>
      <c r="E320" s="68">
        <v>434823.25</v>
      </c>
      <c r="F320" s="36"/>
      <c r="G320" s="36">
        <f t="shared" si="8"/>
        <v>434823.25</v>
      </c>
      <c r="H320" s="37"/>
    </row>
    <row r="321">
      <c r="A321" s="60" t="s">
        <v>780</v>
      </c>
      <c r="B321" s="60" t="s">
        <v>781</v>
      </c>
      <c r="C321" s="34" t="s">
        <v>79</v>
      </c>
      <c r="D321" s="34" t="s">
        <v>49</v>
      </c>
      <c r="E321" s="68">
        <v>195.5</v>
      </c>
      <c r="F321" s="36"/>
      <c r="G321" s="36">
        <f t="shared" si="8"/>
        <v>195.5</v>
      </c>
      <c r="H321" s="37"/>
    </row>
    <row r="322">
      <c r="A322" s="60" t="s">
        <v>782</v>
      </c>
      <c r="B322" s="60" t="s">
        <v>783</v>
      </c>
      <c r="C322" s="34" t="s">
        <v>79</v>
      </c>
      <c r="D322" s="34" t="s">
        <v>49</v>
      </c>
      <c r="E322" s="68">
        <v>97.75</v>
      </c>
      <c r="F322" s="36"/>
      <c r="G322" s="36">
        <f t="shared" si="8"/>
        <v>97.75</v>
      </c>
      <c r="H322" s="37"/>
    </row>
    <row r="323">
      <c r="A323" s="60" t="s">
        <v>784</v>
      </c>
      <c r="B323" s="60" t="s">
        <v>785</v>
      </c>
      <c r="C323" s="34" t="s">
        <v>79</v>
      </c>
      <c r="D323" s="34" t="s">
        <v>49</v>
      </c>
      <c r="E323" s="68">
        <v>38209.01</v>
      </c>
      <c r="F323" s="36"/>
      <c r="G323" s="36">
        <f t="shared" si="8"/>
        <v>38209.01</v>
      </c>
      <c r="H323" s="37"/>
    </row>
    <row r="324">
      <c r="A324" s="60" t="s">
        <v>786</v>
      </c>
      <c r="B324" s="60" t="s">
        <v>787</v>
      </c>
      <c r="C324" s="34" t="s">
        <v>79</v>
      </c>
      <c r="D324" s="34" t="s">
        <v>49</v>
      </c>
      <c r="E324" s="68">
        <v>920.0</v>
      </c>
      <c r="F324" s="36"/>
      <c r="G324" s="36">
        <f t="shared" si="8"/>
        <v>920</v>
      </c>
      <c r="H324" s="37"/>
    </row>
    <row r="325">
      <c r="A325" s="60" t="s">
        <v>788</v>
      </c>
      <c r="B325" s="60" t="s">
        <v>789</v>
      </c>
      <c r="C325" s="34" t="s">
        <v>79</v>
      </c>
      <c r="D325" s="34" t="s">
        <v>49</v>
      </c>
      <c r="E325" s="68">
        <v>84496.25</v>
      </c>
      <c r="F325" s="36"/>
      <c r="G325" s="36">
        <f t="shared" si="8"/>
        <v>84496.25</v>
      </c>
      <c r="H325" s="37"/>
    </row>
    <row r="326">
      <c r="A326" s="60" t="s">
        <v>790</v>
      </c>
      <c r="B326" s="60" t="s">
        <v>791</v>
      </c>
      <c r="C326" s="34" t="s">
        <v>79</v>
      </c>
      <c r="D326" s="34" t="s">
        <v>49</v>
      </c>
      <c r="E326" s="68">
        <v>120.0</v>
      </c>
      <c r="F326" s="36"/>
      <c r="G326" s="36">
        <f t="shared" si="8"/>
        <v>120</v>
      </c>
      <c r="H326" s="37"/>
    </row>
    <row r="327">
      <c r="A327" s="60" t="s">
        <v>792</v>
      </c>
      <c r="B327" s="60" t="s">
        <v>793</v>
      </c>
      <c r="C327" s="34" t="s">
        <v>79</v>
      </c>
      <c r="D327" s="34" t="s">
        <v>49</v>
      </c>
      <c r="E327" s="68">
        <v>6237.5</v>
      </c>
      <c r="F327" s="36"/>
      <c r="G327" s="36">
        <f t="shared" si="8"/>
        <v>6237.5</v>
      </c>
      <c r="H327" s="37"/>
    </row>
    <row r="328">
      <c r="A328" s="60" t="s">
        <v>1781</v>
      </c>
      <c r="B328" s="60" t="s">
        <v>1782</v>
      </c>
      <c r="C328" s="34" t="s">
        <v>79</v>
      </c>
      <c r="D328" s="34" t="s">
        <v>49</v>
      </c>
      <c r="E328" s="68">
        <v>192354.25</v>
      </c>
      <c r="F328" s="36"/>
      <c r="G328" s="36">
        <f t="shared" si="8"/>
        <v>192354.25</v>
      </c>
      <c r="H328" s="37"/>
    </row>
    <row r="329">
      <c r="A329" s="82" t="s">
        <v>794</v>
      </c>
      <c r="B329" s="82" t="s">
        <v>795</v>
      </c>
      <c r="C329" s="34" t="s">
        <v>79</v>
      </c>
      <c r="D329" s="34" t="s">
        <v>49</v>
      </c>
      <c r="E329" s="86">
        <v>330147.58</v>
      </c>
      <c r="F329" s="36"/>
      <c r="G329" s="36">
        <f t="shared" si="8"/>
        <v>330147.58</v>
      </c>
      <c r="H329" s="37"/>
    </row>
    <row r="330">
      <c r="A330" s="103" t="s">
        <v>952</v>
      </c>
      <c r="B330" s="103" t="s">
        <v>953</v>
      </c>
      <c r="C330" s="34" t="s">
        <v>80</v>
      </c>
      <c r="D330" s="34" t="s">
        <v>46</v>
      </c>
      <c r="E330" s="35">
        <v>562.02</v>
      </c>
      <c r="F330" s="36"/>
      <c r="G330" s="36">
        <f t="shared" si="8"/>
        <v>562.02</v>
      </c>
      <c r="H330" s="37"/>
    </row>
    <row r="331">
      <c r="A331" s="103" t="s">
        <v>954</v>
      </c>
      <c r="B331" s="103" t="s">
        <v>1634</v>
      </c>
      <c r="C331" s="34" t="s">
        <v>80</v>
      </c>
      <c r="D331" s="34" t="s">
        <v>46</v>
      </c>
      <c r="E331" s="35">
        <v>3512.0</v>
      </c>
      <c r="F331" s="36"/>
      <c r="G331" s="36">
        <f t="shared" si="8"/>
        <v>3512</v>
      </c>
      <c r="H331" s="37"/>
    </row>
    <row r="332">
      <c r="A332" s="103" t="s">
        <v>956</v>
      </c>
      <c r="B332" s="103" t="s">
        <v>957</v>
      </c>
      <c r="C332" s="34" t="s">
        <v>80</v>
      </c>
      <c r="D332" s="34" t="s">
        <v>46</v>
      </c>
      <c r="E332" s="35">
        <v>1070.03</v>
      </c>
      <c r="F332" s="36"/>
      <c r="G332" s="36">
        <f t="shared" si="8"/>
        <v>1070.03</v>
      </c>
      <c r="H332" s="37"/>
    </row>
    <row r="333">
      <c r="A333" s="103" t="s">
        <v>1453</v>
      </c>
      <c r="B333" s="103" t="s">
        <v>1454</v>
      </c>
      <c r="C333" s="34" t="s">
        <v>80</v>
      </c>
      <c r="D333" s="34" t="s">
        <v>46</v>
      </c>
      <c r="E333" s="35">
        <v>1906.99</v>
      </c>
      <c r="F333" s="36"/>
      <c r="G333" s="36">
        <f t="shared" si="8"/>
        <v>1906.99</v>
      </c>
      <c r="H333" s="37"/>
    </row>
    <row r="334">
      <c r="A334" s="103" t="s">
        <v>998</v>
      </c>
      <c r="B334" s="103" t="s">
        <v>999</v>
      </c>
      <c r="C334" s="34" t="s">
        <v>80</v>
      </c>
      <c r="D334" s="34" t="s">
        <v>46</v>
      </c>
      <c r="E334" s="35">
        <v>1349.98</v>
      </c>
      <c r="F334" s="36"/>
      <c r="G334" s="36">
        <f t="shared" si="8"/>
        <v>1349.98</v>
      </c>
      <c r="H334" s="37"/>
    </row>
    <row r="335">
      <c r="A335" s="103" t="s">
        <v>962</v>
      </c>
      <c r="B335" s="103" t="s">
        <v>963</v>
      </c>
      <c r="C335" s="34" t="s">
        <v>80</v>
      </c>
      <c r="D335" s="34" t="s">
        <v>46</v>
      </c>
      <c r="E335" s="35">
        <v>5976.0</v>
      </c>
      <c r="F335" s="36"/>
      <c r="G335" s="36">
        <f t="shared" si="8"/>
        <v>5976</v>
      </c>
      <c r="H335" s="37"/>
    </row>
    <row r="336">
      <c r="A336" s="103" t="s">
        <v>964</v>
      </c>
      <c r="B336" s="103" t="s">
        <v>965</v>
      </c>
      <c r="C336" s="34" t="s">
        <v>80</v>
      </c>
      <c r="D336" s="34" t="s">
        <v>46</v>
      </c>
      <c r="E336" s="35">
        <v>216.98</v>
      </c>
      <c r="F336" s="36"/>
      <c r="G336" s="36">
        <f t="shared" si="8"/>
        <v>216.98</v>
      </c>
      <c r="H336" s="37"/>
    </row>
    <row r="337">
      <c r="A337" s="103" t="s">
        <v>1002</v>
      </c>
      <c r="B337" s="103" t="s">
        <v>1003</v>
      </c>
      <c r="C337" s="34" t="s">
        <v>80</v>
      </c>
      <c r="D337" s="34" t="s">
        <v>46</v>
      </c>
      <c r="E337" s="35">
        <v>378.97</v>
      </c>
      <c r="F337" s="36"/>
      <c r="G337" s="36">
        <f t="shared" si="8"/>
        <v>378.97</v>
      </c>
      <c r="H337" s="37"/>
    </row>
    <row r="338">
      <c r="A338" s="103" t="s">
        <v>966</v>
      </c>
      <c r="B338" s="103" t="s">
        <v>967</v>
      </c>
      <c r="C338" s="34" t="s">
        <v>80</v>
      </c>
      <c r="D338" s="34" t="s">
        <v>46</v>
      </c>
      <c r="E338" s="35">
        <v>1436.17</v>
      </c>
      <c r="F338" s="36"/>
      <c r="G338" s="36">
        <f t="shared" si="8"/>
        <v>1436.17</v>
      </c>
      <c r="H338" s="37"/>
    </row>
    <row r="339">
      <c r="A339" s="103" t="s">
        <v>2457</v>
      </c>
      <c r="B339" s="106" t="s">
        <v>2458</v>
      </c>
      <c r="C339" s="34" t="s">
        <v>80</v>
      </c>
      <c r="D339" s="34" t="s">
        <v>46</v>
      </c>
      <c r="E339" s="35">
        <v>1350.27</v>
      </c>
      <c r="F339" s="36"/>
      <c r="G339" s="36">
        <f t="shared" si="8"/>
        <v>1350.27</v>
      </c>
      <c r="H339" s="37"/>
    </row>
    <row r="340">
      <c r="A340" s="60" t="s">
        <v>848</v>
      </c>
      <c r="B340" s="60" t="s">
        <v>849</v>
      </c>
      <c r="C340" s="34" t="s">
        <v>75</v>
      </c>
      <c r="D340" s="34" t="s">
        <v>50</v>
      </c>
      <c r="E340" s="68">
        <v>594.02</v>
      </c>
      <c r="F340" s="36"/>
      <c r="G340" s="36">
        <f t="shared" si="8"/>
        <v>594.02</v>
      </c>
      <c r="H340" s="37"/>
    </row>
    <row r="341">
      <c r="A341" s="60" t="s">
        <v>850</v>
      </c>
      <c r="B341" s="60" t="s">
        <v>851</v>
      </c>
      <c r="C341" s="34" t="s">
        <v>75</v>
      </c>
      <c r="D341" s="34" t="s">
        <v>50</v>
      </c>
      <c r="E341" s="68">
        <v>362.02</v>
      </c>
      <c r="F341" s="36"/>
      <c r="G341" s="36">
        <f t="shared" si="8"/>
        <v>362.02</v>
      </c>
      <c r="H341" s="37"/>
    </row>
    <row r="342">
      <c r="A342" s="60" t="s">
        <v>852</v>
      </c>
      <c r="B342" s="60" t="s">
        <v>853</v>
      </c>
      <c r="C342" s="34" t="s">
        <v>75</v>
      </c>
      <c r="D342" s="34" t="s">
        <v>50</v>
      </c>
      <c r="E342" s="68">
        <v>626.02</v>
      </c>
      <c r="F342" s="36"/>
      <c r="G342" s="36">
        <f t="shared" si="8"/>
        <v>626.02</v>
      </c>
      <c r="H342" s="37"/>
    </row>
    <row r="343">
      <c r="A343" s="60" t="s">
        <v>854</v>
      </c>
      <c r="B343" s="60" t="s">
        <v>855</v>
      </c>
      <c r="C343" s="34" t="s">
        <v>75</v>
      </c>
      <c r="D343" s="34" t="s">
        <v>50</v>
      </c>
      <c r="E343" s="68">
        <v>500.0</v>
      </c>
      <c r="F343" s="36"/>
      <c r="G343" s="36">
        <f t="shared" si="8"/>
        <v>500</v>
      </c>
      <c r="H343" s="37"/>
    </row>
    <row r="344">
      <c r="A344" s="60" t="s">
        <v>856</v>
      </c>
      <c r="B344" s="60" t="s">
        <v>857</v>
      </c>
      <c r="C344" s="34" t="s">
        <v>75</v>
      </c>
      <c r="D344" s="34" t="s">
        <v>50</v>
      </c>
      <c r="E344" s="68">
        <v>300.02</v>
      </c>
      <c r="F344" s="36"/>
      <c r="G344" s="36">
        <f t="shared" si="8"/>
        <v>300.02</v>
      </c>
      <c r="H344" s="37"/>
    </row>
    <row r="345">
      <c r="A345" s="60" t="s">
        <v>858</v>
      </c>
      <c r="B345" s="60" t="s">
        <v>859</v>
      </c>
      <c r="C345" s="34" t="s">
        <v>75</v>
      </c>
      <c r="D345" s="34" t="s">
        <v>50</v>
      </c>
      <c r="E345" s="68">
        <v>281.98</v>
      </c>
      <c r="F345" s="36"/>
      <c r="G345" s="36">
        <f t="shared" si="8"/>
        <v>281.98</v>
      </c>
      <c r="H345" s="37"/>
    </row>
    <row r="346">
      <c r="A346" s="60" t="s">
        <v>860</v>
      </c>
      <c r="B346" s="60" t="s">
        <v>861</v>
      </c>
      <c r="C346" s="34" t="s">
        <v>75</v>
      </c>
      <c r="D346" s="34" t="s">
        <v>50</v>
      </c>
      <c r="E346" s="68">
        <v>197.84</v>
      </c>
      <c r="F346" s="36"/>
      <c r="G346" s="36">
        <f t="shared" si="8"/>
        <v>197.84</v>
      </c>
      <c r="H346" s="37"/>
    </row>
    <row r="347">
      <c r="A347" s="60" t="s">
        <v>2293</v>
      </c>
      <c r="B347" s="60" t="s">
        <v>2294</v>
      </c>
      <c r="C347" s="34" t="s">
        <v>75</v>
      </c>
      <c r="D347" s="34" t="s">
        <v>50</v>
      </c>
      <c r="E347" s="68">
        <v>562.02</v>
      </c>
      <c r="F347" s="36"/>
      <c r="G347" s="36">
        <f t="shared" si="8"/>
        <v>562.02</v>
      </c>
      <c r="H347" s="37"/>
    </row>
    <row r="348">
      <c r="A348" s="60" t="s">
        <v>862</v>
      </c>
      <c r="B348" s="60" t="s">
        <v>863</v>
      </c>
      <c r="C348" s="34" t="s">
        <v>75</v>
      </c>
      <c r="D348" s="34" t="s">
        <v>50</v>
      </c>
      <c r="E348" s="68">
        <v>159.97</v>
      </c>
      <c r="F348" s="36"/>
      <c r="G348" s="36">
        <f t="shared" si="8"/>
        <v>159.97</v>
      </c>
      <c r="H348" s="37"/>
    </row>
    <row r="349">
      <c r="A349" s="60" t="s">
        <v>864</v>
      </c>
      <c r="B349" s="60" t="s">
        <v>865</v>
      </c>
      <c r="C349" s="34" t="s">
        <v>75</v>
      </c>
      <c r="D349" s="34" t="s">
        <v>50</v>
      </c>
      <c r="E349" s="68">
        <v>199.91</v>
      </c>
      <c r="F349" s="36"/>
      <c r="G349" s="36">
        <f t="shared" si="8"/>
        <v>199.91</v>
      </c>
      <c r="H349" s="37"/>
    </row>
    <row r="350">
      <c r="A350" s="60" t="s">
        <v>866</v>
      </c>
      <c r="B350" s="60" t="s">
        <v>867</v>
      </c>
      <c r="C350" s="34" t="s">
        <v>75</v>
      </c>
      <c r="D350" s="34" t="s">
        <v>50</v>
      </c>
      <c r="E350" s="68">
        <v>199.91</v>
      </c>
      <c r="F350" s="36"/>
      <c r="G350" s="36">
        <f t="shared" si="8"/>
        <v>199.91</v>
      </c>
      <c r="H350" s="37"/>
    </row>
    <row r="351">
      <c r="A351" s="60" t="s">
        <v>868</v>
      </c>
      <c r="B351" s="60" t="s">
        <v>869</v>
      </c>
      <c r="C351" s="34" t="s">
        <v>75</v>
      </c>
      <c r="D351" s="34" t="s">
        <v>50</v>
      </c>
      <c r="E351" s="68">
        <v>482.3</v>
      </c>
      <c r="F351" s="36"/>
      <c r="G351" s="36">
        <f t="shared" si="8"/>
        <v>482.3</v>
      </c>
      <c r="H351" s="37"/>
    </row>
    <row r="352">
      <c r="A352" s="60" t="s">
        <v>870</v>
      </c>
      <c r="B352" s="60" t="s">
        <v>871</v>
      </c>
      <c r="C352" s="34" t="s">
        <v>75</v>
      </c>
      <c r="D352" s="34" t="s">
        <v>50</v>
      </c>
      <c r="E352" s="68">
        <v>482.3</v>
      </c>
      <c r="F352" s="36"/>
      <c r="G352" s="36">
        <f t="shared" si="8"/>
        <v>482.3</v>
      </c>
      <c r="H352" s="37"/>
    </row>
    <row r="353">
      <c r="A353" s="60" t="s">
        <v>872</v>
      </c>
      <c r="B353" s="60" t="s">
        <v>873</v>
      </c>
      <c r="C353" s="34" t="s">
        <v>75</v>
      </c>
      <c r="D353" s="34" t="s">
        <v>50</v>
      </c>
      <c r="E353" s="68">
        <v>562.02</v>
      </c>
      <c r="F353" s="36"/>
      <c r="G353" s="36">
        <f t="shared" si="8"/>
        <v>562.02</v>
      </c>
      <c r="H353" s="37"/>
    </row>
    <row r="354">
      <c r="A354" s="60" t="s">
        <v>2459</v>
      </c>
      <c r="B354" s="60" t="s">
        <v>2460</v>
      </c>
      <c r="C354" s="34" t="s">
        <v>75</v>
      </c>
      <c r="D354" s="34" t="s">
        <v>50</v>
      </c>
      <c r="E354" s="68">
        <v>272.01</v>
      </c>
      <c r="F354" s="36"/>
      <c r="G354" s="36">
        <f t="shared" si="8"/>
        <v>272.01</v>
      </c>
      <c r="H354" s="37"/>
    </row>
    <row r="355">
      <c r="A355" s="60" t="s">
        <v>874</v>
      </c>
      <c r="B355" s="60" t="s">
        <v>875</v>
      </c>
      <c r="C355" s="34" t="s">
        <v>75</v>
      </c>
      <c r="D355" s="34" t="s">
        <v>50</v>
      </c>
      <c r="E355" s="68">
        <v>183.98</v>
      </c>
      <c r="F355" s="36"/>
      <c r="G355" s="36">
        <f t="shared" si="8"/>
        <v>183.98</v>
      </c>
      <c r="H355" s="37"/>
    </row>
    <row r="356">
      <c r="A356" s="60" t="s">
        <v>876</v>
      </c>
      <c r="B356" s="60" t="s">
        <v>877</v>
      </c>
      <c r="C356" s="34" t="s">
        <v>75</v>
      </c>
      <c r="D356" s="34" t="s">
        <v>50</v>
      </c>
      <c r="E356" s="68">
        <v>657.99</v>
      </c>
      <c r="F356" s="36"/>
      <c r="G356" s="36">
        <f t="shared" si="8"/>
        <v>657.99</v>
      </c>
      <c r="H356" s="37"/>
    </row>
    <row r="357">
      <c r="A357" s="60" t="s">
        <v>878</v>
      </c>
      <c r="B357" s="60" t="s">
        <v>879</v>
      </c>
      <c r="C357" s="34" t="s">
        <v>75</v>
      </c>
      <c r="D357" s="34" t="s">
        <v>50</v>
      </c>
      <c r="E357" s="68">
        <v>482.3</v>
      </c>
      <c r="F357" s="36"/>
      <c r="G357" s="36">
        <f t="shared" si="8"/>
        <v>482.3</v>
      </c>
      <c r="H357" s="37"/>
    </row>
    <row r="358">
      <c r="A358" s="60" t="s">
        <v>880</v>
      </c>
      <c r="B358" s="60" t="s">
        <v>881</v>
      </c>
      <c r="C358" s="34" t="s">
        <v>75</v>
      </c>
      <c r="D358" s="34" t="s">
        <v>50</v>
      </c>
      <c r="E358" s="68">
        <v>546.04</v>
      </c>
      <c r="F358" s="36"/>
      <c r="G358" s="36">
        <f t="shared" si="8"/>
        <v>546.04</v>
      </c>
      <c r="H358" s="37"/>
    </row>
    <row r="359">
      <c r="A359" s="60" t="s">
        <v>884</v>
      </c>
      <c r="B359" s="60" t="s">
        <v>885</v>
      </c>
      <c r="C359" s="34" t="s">
        <v>75</v>
      </c>
      <c r="D359" s="34" t="s">
        <v>50</v>
      </c>
      <c r="E359" s="68">
        <v>192.86</v>
      </c>
      <c r="F359" s="36"/>
      <c r="G359" s="36">
        <f t="shared" si="8"/>
        <v>192.86</v>
      </c>
      <c r="H359" s="37"/>
    </row>
    <row r="360">
      <c r="A360" s="60" t="s">
        <v>886</v>
      </c>
      <c r="B360" s="60" t="s">
        <v>887</v>
      </c>
      <c r="C360" s="34" t="s">
        <v>75</v>
      </c>
      <c r="D360" s="34" t="s">
        <v>50</v>
      </c>
      <c r="E360" s="68">
        <v>300.0</v>
      </c>
      <c r="F360" s="36"/>
      <c r="G360" s="36">
        <f t="shared" si="8"/>
        <v>300</v>
      </c>
      <c r="H360" s="37"/>
    </row>
    <row r="361">
      <c r="A361" s="60" t="s">
        <v>2461</v>
      </c>
      <c r="B361" s="60" t="s">
        <v>2462</v>
      </c>
      <c r="C361" s="34" t="s">
        <v>75</v>
      </c>
      <c r="D361" s="34" t="s">
        <v>50</v>
      </c>
      <c r="E361" s="68">
        <v>400.0</v>
      </c>
      <c r="F361" s="36"/>
      <c r="G361" s="36">
        <f t="shared" si="8"/>
        <v>400</v>
      </c>
      <c r="H361" s="37"/>
    </row>
    <row r="362">
      <c r="A362" s="60" t="s">
        <v>918</v>
      </c>
      <c r="B362" s="60" t="s">
        <v>919</v>
      </c>
      <c r="C362" s="34" t="s">
        <v>75</v>
      </c>
      <c r="D362" s="34" t="s">
        <v>57</v>
      </c>
      <c r="E362" s="68">
        <v>50.99</v>
      </c>
      <c r="F362" s="36"/>
      <c r="G362" s="36">
        <f t="shared" si="8"/>
        <v>50.99</v>
      </c>
      <c r="H362" s="37"/>
    </row>
    <row r="363">
      <c r="A363" s="60" t="s">
        <v>920</v>
      </c>
      <c r="B363" s="60" t="s">
        <v>921</v>
      </c>
      <c r="C363" s="34" t="s">
        <v>75</v>
      </c>
      <c r="D363" s="34" t="s">
        <v>57</v>
      </c>
      <c r="E363" s="68">
        <v>125.97</v>
      </c>
      <c r="F363" s="36"/>
      <c r="G363" s="36">
        <f t="shared" si="8"/>
        <v>125.97</v>
      </c>
      <c r="H363" s="37"/>
    </row>
    <row r="364">
      <c r="A364" s="60" t="s">
        <v>922</v>
      </c>
      <c r="B364" s="60" t="s">
        <v>923</v>
      </c>
      <c r="C364" s="34" t="s">
        <v>75</v>
      </c>
      <c r="D364" s="34" t="s">
        <v>57</v>
      </c>
      <c r="E364" s="68">
        <v>217.97</v>
      </c>
      <c r="F364" s="36"/>
      <c r="G364" s="36">
        <f t="shared" si="8"/>
        <v>217.97</v>
      </c>
      <c r="H364" s="37"/>
    </row>
    <row r="365">
      <c r="A365" s="60" t="s">
        <v>924</v>
      </c>
      <c r="B365" s="60" t="s">
        <v>925</v>
      </c>
      <c r="C365" s="34" t="s">
        <v>75</v>
      </c>
      <c r="D365" s="34" t="s">
        <v>57</v>
      </c>
      <c r="E365" s="68">
        <v>108.98</v>
      </c>
      <c r="F365" s="36"/>
      <c r="G365" s="36">
        <f t="shared" si="8"/>
        <v>108.98</v>
      </c>
      <c r="H365" s="37"/>
    </row>
    <row r="366">
      <c r="A366" s="60" t="s">
        <v>926</v>
      </c>
      <c r="B366" s="60" t="s">
        <v>927</v>
      </c>
      <c r="C366" s="34" t="s">
        <v>75</v>
      </c>
      <c r="D366" s="34" t="s">
        <v>57</v>
      </c>
      <c r="E366" s="68">
        <v>108.98</v>
      </c>
      <c r="F366" s="36"/>
      <c r="G366" s="36">
        <f t="shared" si="8"/>
        <v>108.98</v>
      </c>
      <c r="H366" s="37"/>
    </row>
    <row r="367">
      <c r="A367" s="60" t="s">
        <v>928</v>
      </c>
      <c r="B367" s="60" t="s">
        <v>929</v>
      </c>
      <c r="C367" s="34" t="s">
        <v>75</v>
      </c>
      <c r="D367" s="34" t="s">
        <v>57</v>
      </c>
      <c r="E367" s="68">
        <v>108.98</v>
      </c>
      <c r="F367" s="36"/>
      <c r="G367" s="36">
        <f t="shared" si="8"/>
        <v>108.98</v>
      </c>
      <c r="H367" s="37"/>
    </row>
    <row r="368">
      <c r="A368" s="60" t="s">
        <v>930</v>
      </c>
      <c r="B368" s="60" t="s">
        <v>931</v>
      </c>
      <c r="C368" s="34" t="s">
        <v>75</v>
      </c>
      <c r="D368" s="34" t="s">
        <v>57</v>
      </c>
      <c r="E368" s="68">
        <v>108.98</v>
      </c>
      <c r="F368" s="36"/>
      <c r="G368" s="36">
        <f t="shared" si="8"/>
        <v>108.98</v>
      </c>
      <c r="H368" s="37"/>
    </row>
    <row r="369">
      <c r="A369" s="60" t="s">
        <v>932</v>
      </c>
      <c r="B369" s="60" t="s">
        <v>933</v>
      </c>
      <c r="C369" s="34" t="s">
        <v>75</v>
      </c>
      <c r="D369" s="34" t="s">
        <v>57</v>
      </c>
      <c r="E369" s="68">
        <v>108.98</v>
      </c>
      <c r="F369" s="36"/>
      <c r="G369" s="36">
        <f t="shared" si="8"/>
        <v>108.98</v>
      </c>
      <c r="H369" s="37"/>
    </row>
    <row r="370">
      <c r="A370" s="60" t="s">
        <v>934</v>
      </c>
      <c r="B370" s="60" t="s">
        <v>935</v>
      </c>
      <c r="C370" s="34" t="s">
        <v>75</v>
      </c>
      <c r="D370" s="34" t="s">
        <v>57</v>
      </c>
      <c r="E370" s="68">
        <v>522.0</v>
      </c>
      <c r="F370" s="36"/>
      <c r="G370" s="36">
        <f t="shared" si="8"/>
        <v>522</v>
      </c>
      <c r="H370" s="37"/>
    </row>
    <row r="371">
      <c r="A371" s="60" t="s">
        <v>936</v>
      </c>
      <c r="B371" s="60" t="s">
        <v>937</v>
      </c>
      <c r="C371" s="34" t="s">
        <v>75</v>
      </c>
      <c r="D371" s="34" t="s">
        <v>57</v>
      </c>
      <c r="E371" s="68">
        <v>108.98</v>
      </c>
      <c r="F371" s="36"/>
      <c r="G371" s="36">
        <f t="shared" si="8"/>
        <v>108.98</v>
      </c>
      <c r="H371" s="37"/>
    </row>
    <row r="372">
      <c r="A372" s="60" t="s">
        <v>938</v>
      </c>
      <c r="B372" s="60" t="s">
        <v>939</v>
      </c>
      <c r="C372" s="34" t="s">
        <v>75</v>
      </c>
      <c r="D372" s="34" t="s">
        <v>57</v>
      </c>
      <c r="E372" s="68">
        <v>429.93</v>
      </c>
      <c r="F372" s="36"/>
      <c r="G372" s="36">
        <f t="shared" si="8"/>
        <v>429.93</v>
      </c>
      <c r="H372" s="37"/>
    </row>
    <row r="373">
      <c r="A373" s="60" t="s">
        <v>940</v>
      </c>
      <c r="B373" s="60" t="s">
        <v>941</v>
      </c>
      <c r="C373" s="34" t="s">
        <v>75</v>
      </c>
      <c r="D373" s="34" t="s">
        <v>57</v>
      </c>
      <c r="E373" s="68">
        <v>1529.91</v>
      </c>
      <c r="F373" s="36"/>
      <c r="G373" s="36">
        <f t="shared" si="8"/>
        <v>1529.91</v>
      </c>
      <c r="H373" s="37"/>
    </row>
    <row r="374">
      <c r="A374" s="60" t="s">
        <v>942</v>
      </c>
      <c r="B374" s="60" t="s">
        <v>943</v>
      </c>
      <c r="C374" s="34" t="s">
        <v>75</v>
      </c>
      <c r="D374" s="34" t="s">
        <v>57</v>
      </c>
      <c r="E374" s="68">
        <v>86.96</v>
      </c>
      <c r="F374" s="36"/>
      <c r="G374" s="36">
        <f t="shared" si="8"/>
        <v>86.96</v>
      </c>
      <c r="H374" s="37"/>
    </row>
    <row r="375">
      <c r="A375" s="60" t="s">
        <v>944</v>
      </c>
      <c r="B375" s="60" t="s">
        <v>945</v>
      </c>
      <c r="C375" s="34" t="s">
        <v>75</v>
      </c>
      <c r="D375" s="34" t="s">
        <v>57</v>
      </c>
      <c r="E375" s="68">
        <v>176.97</v>
      </c>
      <c r="F375" s="36"/>
      <c r="G375" s="36">
        <f t="shared" si="8"/>
        <v>176.97</v>
      </c>
      <c r="H375" s="37"/>
    </row>
    <row r="376">
      <c r="A376" s="60" t="s">
        <v>946</v>
      </c>
      <c r="B376" s="60" t="s">
        <v>947</v>
      </c>
      <c r="C376" s="34" t="s">
        <v>75</v>
      </c>
      <c r="D376" s="34" t="s">
        <v>57</v>
      </c>
      <c r="E376" s="68">
        <v>159.97</v>
      </c>
      <c r="F376" s="36"/>
      <c r="G376" s="36">
        <f t="shared" si="8"/>
        <v>159.97</v>
      </c>
      <c r="H376" s="37"/>
    </row>
    <row r="377">
      <c r="A377" s="60" t="s">
        <v>2463</v>
      </c>
      <c r="B377" s="60" t="s">
        <v>2464</v>
      </c>
      <c r="C377" s="34" t="s">
        <v>75</v>
      </c>
      <c r="D377" s="34" t="s">
        <v>57</v>
      </c>
      <c r="E377" s="68">
        <v>108.98</v>
      </c>
      <c r="F377" s="36"/>
      <c r="G377" s="36">
        <f t="shared" si="8"/>
        <v>108.98</v>
      </c>
      <c r="H377" s="37"/>
    </row>
    <row r="378">
      <c r="A378" s="60" t="s">
        <v>948</v>
      </c>
      <c r="B378" s="60" t="s">
        <v>949</v>
      </c>
      <c r="C378" s="34" t="s">
        <v>75</v>
      </c>
      <c r="D378" s="34" t="s">
        <v>57</v>
      </c>
      <c r="E378" s="68">
        <v>159.97</v>
      </c>
      <c r="F378" s="36"/>
      <c r="G378" s="36">
        <f t="shared" si="8"/>
        <v>159.97</v>
      </c>
      <c r="H378" s="37"/>
    </row>
    <row r="379">
      <c r="A379" s="60" t="s">
        <v>950</v>
      </c>
      <c r="B379" s="60" t="s">
        <v>951</v>
      </c>
      <c r="C379" s="34" t="s">
        <v>75</v>
      </c>
      <c r="D379" s="34" t="s">
        <v>57</v>
      </c>
      <c r="E379" s="68">
        <v>142.98</v>
      </c>
      <c r="F379" s="36"/>
      <c r="G379" s="36">
        <f t="shared" si="8"/>
        <v>142.98</v>
      </c>
      <c r="H379" s="37"/>
    </row>
    <row r="380">
      <c r="A380" s="37"/>
      <c r="B380" s="37"/>
      <c r="C380" s="37"/>
      <c r="D380" s="37"/>
      <c r="E380" s="36"/>
      <c r="F380" s="36"/>
      <c r="G380" s="36" t="str">
        <f t="shared" si="8"/>
        <v/>
      </c>
      <c r="H380" s="37"/>
    </row>
    <row r="381">
      <c r="A381" s="37"/>
      <c r="B381" s="37"/>
      <c r="C381" s="37"/>
      <c r="D381" s="37"/>
      <c r="E381" s="36"/>
      <c r="F381" s="36"/>
      <c r="G381" s="36" t="str">
        <f t="shared" si="8"/>
        <v/>
      </c>
      <c r="H381" s="37"/>
    </row>
    <row r="382">
      <c r="A382" s="37"/>
      <c r="B382" s="37"/>
      <c r="C382" s="37"/>
      <c r="D382" s="37"/>
      <c r="E382" s="36"/>
      <c r="F382" s="36"/>
      <c r="G382" s="36" t="str">
        <f t="shared" si="8"/>
        <v/>
      </c>
      <c r="H382" s="37"/>
    </row>
    <row r="383">
      <c r="A383" s="37"/>
      <c r="B383" s="37"/>
      <c r="C383" s="37"/>
      <c r="D383" s="37"/>
      <c r="E383" s="36"/>
      <c r="F383" s="36"/>
      <c r="G383" s="36" t="str">
        <f t="shared" si="8"/>
        <v/>
      </c>
      <c r="H383" s="37"/>
    </row>
    <row r="384">
      <c r="A384" s="37"/>
      <c r="B384" s="37"/>
      <c r="C384" s="37"/>
      <c r="D384" s="37"/>
      <c r="E384" s="36"/>
      <c r="F384" s="36"/>
      <c r="G384" s="36" t="str">
        <f t="shared" si="8"/>
        <v/>
      </c>
      <c r="H384" s="37"/>
    </row>
    <row r="385">
      <c r="A385" s="37"/>
      <c r="B385" s="37"/>
      <c r="C385" s="37"/>
      <c r="D385" s="37"/>
      <c r="E385" s="36"/>
      <c r="F385" s="36"/>
      <c r="G385" s="36" t="str">
        <f t="shared" si="8"/>
        <v/>
      </c>
      <c r="H385" s="37"/>
    </row>
    <row r="386">
      <c r="A386" s="37"/>
      <c r="B386" s="37"/>
      <c r="C386" s="37"/>
      <c r="D386" s="37"/>
      <c r="E386" s="36"/>
      <c r="F386" s="36"/>
      <c r="G386" s="36" t="str">
        <f t="shared" si="8"/>
        <v/>
      </c>
      <c r="H386" s="37"/>
    </row>
    <row r="387">
      <c r="A387" s="37"/>
      <c r="B387" s="37"/>
      <c r="C387" s="37"/>
      <c r="D387" s="37"/>
      <c r="E387" s="36"/>
      <c r="F387" s="36"/>
      <c r="G387" s="36" t="str">
        <f t="shared" si="8"/>
        <v/>
      </c>
      <c r="H387" s="37"/>
    </row>
    <row r="388">
      <c r="A388" s="37"/>
      <c r="B388" s="37"/>
      <c r="C388" s="37"/>
      <c r="D388" s="37"/>
      <c r="E388" s="36"/>
      <c r="F388" s="36"/>
      <c r="G388" s="36" t="str">
        <f t="shared" si="8"/>
        <v/>
      </c>
      <c r="H388" s="37"/>
    </row>
    <row r="389">
      <c r="A389" s="37"/>
      <c r="B389" s="37"/>
      <c r="C389" s="37"/>
      <c r="D389" s="37"/>
      <c r="E389" s="36"/>
      <c r="F389" s="36"/>
      <c r="G389" s="36" t="str">
        <f t="shared" si="8"/>
        <v/>
      </c>
      <c r="H389" s="37"/>
    </row>
    <row r="390">
      <c r="A390" s="37"/>
      <c r="B390" s="37"/>
      <c r="C390" s="37"/>
      <c r="D390" s="37"/>
      <c r="E390" s="36"/>
      <c r="F390" s="36"/>
      <c r="G390" s="36" t="str">
        <f t="shared" si="8"/>
        <v/>
      </c>
      <c r="H390" s="37"/>
    </row>
    <row r="391">
      <c r="A391" s="37"/>
      <c r="B391" s="37"/>
      <c r="C391" s="37"/>
      <c r="D391" s="37"/>
      <c r="E391" s="36"/>
      <c r="F391" s="36"/>
      <c r="G391" s="36" t="str">
        <f t="shared" si="8"/>
        <v/>
      </c>
      <c r="H391" s="37"/>
    </row>
    <row r="392">
      <c r="A392" s="37"/>
      <c r="B392" s="37"/>
      <c r="C392" s="37"/>
      <c r="D392" s="37"/>
      <c r="E392" s="36"/>
      <c r="F392" s="36"/>
      <c r="G392" s="36" t="str">
        <f t="shared" si="8"/>
        <v/>
      </c>
      <c r="H392" s="37"/>
    </row>
    <row r="393">
      <c r="A393" s="37"/>
      <c r="B393" s="37"/>
      <c r="C393" s="37"/>
      <c r="D393" s="37"/>
      <c r="E393" s="36"/>
      <c r="F393" s="36"/>
      <c r="G393" s="36" t="str">
        <f t="shared" si="8"/>
        <v/>
      </c>
      <c r="H393" s="37"/>
    </row>
    <row r="394">
      <c r="A394" s="37"/>
      <c r="B394" s="37"/>
      <c r="C394" s="37"/>
      <c r="D394" s="37"/>
      <c r="E394" s="36"/>
      <c r="F394" s="36"/>
      <c r="G394" s="36" t="str">
        <f t="shared" si="8"/>
        <v/>
      </c>
      <c r="H394" s="37"/>
    </row>
    <row r="395">
      <c r="A395" s="37"/>
      <c r="B395" s="37"/>
      <c r="C395" s="37"/>
      <c r="D395" s="37"/>
      <c r="E395" s="36"/>
      <c r="F395" s="36"/>
      <c r="G395" s="36" t="str">
        <f t="shared" si="8"/>
        <v/>
      </c>
      <c r="H395" s="37"/>
    </row>
    <row r="396">
      <c r="A396" s="37"/>
      <c r="B396" s="37"/>
      <c r="C396" s="37"/>
      <c r="D396" s="37"/>
      <c r="E396" s="36"/>
      <c r="F396" s="36"/>
      <c r="G396" s="36" t="str">
        <f t="shared" si="8"/>
        <v/>
      </c>
      <c r="H396" s="37"/>
    </row>
    <row r="397">
      <c r="A397" s="37"/>
      <c r="B397" s="37"/>
      <c r="C397" s="37"/>
      <c r="D397" s="37"/>
      <c r="E397" s="36"/>
      <c r="F397" s="36"/>
      <c r="G397" s="36" t="str">
        <f t="shared" si="8"/>
        <v/>
      </c>
      <c r="H397" s="37"/>
    </row>
    <row r="398">
      <c r="A398" s="37"/>
      <c r="B398" s="37"/>
      <c r="C398" s="37"/>
      <c r="D398" s="37"/>
      <c r="E398" s="36"/>
      <c r="F398" s="36"/>
      <c r="G398" s="36" t="str">
        <f t="shared" si="8"/>
        <v/>
      </c>
      <c r="H398" s="37"/>
    </row>
    <row r="399">
      <c r="A399" s="37"/>
      <c r="B399" s="37"/>
      <c r="C399" s="37"/>
      <c r="D399" s="37"/>
      <c r="E399" s="36"/>
      <c r="F399" s="36"/>
      <c r="G399" s="36" t="str">
        <f t="shared" si="8"/>
        <v/>
      </c>
      <c r="H399" s="37"/>
    </row>
    <row r="400">
      <c r="A400" s="37"/>
      <c r="B400" s="37"/>
      <c r="C400" s="37"/>
      <c r="D400" s="37"/>
      <c r="E400" s="36"/>
      <c r="F400" s="36"/>
      <c r="G400" s="36" t="str">
        <f t="shared" si="8"/>
        <v/>
      </c>
      <c r="H400" s="37"/>
    </row>
    <row r="401">
      <c r="A401" s="37"/>
      <c r="B401" s="37"/>
      <c r="C401" s="37"/>
      <c r="D401" s="37"/>
      <c r="E401" s="36"/>
      <c r="F401" s="36"/>
      <c r="G401" s="36" t="str">
        <f t="shared" si="8"/>
        <v/>
      </c>
      <c r="H401" s="37"/>
    </row>
    <row r="402">
      <c r="A402" s="37"/>
      <c r="B402" s="37"/>
      <c r="C402" s="37"/>
      <c r="D402" s="37"/>
      <c r="E402" s="36"/>
      <c r="F402" s="36"/>
      <c r="G402" s="36" t="str">
        <f t="shared" si="8"/>
        <v/>
      </c>
      <c r="H402" s="37"/>
    </row>
    <row r="403">
      <c r="A403" s="37"/>
      <c r="B403" s="37"/>
      <c r="C403" s="37"/>
      <c r="D403" s="37"/>
      <c r="E403" s="36"/>
      <c r="F403" s="36"/>
      <c r="G403" s="36" t="str">
        <f t="shared" si="8"/>
        <v/>
      </c>
      <c r="H403" s="37"/>
    </row>
    <row r="404">
      <c r="A404" s="37"/>
      <c r="B404" s="37"/>
      <c r="C404" s="37"/>
      <c r="D404" s="37"/>
      <c r="E404" s="36"/>
      <c r="F404" s="36"/>
      <c r="G404" s="36" t="str">
        <f t="shared" si="8"/>
        <v/>
      </c>
      <c r="H404" s="37"/>
    </row>
    <row r="405">
      <c r="A405" s="37"/>
      <c r="B405" s="37"/>
      <c r="C405" s="37"/>
      <c r="D405" s="37"/>
      <c r="E405" s="36"/>
      <c r="F405" s="36"/>
      <c r="G405" s="36" t="str">
        <f t="shared" si="8"/>
        <v/>
      </c>
      <c r="H405" s="37"/>
    </row>
    <row r="406">
      <c r="A406" s="37"/>
      <c r="B406" s="37"/>
      <c r="C406" s="37"/>
      <c r="D406" s="37"/>
      <c r="E406" s="36"/>
      <c r="F406" s="36"/>
      <c r="G406" s="36" t="str">
        <f t="shared" si="8"/>
        <v/>
      </c>
      <c r="H406" s="37"/>
    </row>
    <row r="407">
      <c r="A407" s="37"/>
      <c r="B407" s="37"/>
      <c r="C407" s="37"/>
      <c r="D407" s="37"/>
      <c r="E407" s="36"/>
      <c r="F407" s="36"/>
      <c r="G407" s="36" t="str">
        <f t="shared" si="8"/>
        <v/>
      </c>
      <c r="H407" s="37"/>
    </row>
    <row r="408">
      <c r="A408" s="37"/>
      <c r="B408" s="37"/>
      <c r="C408" s="37"/>
      <c r="D408" s="37"/>
      <c r="E408" s="36"/>
      <c r="F408" s="36"/>
      <c r="G408" s="36" t="str">
        <f t="shared" si="8"/>
        <v/>
      </c>
      <c r="H408" s="37"/>
    </row>
    <row r="409">
      <c r="A409" s="37"/>
      <c r="B409" s="37"/>
      <c r="C409" s="37"/>
      <c r="D409" s="37"/>
      <c r="E409" s="36"/>
      <c r="F409" s="36"/>
      <c r="G409" s="36" t="str">
        <f t="shared" si="8"/>
        <v/>
      </c>
      <c r="H409" s="37"/>
    </row>
    <row r="410">
      <c r="A410" s="37"/>
      <c r="B410" s="37"/>
      <c r="C410" s="37"/>
      <c r="D410" s="37"/>
      <c r="E410" s="36"/>
      <c r="F410" s="36"/>
      <c r="G410" s="36" t="str">
        <f t="shared" si="8"/>
        <v/>
      </c>
      <c r="H410" s="37"/>
    </row>
    <row r="411">
      <c r="A411" s="37"/>
      <c r="B411" s="37"/>
      <c r="C411" s="37"/>
      <c r="D411" s="37"/>
      <c r="E411" s="36"/>
      <c r="F411" s="36"/>
      <c r="G411" s="36" t="str">
        <f t="shared" si="8"/>
        <v/>
      </c>
      <c r="H411" s="37"/>
    </row>
    <row r="412">
      <c r="A412" s="37"/>
      <c r="B412" s="37"/>
      <c r="C412" s="37"/>
      <c r="D412" s="37"/>
      <c r="E412" s="36"/>
      <c r="F412" s="36"/>
      <c r="G412" s="36" t="str">
        <f t="shared" si="8"/>
        <v/>
      </c>
      <c r="H412" s="37"/>
    </row>
    <row r="413">
      <c r="A413" s="37"/>
      <c r="B413" s="37"/>
      <c r="C413" s="37"/>
      <c r="D413" s="37"/>
      <c r="E413" s="36"/>
      <c r="F413" s="36"/>
      <c r="G413" s="36" t="str">
        <f t="shared" si="8"/>
        <v/>
      </c>
      <c r="H413" s="37"/>
    </row>
    <row r="414">
      <c r="A414" s="37"/>
      <c r="B414" s="37"/>
      <c r="C414" s="37"/>
      <c r="D414" s="37"/>
      <c r="E414" s="36"/>
      <c r="F414" s="36"/>
      <c r="G414" s="36" t="str">
        <f t="shared" si="8"/>
        <v/>
      </c>
      <c r="H414" s="37"/>
    </row>
    <row r="415">
      <c r="A415" s="37"/>
      <c r="B415" s="37"/>
      <c r="C415" s="37"/>
      <c r="D415" s="37"/>
      <c r="E415" s="36"/>
      <c r="F415" s="36"/>
      <c r="G415" s="36" t="str">
        <f t="shared" si="8"/>
        <v/>
      </c>
      <c r="H415" s="37"/>
    </row>
    <row r="416">
      <c r="A416" s="37"/>
      <c r="B416" s="37"/>
      <c r="C416" s="37"/>
      <c r="D416" s="37"/>
      <c r="E416" s="36"/>
      <c r="F416" s="36"/>
      <c r="G416" s="36" t="str">
        <f t="shared" si="8"/>
        <v/>
      </c>
      <c r="H416" s="37"/>
    </row>
    <row r="417">
      <c r="A417" s="37"/>
      <c r="B417" s="37"/>
      <c r="C417" s="37"/>
      <c r="D417" s="37"/>
      <c r="E417" s="36"/>
      <c r="F417" s="36"/>
      <c r="G417" s="36" t="str">
        <f t="shared" si="8"/>
        <v/>
      </c>
      <c r="H417" s="37"/>
    </row>
    <row r="418">
      <c r="A418" s="37"/>
      <c r="B418" s="37"/>
      <c r="C418" s="37"/>
      <c r="D418" s="37"/>
      <c r="E418" s="36"/>
      <c r="F418" s="36"/>
      <c r="G418" s="36" t="str">
        <f t="shared" si="8"/>
        <v/>
      </c>
      <c r="H418" s="37"/>
    </row>
    <row r="419">
      <c r="A419" s="37"/>
      <c r="B419" s="37"/>
      <c r="C419" s="37"/>
      <c r="D419" s="37"/>
      <c r="E419" s="36"/>
      <c r="F419" s="36"/>
      <c r="G419" s="36" t="str">
        <f t="shared" si="8"/>
        <v/>
      </c>
      <c r="H419" s="37"/>
    </row>
    <row r="420">
      <c r="A420" s="37"/>
      <c r="B420" s="37"/>
      <c r="C420" s="37"/>
      <c r="D420" s="37"/>
      <c r="E420" s="36"/>
      <c r="F420" s="36"/>
      <c r="G420" s="36" t="str">
        <f t="shared" si="8"/>
        <v/>
      </c>
      <c r="H420" s="37"/>
    </row>
    <row r="421">
      <c r="A421" s="37"/>
      <c r="B421" s="37"/>
      <c r="C421" s="37"/>
      <c r="D421" s="37"/>
      <c r="E421" s="36"/>
      <c r="F421" s="36"/>
      <c r="G421" s="36" t="str">
        <f t="shared" si="8"/>
        <v/>
      </c>
      <c r="H421" s="37"/>
    </row>
    <row r="422">
      <c r="A422" s="37"/>
      <c r="B422" s="37"/>
      <c r="C422" s="37"/>
      <c r="D422" s="37"/>
      <c r="E422" s="36"/>
      <c r="F422" s="36"/>
      <c r="G422" s="36" t="str">
        <f t="shared" si="8"/>
        <v/>
      </c>
      <c r="H422" s="37"/>
    </row>
    <row r="423">
      <c r="A423" s="37"/>
      <c r="B423" s="37"/>
      <c r="C423" s="37"/>
      <c r="D423" s="37"/>
      <c r="E423" s="36"/>
      <c r="F423" s="36"/>
      <c r="G423" s="36" t="str">
        <f t="shared" si="8"/>
        <v/>
      </c>
      <c r="H423" s="37"/>
    </row>
    <row r="424">
      <c r="A424" s="37"/>
      <c r="B424" s="37"/>
      <c r="C424" s="37"/>
      <c r="D424" s="37"/>
      <c r="E424" s="36"/>
      <c r="F424" s="36"/>
      <c r="G424" s="36" t="str">
        <f t="shared" si="8"/>
        <v/>
      </c>
      <c r="H424" s="37"/>
    </row>
    <row r="425">
      <c r="A425" s="37"/>
      <c r="B425" s="37"/>
      <c r="C425" s="37"/>
      <c r="D425" s="37"/>
      <c r="E425" s="36"/>
      <c r="F425" s="36"/>
      <c r="G425" s="36" t="str">
        <f t="shared" si="8"/>
        <v/>
      </c>
      <c r="H425" s="37"/>
    </row>
    <row r="426">
      <c r="A426" s="37"/>
      <c r="B426" s="37"/>
      <c r="C426" s="37"/>
      <c r="D426" s="37"/>
      <c r="E426" s="36"/>
      <c r="F426" s="36"/>
      <c r="G426" s="36" t="str">
        <f t="shared" si="8"/>
        <v/>
      </c>
      <c r="H426" s="37"/>
    </row>
    <row r="427">
      <c r="A427" s="37"/>
      <c r="B427" s="37"/>
      <c r="C427" s="37"/>
      <c r="D427" s="37"/>
      <c r="E427" s="36"/>
      <c r="F427" s="36"/>
      <c r="G427" s="36" t="str">
        <f t="shared" si="8"/>
        <v/>
      </c>
      <c r="H427" s="37"/>
    </row>
    <row r="428">
      <c r="A428" s="37"/>
      <c r="B428" s="37"/>
      <c r="C428" s="37"/>
      <c r="D428" s="37"/>
      <c r="E428" s="36"/>
      <c r="F428" s="36"/>
      <c r="G428" s="36" t="str">
        <f t="shared" si="8"/>
        <v/>
      </c>
      <c r="H428" s="37"/>
    </row>
    <row r="429">
      <c r="A429" s="37"/>
      <c r="B429" s="37"/>
      <c r="C429" s="37"/>
      <c r="D429" s="37"/>
      <c r="E429" s="36"/>
      <c r="F429" s="36"/>
      <c r="G429" s="36" t="str">
        <f t="shared" si="8"/>
        <v/>
      </c>
      <c r="H429" s="37"/>
    </row>
    <row r="430">
      <c r="A430" s="37"/>
      <c r="B430" s="37"/>
      <c r="C430" s="37"/>
      <c r="D430" s="37"/>
      <c r="E430" s="36"/>
      <c r="F430" s="36"/>
      <c r="G430" s="36" t="str">
        <f t="shared" si="8"/>
        <v/>
      </c>
      <c r="H430" s="37"/>
    </row>
    <row r="431">
      <c r="A431" s="37"/>
      <c r="B431" s="37"/>
      <c r="C431" s="37"/>
      <c r="D431" s="37"/>
      <c r="E431" s="36"/>
      <c r="F431" s="36"/>
      <c r="G431" s="36" t="str">
        <f t="shared" si="8"/>
        <v/>
      </c>
      <c r="H431" s="37"/>
    </row>
    <row r="432">
      <c r="A432" s="37"/>
      <c r="B432" s="37"/>
      <c r="C432" s="37"/>
      <c r="D432" s="37"/>
      <c r="E432" s="36"/>
      <c r="F432" s="36"/>
      <c r="G432" s="36" t="str">
        <f t="shared" si="8"/>
        <v/>
      </c>
      <c r="H432" s="37"/>
    </row>
    <row r="433">
      <c r="A433" s="37"/>
      <c r="B433" s="37"/>
      <c r="C433" s="37"/>
      <c r="D433" s="37"/>
      <c r="E433" s="36"/>
      <c r="F433" s="36"/>
      <c r="G433" s="36" t="str">
        <f t="shared" si="8"/>
        <v/>
      </c>
      <c r="H433" s="37"/>
    </row>
    <row r="434">
      <c r="A434" s="37"/>
      <c r="B434" s="37"/>
      <c r="C434" s="37"/>
      <c r="D434" s="37"/>
      <c r="E434" s="36"/>
      <c r="F434" s="36"/>
      <c r="G434" s="36" t="str">
        <f t="shared" si="8"/>
        <v/>
      </c>
      <c r="H434" s="37"/>
    </row>
    <row r="435">
      <c r="A435" s="37"/>
      <c r="B435" s="37"/>
      <c r="C435" s="37"/>
      <c r="D435" s="37"/>
      <c r="E435" s="36"/>
      <c r="F435" s="36"/>
      <c r="G435" s="36" t="str">
        <f t="shared" si="8"/>
        <v/>
      </c>
      <c r="H435" s="37"/>
    </row>
    <row r="436">
      <c r="A436" s="37"/>
      <c r="B436" s="37"/>
      <c r="C436" s="37"/>
      <c r="D436" s="37"/>
      <c r="E436" s="36"/>
      <c r="F436" s="36"/>
      <c r="G436" s="36" t="str">
        <f t="shared" si="8"/>
        <v/>
      </c>
      <c r="H436" s="37"/>
    </row>
    <row r="437">
      <c r="A437" s="37"/>
      <c r="B437" s="37"/>
      <c r="C437" s="37"/>
      <c r="D437" s="37"/>
      <c r="E437" s="36"/>
      <c r="F437" s="36"/>
      <c r="G437" s="36" t="str">
        <f t="shared" si="8"/>
        <v/>
      </c>
      <c r="H437" s="37"/>
    </row>
    <row r="438">
      <c r="A438" s="37"/>
      <c r="B438" s="37"/>
      <c r="C438" s="37"/>
      <c r="D438" s="37"/>
      <c r="E438" s="36"/>
      <c r="F438" s="36"/>
      <c r="G438" s="36" t="str">
        <f t="shared" si="8"/>
        <v/>
      </c>
      <c r="H438" s="37"/>
    </row>
    <row r="439">
      <c r="A439" s="37"/>
      <c r="B439" s="37"/>
      <c r="C439" s="37"/>
      <c r="D439" s="37"/>
      <c r="E439" s="36"/>
      <c r="F439" s="36"/>
      <c r="G439" s="36" t="str">
        <f t="shared" si="8"/>
        <v/>
      </c>
      <c r="H439" s="37"/>
    </row>
    <row r="440">
      <c r="A440" s="37"/>
      <c r="B440" s="37"/>
      <c r="C440" s="37"/>
      <c r="D440" s="37"/>
      <c r="E440" s="36"/>
      <c r="F440" s="36"/>
      <c r="G440" s="36" t="str">
        <f t="shared" si="8"/>
        <v/>
      </c>
      <c r="H440" s="37"/>
    </row>
    <row r="441">
      <c r="A441" s="37"/>
      <c r="B441" s="37"/>
      <c r="C441" s="37"/>
      <c r="D441" s="37"/>
      <c r="E441" s="36"/>
      <c r="F441" s="36"/>
      <c r="G441" s="36" t="str">
        <f t="shared" si="8"/>
        <v/>
      </c>
      <c r="H441" s="37"/>
    </row>
    <row r="442">
      <c r="A442" s="37"/>
      <c r="B442" s="37"/>
      <c r="C442" s="37"/>
      <c r="D442" s="37"/>
      <c r="E442" s="36"/>
      <c r="F442" s="36"/>
      <c r="G442" s="36" t="str">
        <f t="shared" si="8"/>
        <v/>
      </c>
      <c r="H442" s="37"/>
    </row>
    <row r="443">
      <c r="A443" s="37"/>
      <c r="B443" s="37"/>
      <c r="C443" s="37"/>
      <c r="D443" s="37"/>
      <c r="E443" s="36"/>
      <c r="F443" s="36"/>
      <c r="G443" s="36" t="str">
        <f t="shared" si="8"/>
        <v/>
      </c>
      <c r="H443" s="37"/>
    </row>
    <row r="444">
      <c r="A444" s="37"/>
      <c r="B444" s="37"/>
      <c r="C444" s="37"/>
      <c r="D444" s="37"/>
      <c r="E444" s="36"/>
      <c r="F444" s="36"/>
      <c r="G444" s="36" t="str">
        <f t="shared" si="8"/>
        <v/>
      </c>
      <c r="H444" s="37"/>
    </row>
    <row r="445">
      <c r="A445" s="37"/>
      <c r="B445" s="37"/>
      <c r="C445" s="37"/>
      <c r="D445" s="37"/>
      <c r="E445" s="36"/>
      <c r="F445" s="36"/>
      <c r="G445" s="36" t="str">
        <f t="shared" si="8"/>
        <v/>
      </c>
      <c r="H445" s="37"/>
    </row>
    <row r="446">
      <c r="A446" s="37"/>
      <c r="B446" s="37"/>
      <c r="C446" s="37"/>
      <c r="D446" s="37"/>
      <c r="E446" s="36"/>
      <c r="F446" s="36"/>
      <c r="G446" s="36" t="str">
        <f t="shared" si="8"/>
        <v/>
      </c>
      <c r="H446" s="37"/>
    </row>
    <row r="447">
      <c r="A447" s="37"/>
      <c r="B447" s="37"/>
      <c r="C447" s="37"/>
      <c r="D447" s="37"/>
      <c r="E447" s="36"/>
      <c r="F447" s="36"/>
      <c r="G447" s="36" t="str">
        <f t="shared" si="8"/>
        <v/>
      </c>
      <c r="H447" s="37"/>
    </row>
    <row r="448">
      <c r="A448" s="37"/>
      <c r="B448" s="37"/>
      <c r="C448" s="37"/>
      <c r="D448" s="37"/>
      <c r="E448" s="36"/>
      <c r="F448" s="36"/>
      <c r="G448" s="36" t="str">
        <f t="shared" si="8"/>
        <v/>
      </c>
      <c r="H448" s="37"/>
    </row>
    <row r="449">
      <c r="A449" s="37"/>
      <c r="B449" s="37"/>
      <c r="C449" s="37"/>
      <c r="D449" s="37"/>
      <c r="E449" s="36"/>
      <c r="F449" s="36"/>
      <c r="G449" s="36" t="str">
        <f t="shared" si="8"/>
        <v/>
      </c>
      <c r="H449" s="37"/>
    </row>
    <row r="450">
      <c r="A450" s="37"/>
      <c r="B450" s="37"/>
      <c r="C450" s="37"/>
      <c r="D450" s="37"/>
      <c r="E450" s="36"/>
      <c r="F450" s="36"/>
      <c r="G450" s="36" t="str">
        <f t="shared" si="8"/>
        <v/>
      </c>
      <c r="H450" s="37"/>
    </row>
    <row r="451">
      <c r="A451" s="37"/>
      <c r="B451" s="37"/>
      <c r="C451" s="37"/>
      <c r="D451" s="37"/>
      <c r="E451" s="36"/>
      <c r="F451" s="36"/>
      <c r="G451" s="36" t="str">
        <f t="shared" si="8"/>
        <v/>
      </c>
      <c r="H451" s="37"/>
    </row>
    <row r="452">
      <c r="A452" s="37"/>
      <c r="B452" s="37"/>
      <c r="C452" s="37"/>
      <c r="D452" s="37"/>
      <c r="E452" s="36"/>
      <c r="F452" s="36"/>
      <c r="G452" s="36" t="str">
        <f t="shared" si="8"/>
        <v/>
      </c>
      <c r="H452" s="37"/>
    </row>
    <row r="453">
      <c r="A453" s="37"/>
      <c r="B453" s="37"/>
      <c r="C453" s="37"/>
      <c r="D453" s="37"/>
      <c r="E453" s="36"/>
      <c r="F453" s="36"/>
      <c r="G453" s="36" t="str">
        <f t="shared" si="8"/>
        <v/>
      </c>
      <c r="H453" s="37"/>
    </row>
    <row r="454">
      <c r="A454" s="37"/>
      <c r="B454" s="37"/>
      <c r="C454" s="37"/>
      <c r="D454" s="37"/>
      <c r="E454" s="36"/>
      <c r="F454" s="36"/>
      <c r="G454" s="36" t="str">
        <f t="shared" si="8"/>
        <v/>
      </c>
      <c r="H454" s="37"/>
    </row>
    <row r="455">
      <c r="A455" s="37"/>
      <c r="B455" s="37"/>
      <c r="C455" s="37"/>
      <c r="D455" s="37"/>
      <c r="E455" s="36"/>
      <c r="F455" s="36"/>
      <c r="G455" s="36" t="str">
        <f t="shared" si="8"/>
        <v/>
      </c>
      <c r="H455" s="37"/>
    </row>
    <row r="456">
      <c r="A456" s="37"/>
      <c r="B456" s="37"/>
      <c r="C456" s="37"/>
      <c r="D456" s="37"/>
      <c r="E456" s="36"/>
      <c r="F456" s="36"/>
      <c r="G456" s="36" t="str">
        <f t="shared" si="8"/>
        <v/>
      </c>
      <c r="H456" s="37"/>
    </row>
    <row r="457">
      <c r="A457" s="37"/>
      <c r="B457" s="37"/>
      <c r="C457" s="37"/>
      <c r="D457" s="37"/>
      <c r="E457" s="36"/>
      <c r="F457" s="36"/>
      <c r="G457" s="36" t="str">
        <f t="shared" si="8"/>
        <v/>
      </c>
      <c r="H457" s="37"/>
    </row>
    <row r="458">
      <c r="A458" s="37"/>
      <c r="B458" s="37"/>
      <c r="C458" s="37"/>
      <c r="D458" s="37"/>
      <c r="E458" s="36"/>
      <c r="F458" s="36"/>
      <c r="G458" s="36" t="str">
        <f t="shared" si="8"/>
        <v/>
      </c>
      <c r="H458" s="37"/>
    </row>
    <row r="459">
      <c r="A459" s="37"/>
      <c r="B459" s="37"/>
      <c r="C459" s="37"/>
      <c r="D459" s="37"/>
      <c r="E459" s="36"/>
      <c r="F459" s="36"/>
      <c r="G459" s="36" t="str">
        <f t="shared" si="8"/>
        <v/>
      </c>
      <c r="H459" s="37"/>
    </row>
    <row r="460">
      <c r="A460" s="37"/>
      <c r="B460" s="37"/>
      <c r="C460" s="37"/>
      <c r="D460" s="37"/>
      <c r="E460" s="36"/>
      <c r="F460" s="36"/>
      <c r="G460" s="36" t="str">
        <f t="shared" si="8"/>
        <v/>
      </c>
      <c r="H460" s="37"/>
    </row>
    <row r="461">
      <c r="A461" s="37"/>
      <c r="B461" s="37"/>
      <c r="C461" s="37"/>
      <c r="D461" s="37"/>
      <c r="E461" s="36"/>
      <c r="F461" s="36"/>
      <c r="G461" s="36" t="str">
        <f t="shared" si="8"/>
        <v/>
      </c>
      <c r="H461" s="37"/>
    </row>
    <row r="462">
      <c r="A462" s="37"/>
      <c r="B462" s="37"/>
      <c r="C462" s="37"/>
      <c r="D462" s="37"/>
      <c r="E462" s="36"/>
      <c r="F462" s="36"/>
      <c r="G462" s="36" t="str">
        <f t="shared" si="8"/>
        <v/>
      </c>
      <c r="H462" s="37"/>
    </row>
    <row r="463">
      <c r="A463" s="37"/>
      <c r="B463" s="37"/>
      <c r="C463" s="37"/>
      <c r="D463" s="37"/>
      <c r="E463" s="36"/>
      <c r="F463" s="36"/>
      <c r="G463" s="36" t="str">
        <f t="shared" si="8"/>
        <v/>
      </c>
      <c r="H463" s="37"/>
    </row>
    <row r="464">
      <c r="A464" s="37"/>
      <c r="B464" s="37"/>
      <c r="C464" s="37"/>
      <c r="D464" s="37"/>
      <c r="E464" s="36"/>
      <c r="F464" s="36"/>
      <c r="G464" s="36" t="str">
        <f t="shared" si="8"/>
        <v/>
      </c>
      <c r="H464" s="37"/>
    </row>
    <row r="465">
      <c r="A465" s="37"/>
      <c r="B465" s="37"/>
      <c r="C465" s="37"/>
      <c r="D465" s="37"/>
      <c r="E465" s="36"/>
      <c r="F465" s="36"/>
      <c r="G465" s="36" t="str">
        <f t="shared" si="8"/>
        <v/>
      </c>
      <c r="H465" s="37"/>
    </row>
    <row r="466">
      <c r="A466" s="37"/>
      <c r="B466" s="37"/>
      <c r="C466" s="37"/>
      <c r="D466" s="37"/>
      <c r="E466" s="36"/>
      <c r="F466" s="36"/>
      <c r="G466" s="36" t="str">
        <f t="shared" si="8"/>
        <v/>
      </c>
      <c r="H466" s="37"/>
    </row>
    <row r="467">
      <c r="A467" s="37"/>
      <c r="B467" s="37"/>
      <c r="C467" s="37"/>
      <c r="D467" s="37"/>
      <c r="E467" s="36"/>
      <c r="F467" s="36"/>
      <c r="G467" s="36" t="str">
        <f t="shared" si="8"/>
        <v/>
      </c>
      <c r="H467" s="37"/>
    </row>
    <row r="468">
      <c r="A468" s="37"/>
      <c r="B468" s="37"/>
      <c r="C468" s="37"/>
      <c r="D468" s="37"/>
      <c r="E468" s="36"/>
      <c r="F468" s="36"/>
      <c r="G468" s="36" t="str">
        <f t="shared" si="8"/>
        <v/>
      </c>
      <c r="H468" s="37"/>
    </row>
    <row r="469">
      <c r="A469" s="37"/>
      <c r="B469" s="37"/>
      <c r="C469" s="37"/>
      <c r="D469" s="37"/>
      <c r="E469" s="36"/>
      <c r="F469" s="36"/>
      <c r="G469" s="36" t="str">
        <f t="shared" si="8"/>
        <v/>
      </c>
      <c r="H469" s="37"/>
    </row>
    <row r="470">
      <c r="A470" s="37"/>
      <c r="B470" s="37"/>
      <c r="C470" s="37"/>
      <c r="D470" s="37"/>
      <c r="E470" s="36"/>
      <c r="F470" s="36"/>
      <c r="G470" s="36" t="str">
        <f t="shared" si="8"/>
        <v/>
      </c>
      <c r="H470" s="37"/>
    </row>
    <row r="471">
      <c r="A471" s="37"/>
      <c r="B471" s="37"/>
      <c r="C471" s="37"/>
      <c r="D471" s="37"/>
      <c r="E471" s="36"/>
      <c r="F471" s="36"/>
      <c r="G471" s="36" t="str">
        <f t="shared" si="8"/>
        <v/>
      </c>
      <c r="H471" s="37"/>
    </row>
    <row r="472">
      <c r="A472" s="37"/>
      <c r="B472" s="37"/>
      <c r="C472" s="37"/>
      <c r="D472" s="37"/>
      <c r="E472" s="36"/>
      <c r="F472" s="36"/>
      <c r="G472" s="36" t="str">
        <f t="shared" si="8"/>
        <v/>
      </c>
      <c r="H472" s="37"/>
    </row>
    <row r="473">
      <c r="A473" s="37"/>
      <c r="B473" s="37"/>
      <c r="C473" s="37"/>
      <c r="D473" s="37"/>
      <c r="E473" s="36"/>
      <c r="F473" s="36"/>
      <c r="G473" s="36" t="str">
        <f t="shared" si="8"/>
        <v/>
      </c>
      <c r="H473" s="37"/>
    </row>
    <row r="474">
      <c r="A474" s="37"/>
      <c r="B474" s="37"/>
      <c r="C474" s="37"/>
      <c r="D474" s="37"/>
      <c r="E474" s="36"/>
      <c r="F474" s="36"/>
      <c r="G474" s="36" t="str">
        <f t="shared" si="8"/>
        <v/>
      </c>
      <c r="H474" s="37"/>
    </row>
    <row r="475">
      <c r="A475" s="37"/>
      <c r="B475" s="37"/>
      <c r="C475" s="37"/>
      <c r="D475" s="37"/>
      <c r="E475" s="36"/>
      <c r="F475" s="36"/>
      <c r="G475" s="36" t="str">
        <f t="shared" si="8"/>
        <v/>
      </c>
      <c r="H475" s="37"/>
    </row>
    <row r="476">
      <c r="A476" s="37"/>
      <c r="B476" s="37"/>
      <c r="C476" s="37"/>
      <c r="D476" s="37"/>
      <c r="E476" s="36"/>
      <c r="F476" s="36"/>
      <c r="G476" s="36" t="str">
        <f t="shared" si="8"/>
        <v/>
      </c>
      <c r="H476" s="37"/>
    </row>
    <row r="477">
      <c r="A477" s="37"/>
      <c r="B477" s="37"/>
      <c r="C477" s="37"/>
      <c r="D477" s="37"/>
      <c r="E477" s="36"/>
      <c r="F477" s="36"/>
      <c r="G477" s="36" t="str">
        <f t="shared" si="8"/>
        <v/>
      </c>
      <c r="H477" s="37"/>
    </row>
    <row r="478">
      <c r="A478" s="37"/>
      <c r="B478" s="37"/>
      <c r="C478" s="37"/>
      <c r="D478" s="37"/>
      <c r="E478" s="36"/>
      <c r="F478" s="36"/>
      <c r="G478" s="36" t="str">
        <f t="shared" si="8"/>
        <v/>
      </c>
      <c r="H478" s="37"/>
    </row>
    <row r="479">
      <c r="A479" s="37"/>
      <c r="B479" s="37"/>
      <c r="C479" s="37"/>
      <c r="D479" s="37"/>
      <c r="E479" s="36"/>
      <c r="F479" s="36"/>
      <c r="G479" s="36" t="str">
        <f t="shared" si="8"/>
        <v/>
      </c>
      <c r="H479" s="37"/>
    </row>
    <row r="480">
      <c r="A480" s="37"/>
      <c r="B480" s="37"/>
      <c r="C480" s="37"/>
      <c r="D480" s="37"/>
      <c r="E480" s="36"/>
      <c r="F480" s="36"/>
      <c r="G480" s="36" t="str">
        <f t="shared" si="8"/>
        <v/>
      </c>
      <c r="H480" s="37"/>
    </row>
    <row r="481">
      <c r="A481" s="37"/>
      <c r="B481" s="37"/>
      <c r="C481" s="37"/>
      <c r="D481" s="37"/>
      <c r="E481" s="36"/>
      <c r="F481" s="36"/>
      <c r="G481" s="36" t="str">
        <f t="shared" si="8"/>
        <v/>
      </c>
      <c r="H481" s="37"/>
    </row>
    <row r="482">
      <c r="A482" s="37"/>
      <c r="B482" s="37"/>
      <c r="C482" s="37"/>
      <c r="D482" s="37"/>
      <c r="E482" s="36"/>
      <c r="F482" s="36"/>
      <c r="G482" s="36" t="str">
        <f t="shared" si="8"/>
        <v/>
      </c>
      <c r="H482" s="37"/>
    </row>
    <row r="483">
      <c r="A483" s="37"/>
      <c r="B483" s="37"/>
      <c r="C483" s="37"/>
      <c r="D483" s="37"/>
      <c r="E483" s="36"/>
      <c r="F483" s="36"/>
      <c r="G483" s="36" t="str">
        <f t="shared" si="8"/>
        <v/>
      </c>
      <c r="H483" s="37"/>
    </row>
    <row r="484">
      <c r="A484" s="37"/>
      <c r="B484" s="37"/>
      <c r="C484" s="37"/>
      <c r="D484" s="37"/>
      <c r="E484" s="36"/>
      <c r="F484" s="36"/>
      <c r="G484" s="36" t="str">
        <f t="shared" si="8"/>
        <v/>
      </c>
      <c r="H484" s="37"/>
    </row>
    <row r="485">
      <c r="A485" s="37"/>
      <c r="B485" s="37"/>
      <c r="C485" s="37"/>
      <c r="D485" s="37"/>
      <c r="E485" s="36"/>
      <c r="F485" s="36"/>
      <c r="G485" s="36" t="str">
        <f t="shared" si="8"/>
        <v/>
      </c>
      <c r="H485" s="37"/>
    </row>
    <row r="486">
      <c r="A486" s="37"/>
      <c r="B486" s="37"/>
      <c r="C486" s="37"/>
      <c r="D486" s="37"/>
      <c r="E486" s="36"/>
      <c r="F486" s="36"/>
      <c r="G486" s="36" t="str">
        <f t="shared" si="8"/>
        <v/>
      </c>
      <c r="H486" s="37"/>
    </row>
    <row r="487">
      <c r="A487" s="37"/>
      <c r="B487" s="37"/>
      <c r="C487" s="37"/>
      <c r="D487" s="37"/>
      <c r="E487" s="36"/>
      <c r="F487" s="36"/>
      <c r="G487" s="36" t="str">
        <f t="shared" si="8"/>
        <v/>
      </c>
      <c r="H487" s="37"/>
    </row>
    <row r="488">
      <c r="A488" s="37"/>
      <c r="B488" s="37"/>
      <c r="C488" s="37"/>
      <c r="D488" s="37"/>
      <c r="E488" s="36"/>
      <c r="F488" s="36"/>
      <c r="G488" s="36" t="str">
        <f t="shared" si="8"/>
        <v/>
      </c>
      <c r="H488" s="37"/>
    </row>
    <row r="489">
      <c r="A489" s="37"/>
      <c r="B489" s="37"/>
      <c r="C489" s="37"/>
      <c r="D489" s="37"/>
      <c r="E489" s="36"/>
      <c r="F489" s="36"/>
      <c r="G489" s="36" t="str">
        <f t="shared" si="8"/>
        <v/>
      </c>
      <c r="H489" s="37"/>
    </row>
    <row r="490">
      <c r="A490" s="37"/>
      <c r="B490" s="37"/>
      <c r="C490" s="37"/>
      <c r="D490" s="37"/>
      <c r="E490" s="36"/>
      <c r="F490" s="36"/>
      <c r="G490" s="36" t="str">
        <f t="shared" si="8"/>
        <v/>
      </c>
      <c r="H490" s="37"/>
    </row>
    <row r="491">
      <c r="A491" s="37"/>
      <c r="B491" s="37"/>
      <c r="C491" s="37"/>
      <c r="D491" s="37"/>
      <c r="E491" s="36"/>
      <c r="F491" s="36"/>
      <c r="G491" s="36" t="str">
        <f t="shared" si="8"/>
        <v/>
      </c>
      <c r="H491" s="37"/>
    </row>
    <row r="492">
      <c r="A492" s="37"/>
      <c r="B492" s="37"/>
      <c r="C492" s="37"/>
      <c r="D492" s="37"/>
      <c r="E492" s="36"/>
      <c r="F492" s="36"/>
      <c r="G492" s="36" t="str">
        <f t="shared" si="8"/>
        <v/>
      </c>
      <c r="H492" s="37"/>
    </row>
    <row r="493">
      <c r="A493" s="37"/>
      <c r="B493" s="37"/>
      <c r="C493" s="37"/>
      <c r="D493" s="37"/>
      <c r="E493" s="36"/>
      <c r="F493" s="36"/>
      <c r="G493" s="36" t="str">
        <f t="shared" si="8"/>
        <v/>
      </c>
      <c r="H493" s="37"/>
    </row>
    <row r="494">
      <c r="A494" s="37"/>
      <c r="B494" s="37"/>
      <c r="C494" s="37"/>
      <c r="D494" s="37"/>
      <c r="E494" s="36"/>
      <c r="F494" s="36"/>
      <c r="G494" s="36" t="str">
        <f t="shared" si="8"/>
        <v/>
      </c>
      <c r="H494" s="37"/>
    </row>
    <row r="495">
      <c r="A495" s="37"/>
      <c r="B495" s="37"/>
      <c r="C495" s="37"/>
      <c r="D495" s="37"/>
      <c r="E495" s="36"/>
      <c r="F495" s="36"/>
      <c r="G495" s="36" t="str">
        <f t="shared" si="8"/>
        <v/>
      </c>
      <c r="H495" s="37"/>
    </row>
    <row r="496">
      <c r="A496" s="37"/>
      <c r="B496" s="37"/>
      <c r="C496" s="37"/>
      <c r="D496" s="37"/>
      <c r="E496" s="36"/>
      <c r="F496" s="36"/>
      <c r="G496" s="36" t="str">
        <f t="shared" si="8"/>
        <v/>
      </c>
      <c r="H496" s="37"/>
    </row>
    <row r="497">
      <c r="A497" s="37"/>
      <c r="B497" s="37"/>
      <c r="C497" s="37"/>
      <c r="D497" s="37"/>
      <c r="E497" s="36"/>
      <c r="F497" s="36"/>
      <c r="G497" s="36" t="str">
        <f t="shared" si="8"/>
        <v/>
      </c>
      <c r="H497" s="37"/>
    </row>
    <row r="498">
      <c r="A498" s="37"/>
      <c r="B498" s="37"/>
      <c r="C498" s="37"/>
      <c r="D498" s="37"/>
      <c r="E498" s="36"/>
      <c r="F498" s="36"/>
      <c r="G498" s="36" t="str">
        <f t="shared" si="8"/>
        <v/>
      </c>
      <c r="H498" s="37"/>
    </row>
    <row r="499">
      <c r="A499" s="37"/>
      <c r="B499" s="37"/>
      <c r="C499" s="37"/>
      <c r="D499" s="37"/>
      <c r="E499" s="36"/>
      <c r="F499" s="36"/>
      <c r="G499" s="36" t="str">
        <f t="shared" si="8"/>
        <v/>
      </c>
      <c r="H499" s="37"/>
    </row>
    <row r="500">
      <c r="A500" s="37"/>
      <c r="B500" s="37"/>
      <c r="C500" s="37"/>
      <c r="D500" s="37"/>
      <c r="E500" s="36"/>
      <c r="F500" s="36"/>
      <c r="G500" s="36" t="str">
        <f t="shared" si="8"/>
        <v/>
      </c>
      <c r="H500" s="37"/>
    </row>
    <row r="501">
      <c r="A501" s="37"/>
      <c r="B501" s="37"/>
      <c r="C501" s="37"/>
      <c r="D501" s="37"/>
      <c r="E501" s="36"/>
      <c r="F501" s="36"/>
      <c r="G501" s="36" t="str">
        <f t="shared" si="8"/>
        <v/>
      </c>
      <c r="H501" s="37"/>
    </row>
    <row r="502">
      <c r="A502" s="37"/>
      <c r="B502" s="37"/>
      <c r="C502" s="37"/>
      <c r="D502" s="37"/>
      <c r="E502" s="36"/>
      <c r="F502" s="36"/>
      <c r="G502" s="36" t="str">
        <f t="shared" si="8"/>
        <v/>
      </c>
      <c r="H502" s="37"/>
    </row>
    <row r="503">
      <c r="A503" s="37"/>
      <c r="B503" s="37"/>
      <c r="C503" s="37"/>
      <c r="D503" s="37"/>
      <c r="E503" s="36"/>
      <c r="F503" s="36"/>
      <c r="G503" s="36" t="str">
        <f t="shared" si="8"/>
        <v/>
      </c>
      <c r="H503" s="37"/>
    </row>
    <row r="504">
      <c r="A504" s="37"/>
      <c r="B504" s="37"/>
      <c r="C504" s="37"/>
      <c r="D504" s="37"/>
      <c r="E504" s="36"/>
      <c r="F504" s="36"/>
      <c r="G504" s="36" t="str">
        <f t="shared" si="8"/>
        <v/>
      </c>
      <c r="H504" s="37"/>
    </row>
    <row r="505">
      <c r="E505" s="6"/>
      <c r="F505" s="6"/>
      <c r="G505" s="6"/>
    </row>
    <row r="506">
      <c r="A506" s="25" t="s">
        <v>1018</v>
      </c>
      <c r="B506" s="64"/>
      <c r="C506" s="64"/>
      <c r="D506" s="64"/>
      <c r="E506" s="59">
        <f t="shared" ref="E506:G506" si="9">SUM(E21:E504)</f>
        <v>2287954.21</v>
      </c>
      <c r="F506" s="59">
        <f t="shared" si="9"/>
        <v>0</v>
      </c>
      <c r="G506" s="59">
        <f t="shared" si="9"/>
        <v>2287954.21</v>
      </c>
      <c r="H506" s="64"/>
    </row>
  </sheetData>
  <mergeCells count="3">
    <mergeCell ref="A1:H1"/>
    <mergeCell ref="A3:D3"/>
    <mergeCell ref="A19:H19"/>
  </mergeCells>
  <dataValidations>
    <dataValidation type="list" allowBlank="1" sqref="C504">
      <formula1>Settings!$E$15:$E$35</formula1>
    </dataValidation>
    <dataValidation type="list" allowBlank="1" sqref="C20:C502">
      <formula1>Settings!$E$15:$E$38</formula1>
    </dataValidation>
    <dataValidation type="list" allowBlank="1" sqref="D20:D502">
      <formula1>Settings!$C$15:$C$30</formula1>
    </dataValidation>
    <dataValidation type="list" allowBlank="1" sqref="D503">
      <formula1>Settings!$C$15:$C$31</formula1>
    </dataValidation>
    <dataValidation type="list" allowBlank="1" sqref="D504">
      <formula1>Settings!$C$15:$C$17</formula1>
    </dataValidation>
    <dataValidation type="list" allowBlank="1" sqref="C503">
      <formula1>Settings!$E$15:$E$36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2465</v>
      </c>
    </row>
    <row r="3">
      <c r="A3" s="33" t="s">
        <v>95</v>
      </c>
      <c r="B3" s="33" t="s">
        <v>23</v>
      </c>
      <c r="C3" s="33" t="s">
        <v>24</v>
      </c>
      <c r="D3" s="33" t="s">
        <v>25</v>
      </c>
      <c r="E3" s="33" t="s">
        <v>26</v>
      </c>
      <c r="F3" s="33" t="s">
        <v>27</v>
      </c>
      <c r="G3" s="33" t="s">
        <v>96</v>
      </c>
    </row>
    <row r="4">
      <c r="A4" s="34" t="s">
        <v>72</v>
      </c>
      <c r="B4" s="35">
        <v>434112.04000000004</v>
      </c>
      <c r="C4" s="66">
        <v>523890.31</v>
      </c>
      <c r="D4" s="66">
        <v>2648.41</v>
      </c>
      <c r="E4" s="66">
        <v>247686.43</v>
      </c>
      <c r="F4" s="36">
        <f t="shared" ref="F4:F7" si="1">B4+C4-D4-E4</f>
        <v>707667.51</v>
      </c>
      <c r="G4" s="37"/>
    </row>
    <row r="5">
      <c r="A5" s="34" t="s">
        <v>74</v>
      </c>
      <c r="B5" s="35">
        <v>192798.65999999992</v>
      </c>
      <c r="C5" s="66">
        <v>125958.79</v>
      </c>
      <c r="D5" s="66">
        <v>0.0</v>
      </c>
      <c r="E5" s="66">
        <v>0.0</v>
      </c>
      <c r="F5" s="36">
        <f t="shared" si="1"/>
        <v>318757.45</v>
      </c>
      <c r="G5" s="37"/>
    </row>
    <row r="6">
      <c r="A6" s="34" t="s">
        <v>76</v>
      </c>
      <c r="B6" s="35">
        <v>1142712.08</v>
      </c>
      <c r="C6" s="66">
        <v>469481.29</v>
      </c>
      <c r="D6" s="66">
        <v>373.75</v>
      </c>
      <c r="E6" s="67">
        <v>800000.0</v>
      </c>
      <c r="F6" s="36">
        <f t="shared" si="1"/>
        <v>811819.62</v>
      </c>
      <c r="G6" s="37"/>
    </row>
    <row r="7">
      <c r="A7" s="34" t="s">
        <v>97</v>
      </c>
      <c r="B7" s="35">
        <v>715590.07</v>
      </c>
      <c r="C7" s="66">
        <v>1704751.75</v>
      </c>
      <c r="D7" s="66">
        <v>736.0</v>
      </c>
      <c r="E7" s="66">
        <v>2332513.45</v>
      </c>
      <c r="F7" s="36">
        <f t="shared" si="1"/>
        <v>87092.37</v>
      </c>
      <c r="G7" s="37"/>
    </row>
    <row r="8">
      <c r="A8" s="37"/>
      <c r="B8" s="36"/>
      <c r="C8" s="36"/>
      <c r="D8" s="36"/>
      <c r="E8" s="36"/>
      <c r="F8" s="36"/>
      <c r="G8" s="37"/>
    </row>
    <row r="9">
      <c r="A9" s="38" t="s">
        <v>98</v>
      </c>
      <c r="B9" s="39">
        <f t="shared" ref="B9:F9" si="2">SUM(B4:B7)</f>
        <v>2485212.85</v>
      </c>
      <c r="C9" s="39">
        <f t="shared" si="2"/>
        <v>2824082.14</v>
      </c>
      <c r="D9" s="39">
        <f t="shared" si="2"/>
        <v>3758.16</v>
      </c>
      <c r="E9" s="39">
        <f t="shared" si="2"/>
        <v>3380199.88</v>
      </c>
      <c r="F9" s="39">
        <f t="shared" si="2"/>
        <v>1925336.95</v>
      </c>
      <c r="G9" s="40"/>
    </row>
    <row r="10">
      <c r="B10" s="6"/>
      <c r="C10" s="6"/>
      <c r="D10" s="6"/>
      <c r="E10" s="6"/>
      <c r="F10" s="6"/>
    </row>
    <row r="11">
      <c r="A11" s="28" t="s">
        <v>99</v>
      </c>
    </row>
    <row r="12">
      <c r="A12" s="41" t="s">
        <v>95</v>
      </c>
      <c r="B12" s="42" t="s">
        <v>100</v>
      </c>
      <c r="C12" s="42" t="s">
        <v>101</v>
      </c>
      <c r="D12" s="42" t="s">
        <v>102</v>
      </c>
      <c r="E12" s="42" t="s">
        <v>103</v>
      </c>
      <c r="F12" s="42" t="s">
        <v>104</v>
      </c>
      <c r="G12" s="41" t="s">
        <v>96</v>
      </c>
    </row>
    <row r="13">
      <c r="A13" s="34" t="s">
        <v>78</v>
      </c>
      <c r="B13" s="35">
        <v>1093.6499999999542</v>
      </c>
      <c r="C13" s="66">
        <v>425120.58</v>
      </c>
      <c r="D13" s="66">
        <v>91.98</v>
      </c>
      <c r="E13" s="66">
        <v>425751.0</v>
      </c>
      <c r="F13" s="36">
        <f>B13+C13-D13-E13</f>
        <v>371.25</v>
      </c>
      <c r="G13" s="37"/>
    </row>
    <row r="14">
      <c r="A14" s="37"/>
      <c r="B14" s="36"/>
      <c r="C14" s="36"/>
      <c r="D14" s="36"/>
      <c r="E14" s="36"/>
      <c r="F14" s="36"/>
      <c r="G14" s="37"/>
    </row>
    <row r="15">
      <c r="A15" s="38" t="s">
        <v>105</v>
      </c>
      <c r="B15" s="39">
        <f t="shared" ref="B15:F15" si="3">SUM(B13)</f>
        <v>1093.65</v>
      </c>
      <c r="C15" s="39">
        <f t="shared" si="3"/>
        <v>425120.58</v>
      </c>
      <c r="D15" s="39">
        <f t="shared" si="3"/>
        <v>91.98</v>
      </c>
      <c r="E15" s="39">
        <f t="shared" si="3"/>
        <v>425751</v>
      </c>
      <c r="F15" s="39">
        <f t="shared" si="3"/>
        <v>371.25</v>
      </c>
      <c r="G15" s="40"/>
    </row>
    <row r="16">
      <c r="B16" s="6"/>
      <c r="C16" s="6"/>
      <c r="D16" s="6"/>
      <c r="E16" s="6"/>
      <c r="F16" s="6"/>
    </row>
    <row r="17">
      <c r="A17" s="43" t="s">
        <v>106</v>
      </c>
      <c r="B17" s="44">
        <f t="shared" ref="B17:F17" si="4">B9+B15*3.75</f>
        <v>2489314.038</v>
      </c>
      <c r="C17" s="44">
        <f t="shared" si="4"/>
        <v>4418284.315</v>
      </c>
      <c r="D17" s="44">
        <f t="shared" si="4"/>
        <v>4103.085</v>
      </c>
      <c r="E17" s="44">
        <f t="shared" si="4"/>
        <v>4976766.13</v>
      </c>
      <c r="F17" s="44">
        <f t="shared" si="4"/>
        <v>1926729.138</v>
      </c>
      <c r="G17" s="45"/>
    </row>
    <row r="19">
      <c r="A19" s="46" t="s">
        <v>107</v>
      </c>
      <c r="B19" s="47"/>
      <c r="C19" s="48"/>
    </row>
    <row r="20">
      <c r="A20" s="34" t="s">
        <v>108</v>
      </c>
      <c r="B20" s="37"/>
      <c r="C20" s="49">
        <f>F17</f>
        <v>1926729.138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4" width="18.88"/>
    <col customWidth="1" min="5" max="7" width="15.13"/>
  </cols>
  <sheetData>
    <row r="1">
      <c r="A1" s="22" t="s">
        <v>2466</v>
      </c>
    </row>
    <row r="3">
      <c r="A3" s="50" t="s">
        <v>110</v>
      </c>
      <c r="B3" s="51">
        <f>'Advances_MAY-2025'!E3</f>
        <v>472788.43</v>
      </c>
      <c r="D3" s="50" t="s">
        <v>111</v>
      </c>
      <c r="E3" s="52">
        <f>164800.84+SUM(E7:E101)</f>
        <v>504240.98</v>
      </c>
    </row>
    <row r="5">
      <c r="A5" s="7" t="s">
        <v>112</v>
      </c>
    </row>
    <row r="6">
      <c r="A6" s="41" t="s">
        <v>113</v>
      </c>
      <c r="B6" s="41" t="s">
        <v>114</v>
      </c>
      <c r="C6" s="41" t="s">
        <v>115</v>
      </c>
      <c r="D6" s="41" t="s">
        <v>116</v>
      </c>
      <c r="E6" s="41" t="s">
        <v>117</v>
      </c>
      <c r="F6" s="41" t="s">
        <v>118</v>
      </c>
      <c r="G6" s="41" t="s">
        <v>119</v>
      </c>
    </row>
    <row r="7">
      <c r="A7" s="63" t="s">
        <v>1022</v>
      </c>
      <c r="B7" s="60" t="s">
        <v>1023</v>
      </c>
      <c r="C7" s="60" t="s">
        <v>1024</v>
      </c>
      <c r="D7" s="37"/>
      <c r="E7" s="68">
        <v>1500.0</v>
      </c>
      <c r="F7" s="36"/>
      <c r="G7" s="36">
        <f>IF(E7="","",IF(H7="C/F",B$3,B$3+E7-F7))</f>
        <v>472788.43</v>
      </c>
      <c r="H7" s="5" t="str">
        <f>IF(B7="","",IF(IFERROR(MATCH(B7,'Advances_MAY-2025'!B:B,0),0)&gt;0,"C/F","NEW"))</f>
        <v>C/F</v>
      </c>
    </row>
    <row r="8">
      <c r="A8" s="60" t="s">
        <v>1025</v>
      </c>
      <c r="B8" s="60" t="s">
        <v>1026</v>
      </c>
      <c r="C8" s="60" t="s">
        <v>1027</v>
      </c>
      <c r="D8" s="37"/>
      <c r="E8" s="68">
        <v>350.0</v>
      </c>
      <c r="F8" s="36"/>
      <c r="G8" s="36">
        <f t="shared" ref="G8:G100" si="1">IF(E8="","",G7+IF(H8="C/F",0,E8)-F8)</f>
        <v>472788.43</v>
      </c>
      <c r="H8" s="5" t="str">
        <f>IF(B8="","",IF(IFERROR(MATCH(B8,'Advances_MAY-2025'!B:B,0),0)&gt;0,"C/F","NEW"))</f>
        <v>C/F</v>
      </c>
    </row>
    <row r="9">
      <c r="A9" s="60" t="s">
        <v>1025</v>
      </c>
      <c r="B9" s="60" t="s">
        <v>1026</v>
      </c>
      <c r="C9" s="60" t="s">
        <v>1028</v>
      </c>
      <c r="D9" s="37"/>
      <c r="E9" s="68">
        <v>143.48</v>
      </c>
      <c r="F9" s="36"/>
      <c r="G9" s="36">
        <f t="shared" si="1"/>
        <v>472788.43</v>
      </c>
      <c r="H9" s="5" t="str">
        <f>IF(B9="","",IF(IFERROR(MATCH(B9,'Advances_MAY-2025'!B:B,0),0)&gt;0,"C/F","NEW"))</f>
        <v>C/F</v>
      </c>
    </row>
    <row r="10">
      <c r="A10" s="60" t="s">
        <v>1025</v>
      </c>
      <c r="B10" s="60" t="s">
        <v>1026</v>
      </c>
      <c r="C10" s="60" t="s">
        <v>1028</v>
      </c>
      <c r="D10" s="37"/>
      <c r="E10" s="68">
        <v>600.0</v>
      </c>
      <c r="F10" s="36"/>
      <c r="G10" s="36">
        <f t="shared" si="1"/>
        <v>472788.43</v>
      </c>
      <c r="H10" s="5" t="str">
        <f>IF(B10="","",IF(IFERROR(MATCH(B10,'Advances_MAY-2025'!B:B,0),0)&gt;0,"C/F","NEW"))</f>
        <v>C/F</v>
      </c>
    </row>
    <row r="11">
      <c r="A11" s="60" t="s">
        <v>1029</v>
      </c>
      <c r="B11" s="60" t="s">
        <v>1688</v>
      </c>
      <c r="C11" s="60" t="s">
        <v>1689</v>
      </c>
      <c r="D11" s="37"/>
      <c r="E11" s="68">
        <v>2730.0</v>
      </c>
      <c r="F11" s="36"/>
      <c r="G11" s="36">
        <f t="shared" si="1"/>
        <v>472788.43</v>
      </c>
      <c r="H11" s="5" t="str">
        <f>IF(B11="","",IF(IFERROR(MATCH(B11,'Advances_MAY-2025'!B:B,0),0)&gt;0,"C/F","NEW"))</f>
        <v>C/F</v>
      </c>
    </row>
    <row r="12">
      <c r="A12" s="60" t="s">
        <v>1029</v>
      </c>
      <c r="B12" s="60" t="s">
        <v>1030</v>
      </c>
      <c r="C12" s="60" t="s">
        <v>1031</v>
      </c>
      <c r="D12" s="37"/>
      <c r="E12" s="68">
        <v>34000.0</v>
      </c>
      <c r="F12" s="36"/>
      <c r="G12" s="36">
        <f t="shared" si="1"/>
        <v>472788.43</v>
      </c>
      <c r="H12" s="5" t="str">
        <f>IF(B12="","",IF(IFERROR(MATCH(B12,'Advances_MAY-2025'!B:B,0),0)&gt;0,"C/F","NEW"))</f>
        <v>C/F</v>
      </c>
    </row>
    <row r="13">
      <c r="A13" s="60" t="s">
        <v>1032</v>
      </c>
      <c r="B13" s="60" t="s">
        <v>1033</v>
      </c>
      <c r="C13" s="60" t="s">
        <v>1034</v>
      </c>
      <c r="D13" s="37"/>
      <c r="E13" s="68">
        <v>500.0</v>
      </c>
      <c r="F13" s="36"/>
      <c r="G13" s="36">
        <f t="shared" si="1"/>
        <v>472788.43</v>
      </c>
      <c r="H13" s="5" t="str">
        <f>IF(B13="","",IF(IFERROR(MATCH(B13,'Advances_MAY-2025'!B:B,0),0)&gt;0,"C/F","NEW"))</f>
        <v>C/F</v>
      </c>
    </row>
    <row r="14">
      <c r="A14" s="69">
        <v>45298.0</v>
      </c>
      <c r="B14" s="60" t="s">
        <v>1035</v>
      </c>
      <c r="C14" s="60" t="s">
        <v>1036</v>
      </c>
      <c r="D14" s="37"/>
      <c r="E14" s="68">
        <v>4000.0</v>
      </c>
      <c r="F14" s="36"/>
      <c r="G14" s="36">
        <f t="shared" si="1"/>
        <v>472788.43</v>
      </c>
      <c r="H14" s="5" t="str">
        <f>IF(B14="","",IF(IFERROR(MATCH(B14,'Advances_MAY-2025'!B:B,0),0)&gt;0,"C/F","NEW"))</f>
        <v>C/F</v>
      </c>
    </row>
    <row r="15">
      <c r="A15" s="69">
        <v>45450.0</v>
      </c>
      <c r="B15" s="60" t="s">
        <v>1037</v>
      </c>
      <c r="C15" s="60" t="s">
        <v>1038</v>
      </c>
      <c r="D15" s="37"/>
      <c r="E15" s="68">
        <v>2790.0</v>
      </c>
      <c r="F15" s="36"/>
      <c r="G15" s="36">
        <f t="shared" si="1"/>
        <v>472788.43</v>
      </c>
      <c r="H15" s="5" t="str">
        <f>IF(B15="","",IF(IFERROR(MATCH(B15,'Advances_MAY-2025'!B:B,0),0)&gt;0,"C/F","NEW"))</f>
        <v>C/F</v>
      </c>
    </row>
    <row r="16">
      <c r="A16" s="60" t="s">
        <v>1039</v>
      </c>
      <c r="B16" s="60" t="s">
        <v>1040</v>
      </c>
      <c r="C16" s="60" t="s">
        <v>1041</v>
      </c>
      <c r="D16" s="37"/>
      <c r="E16" s="68">
        <v>74656.7</v>
      </c>
      <c r="F16" s="36"/>
      <c r="G16" s="36">
        <f t="shared" si="1"/>
        <v>472788.43</v>
      </c>
      <c r="H16" s="5" t="str">
        <f>IF(B16="","",IF(IFERROR(MATCH(B16,'Advances_MAY-2025'!B:B,0),0)&gt;0,"C/F","NEW"))</f>
        <v>C/F</v>
      </c>
    </row>
    <row r="17">
      <c r="A17" s="60" t="s">
        <v>1039</v>
      </c>
      <c r="B17" s="60" t="s">
        <v>1042</v>
      </c>
      <c r="C17" s="60" t="s">
        <v>1043</v>
      </c>
      <c r="D17" s="37"/>
      <c r="E17" s="68">
        <v>25655.23</v>
      </c>
      <c r="F17" s="36"/>
      <c r="G17" s="36">
        <f t="shared" si="1"/>
        <v>472788.43</v>
      </c>
      <c r="H17" s="5" t="str">
        <f>IF(B17="","",IF(IFERROR(MATCH(B17,'Advances_MAY-2025'!B:B,0),0)&gt;0,"C/F","NEW"))</f>
        <v>C/F</v>
      </c>
    </row>
    <row r="18">
      <c r="A18" s="60" t="s">
        <v>1044</v>
      </c>
      <c r="B18" s="60" t="s">
        <v>1045</v>
      </c>
      <c r="C18" s="60" t="s">
        <v>1046</v>
      </c>
      <c r="D18" s="37"/>
      <c r="E18" s="68">
        <v>5000.0</v>
      </c>
      <c r="F18" s="36"/>
      <c r="G18" s="36">
        <f t="shared" si="1"/>
        <v>472788.43</v>
      </c>
      <c r="H18" s="5" t="str">
        <f>IF(B18="","",IF(IFERROR(MATCH(B18,'Advances_MAY-2025'!B:B,0),0)&gt;0,"C/F","NEW"))</f>
        <v>C/F</v>
      </c>
    </row>
    <row r="19">
      <c r="A19" s="60" t="s">
        <v>1047</v>
      </c>
      <c r="B19" s="60" t="s">
        <v>1048</v>
      </c>
      <c r="C19" s="60" t="s">
        <v>1049</v>
      </c>
      <c r="D19" s="37"/>
      <c r="E19" s="68">
        <v>4650.0</v>
      </c>
      <c r="F19" s="36"/>
      <c r="G19" s="36">
        <f t="shared" si="1"/>
        <v>472788.43</v>
      </c>
      <c r="H19" s="5" t="str">
        <f>IF(B19="","",IF(IFERROR(MATCH(B19,'Advances_MAY-2025'!B:B,0),0)&gt;0,"C/F","NEW"))</f>
        <v>C/F</v>
      </c>
    </row>
    <row r="20">
      <c r="A20" s="60" t="s">
        <v>1050</v>
      </c>
      <c r="B20" s="60" t="s">
        <v>1051</v>
      </c>
      <c r="C20" s="60" t="s">
        <v>1052</v>
      </c>
      <c r="D20" s="37"/>
      <c r="E20" s="68">
        <v>500.0</v>
      </c>
      <c r="F20" s="36"/>
      <c r="G20" s="36">
        <f t="shared" si="1"/>
        <v>472788.43</v>
      </c>
      <c r="H20" s="5" t="str">
        <f>IF(B20="","",IF(IFERROR(MATCH(B20,'Advances_MAY-2025'!B:B,0),0)&gt;0,"C/F","NEW"))</f>
        <v>C/F</v>
      </c>
    </row>
    <row r="21">
      <c r="A21" s="60" t="s">
        <v>1712</v>
      </c>
      <c r="B21" s="60" t="s">
        <v>1713</v>
      </c>
      <c r="C21" s="60" t="s">
        <v>1714</v>
      </c>
      <c r="D21" s="37"/>
      <c r="E21" s="68">
        <v>2000.0</v>
      </c>
      <c r="F21" s="36"/>
      <c r="G21" s="36">
        <f t="shared" si="1"/>
        <v>472788.43</v>
      </c>
      <c r="H21" s="5" t="str">
        <f>IF(B21="","",IF(IFERROR(MATCH(B21,'Advances_MAY-2025'!B:B,0),0)&gt;0,"C/F","NEW"))</f>
        <v>C/F</v>
      </c>
    </row>
    <row r="22">
      <c r="A22" s="63" t="s">
        <v>1053</v>
      </c>
      <c r="B22" s="70"/>
      <c r="C22" s="60" t="s">
        <v>1054</v>
      </c>
      <c r="D22" s="37"/>
      <c r="E22" s="68">
        <v>16857.45</v>
      </c>
      <c r="F22" s="36"/>
      <c r="G22" s="36">
        <f t="shared" si="1"/>
        <v>489645.88</v>
      </c>
      <c r="H22" s="5" t="str">
        <f>IF(B22="","",IF(IFERROR(MATCH(B22,'Advances_MAY-2025'!B:B,0),0)&gt;0,"C/F","NEW"))</f>
        <v/>
      </c>
    </row>
    <row r="23">
      <c r="A23" s="60" t="s">
        <v>1053</v>
      </c>
      <c r="B23" s="60" t="s">
        <v>1715</v>
      </c>
      <c r="C23" s="60" t="s">
        <v>1716</v>
      </c>
      <c r="D23" s="37"/>
      <c r="E23" s="68">
        <v>2000.0</v>
      </c>
      <c r="F23" s="36"/>
      <c r="G23" s="36">
        <f t="shared" si="1"/>
        <v>489645.88</v>
      </c>
      <c r="H23" s="5" t="str">
        <f>IF(B23="","",IF(IFERROR(MATCH(B23,'Advances_MAY-2025'!B:B,0),0)&gt;0,"C/F","NEW"))</f>
        <v>C/F</v>
      </c>
    </row>
    <row r="24">
      <c r="A24" s="69">
        <v>45546.0</v>
      </c>
      <c r="B24" s="60" t="s">
        <v>1055</v>
      </c>
      <c r="C24" s="60" t="s">
        <v>1056</v>
      </c>
      <c r="D24" s="37"/>
      <c r="E24" s="68">
        <v>4450.0</v>
      </c>
      <c r="F24" s="36"/>
      <c r="G24" s="36">
        <f t="shared" si="1"/>
        <v>489645.88</v>
      </c>
      <c r="H24" s="5" t="str">
        <f>IF(B24="","",IF(IFERROR(MATCH(B24,'Advances_MAY-2025'!B:B,0),0)&gt;0,"C/F","NEW"))</f>
        <v>C/F</v>
      </c>
    </row>
    <row r="25">
      <c r="A25" s="71">
        <v>45637.0</v>
      </c>
      <c r="B25" s="60" t="s">
        <v>1057</v>
      </c>
      <c r="C25" s="60" t="s">
        <v>1058</v>
      </c>
      <c r="D25" s="37"/>
      <c r="E25" s="68">
        <v>80.0</v>
      </c>
      <c r="F25" s="36"/>
      <c r="G25" s="36">
        <f t="shared" si="1"/>
        <v>489645.88</v>
      </c>
      <c r="H25" s="5" t="str">
        <f>IF(B25="","",IF(IFERROR(MATCH(B25,'Advances_MAY-2025'!B:B,0),0)&gt;0,"C/F","NEW"))</f>
        <v>C/F</v>
      </c>
    </row>
    <row r="26">
      <c r="A26" s="71">
        <v>45577.0</v>
      </c>
      <c r="B26" s="60" t="s">
        <v>1059</v>
      </c>
      <c r="C26" s="60" t="s">
        <v>1043</v>
      </c>
      <c r="D26" s="37"/>
      <c r="E26" s="68">
        <v>49001.48</v>
      </c>
      <c r="F26" s="36"/>
      <c r="G26" s="36">
        <f t="shared" si="1"/>
        <v>489645.88</v>
      </c>
      <c r="H26" s="5" t="str">
        <f>IF(B26="","",IF(IFERROR(MATCH(B26,'Advances_MAY-2025'!B:B,0),0)&gt;0,"C/F","NEW"))</f>
        <v>C/F</v>
      </c>
    </row>
    <row r="27">
      <c r="A27" s="60" t="s">
        <v>1729</v>
      </c>
      <c r="B27" s="60" t="s">
        <v>1732</v>
      </c>
      <c r="C27" s="60" t="s">
        <v>1733</v>
      </c>
      <c r="D27" s="37"/>
      <c r="E27" s="68">
        <v>7500.0</v>
      </c>
      <c r="F27" s="36"/>
      <c r="G27" s="36">
        <f t="shared" si="1"/>
        <v>489645.88</v>
      </c>
      <c r="H27" s="5" t="str">
        <f>IF(B27="","",IF(IFERROR(MATCH(B27,'Advances_MAY-2025'!B:B,0),0)&gt;0,"C/F","NEW"))</f>
        <v>C/F</v>
      </c>
    </row>
    <row r="28">
      <c r="A28" s="60" t="s">
        <v>1060</v>
      </c>
      <c r="B28" s="60" t="s">
        <v>1061</v>
      </c>
      <c r="C28" s="60" t="s">
        <v>1062</v>
      </c>
      <c r="D28" s="37"/>
      <c r="E28" s="68">
        <v>300.0</v>
      </c>
      <c r="F28" s="36"/>
      <c r="G28" s="36">
        <f t="shared" si="1"/>
        <v>489645.88</v>
      </c>
      <c r="H28" s="5" t="str">
        <f>IF(B28="","",IF(IFERROR(MATCH(B28,'Advances_MAY-2025'!B:B,0),0)&gt;0,"C/F","NEW"))</f>
        <v>C/F</v>
      </c>
    </row>
    <row r="29">
      <c r="A29" s="60" t="s">
        <v>1063</v>
      </c>
      <c r="B29" s="60" t="s">
        <v>1064</v>
      </c>
      <c r="C29" s="60" t="s">
        <v>1065</v>
      </c>
      <c r="D29" s="37"/>
      <c r="E29" s="68">
        <v>150.0</v>
      </c>
      <c r="F29" s="36"/>
      <c r="G29" s="36">
        <f t="shared" si="1"/>
        <v>489645.88</v>
      </c>
      <c r="H29" s="5" t="str">
        <f>IF(B29="","",IF(IFERROR(MATCH(B29,'Advances_MAY-2025'!B:B,0),0)&gt;0,"C/F","NEW"))</f>
        <v>C/F</v>
      </c>
    </row>
    <row r="30">
      <c r="A30" s="69">
        <v>45901.0</v>
      </c>
      <c r="B30" s="60" t="s">
        <v>1739</v>
      </c>
      <c r="C30" s="60" t="s">
        <v>1740</v>
      </c>
      <c r="D30" s="37"/>
      <c r="E30" s="68">
        <v>450.0</v>
      </c>
      <c r="F30" s="36"/>
      <c r="G30" s="36">
        <f t="shared" si="1"/>
        <v>489645.88</v>
      </c>
      <c r="H30" s="5" t="str">
        <f>IF(B30="","",IF(IFERROR(MATCH(B30,'Advances_MAY-2025'!B:B,0),0)&gt;0,"C/F","NEW"))</f>
        <v>C/F</v>
      </c>
    </row>
    <row r="31">
      <c r="A31" s="60" t="s">
        <v>1066</v>
      </c>
      <c r="B31" s="60" t="s">
        <v>1067</v>
      </c>
      <c r="C31" s="60" t="s">
        <v>1068</v>
      </c>
      <c r="D31" s="37"/>
      <c r="E31" s="68">
        <v>51310.45</v>
      </c>
      <c r="F31" s="36"/>
      <c r="G31" s="36">
        <f t="shared" si="1"/>
        <v>489645.88</v>
      </c>
      <c r="H31" s="5" t="str">
        <f>IF(B31="","",IF(IFERROR(MATCH(B31,'Advances_MAY-2025'!B:B,0),0)&gt;0,"C/F","NEW"))</f>
        <v>C/F</v>
      </c>
    </row>
    <row r="32">
      <c r="A32" s="69">
        <v>45749.0</v>
      </c>
      <c r="B32" s="60" t="s">
        <v>1069</v>
      </c>
      <c r="C32" s="60" t="s">
        <v>1070</v>
      </c>
      <c r="D32" s="37"/>
      <c r="E32" s="68">
        <v>200.0</v>
      </c>
      <c r="F32" s="36"/>
      <c r="G32" s="36">
        <f t="shared" si="1"/>
        <v>489645.88</v>
      </c>
      <c r="H32" s="5" t="str">
        <f>IF(B32="","",IF(IFERROR(MATCH(B32,'Advances_MAY-2025'!B:B,0),0)&gt;0,"C/F","NEW"))</f>
        <v>C/F</v>
      </c>
    </row>
    <row r="33">
      <c r="A33" s="60" t="s">
        <v>1071</v>
      </c>
      <c r="B33" s="60" t="s">
        <v>1072</v>
      </c>
      <c r="C33" s="60" t="s">
        <v>1073</v>
      </c>
      <c r="D33" s="37"/>
      <c r="E33" s="68">
        <v>334.8</v>
      </c>
      <c r="F33" s="36"/>
      <c r="G33" s="36">
        <f t="shared" si="1"/>
        <v>489645.88</v>
      </c>
      <c r="H33" s="5" t="str">
        <f>IF(B33="","",IF(IFERROR(MATCH(B33,'Advances_MAY-2025'!B:B,0),0)&gt;0,"C/F","NEW"))</f>
        <v>C/F</v>
      </c>
    </row>
    <row r="34">
      <c r="A34" s="60" t="s">
        <v>1071</v>
      </c>
      <c r="B34" s="60" t="s">
        <v>1072</v>
      </c>
      <c r="C34" s="60" t="s">
        <v>1074</v>
      </c>
      <c r="D34" s="37"/>
      <c r="E34" s="68">
        <v>300.0</v>
      </c>
      <c r="F34" s="36"/>
      <c r="G34" s="36">
        <f t="shared" si="1"/>
        <v>489645.88</v>
      </c>
      <c r="H34" s="5" t="str">
        <f>IF(B34="","",IF(IFERROR(MATCH(B34,'Advances_MAY-2025'!B:B,0),0)&gt;0,"C/F","NEW"))</f>
        <v>C/F</v>
      </c>
    </row>
    <row r="35">
      <c r="A35" s="60" t="s">
        <v>1071</v>
      </c>
      <c r="B35" s="60" t="s">
        <v>1072</v>
      </c>
      <c r="C35" s="60" t="s">
        <v>1073</v>
      </c>
      <c r="D35" s="37"/>
      <c r="E35" s="68">
        <v>350.0</v>
      </c>
      <c r="F35" s="36"/>
      <c r="G35" s="36">
        <f t="shared" si="1"/>
        <v>489645.88</v>
      </c>
      <c r="H35" s="5" t="str">
        <f>IF(B35="","",IF(IFERROR(MATCH(B35,'Advances_MAY-2025'!B:B,0),0)&gt;0,"C/F","NEW"))</f>
        <v>C/F</v>
      </c>
    </row>
    <row r="36">
      <c r="A36" s="60" t="s">
        <v>2073</v>
      </c>
      <c r="B36" s="60" t="s">
        <v>2074</v>
      </c>
      <c r="C36" s="60" t="s">
        <v>2075</v>
      </c>
      <c r="D36" s="37"/>
      <c r="E36" s="68">
        <v>900.0</v>
      </c>
      <c r="F36" s="36"/>
      <c r="G36" s="36">
        <f t="shared" si="1"/>
        <v>489645.88</v>
      </c>
      <c r="H36" s="5" t="str">
        <f>IF(B36="","",IF(IFERROR(MATCH(B36,'Advances_MAY-2025'!B:B,0),0)&gt;0,"C/F","NEW"))</f>
        <v>C/F</v>
      </c>
    </row>
    <row r="37">
      <c r="A37" s="69">
        <v>45781.0</v>
      </c>
      <c r="B37" s="60" t="s">
        <v>2184</v>
      </c>
      <c r="C37" s="60" t="s">
        <v>2185</v>
      </c>
      <c r="D37" s="37"/>
      <c r="E37" s="68">
        <v>900.0</v>
      </c>
      <c r="F37" s="36"/>
      <c r="G37" s="36">
        <f t="shared" si="1"/>
        <v>489645.88</v>
      </c>
      <c r="H37" s="5" t="str">
        <f>IF(B37="","",IF(IFERROR(MATCH(B37,'Advances_MAY-2025'!B:B,0),0)&gt;0,"C/F","NEW"))</f>
        <v>C/F</v>
      </c>
    </row>
    <row r="38">
      <c r="A38" s="69">
        <v>45781.0</v>
      </c>
      <c r="B38" s="60" t="s">
        <v>2184</v>
      </c>
      <c r="C38" s="60" t="s">
        <v>2186</v>
      </c>
      <c r="D38" s="37"/>
      <c r="E38" s="68">
        <v>1000.0</v>
      </c>
      <c r="F38" s="36"/>
      <c r="G38" s="36">
        <f t="shared" si="1"/>
        <v>489645.88</v>
      </c>
      <c r="H38" s="5" t="str">
        <f>IF(B38="","",IF(IFERROR(MATCH(B38,'Advances_MAY-2025'!B:B,0),0)&gt;0,"C/F","NEW"))</f>
        <v>C/F</v>
      </c>
    </row>
    <row r="39">
      <c r="A39" s="69">
        <v>45781.0</v>
      </c>
      <c r="B39" s="60" t="s">
        <v>2184</v>
      </c>
      <c r="C39" s="60" t="s">
        <v>2187</v>
      </c>
      <c r="D39" s="37"/>
      <c r="E39" s="68">
        <v>400.0</v>
      </c>
      <c r="F39" s="36"/>
      <c r="G39" s="36">
        <f t="shared" si="1"/>
        <v>489645.88</v>
      </c>
      <c r="H39" s="5" t="str">
        <f>IF(B39="","",IF(IFERROR(MATCH(B39,'Advances_MAY-2025'!B:B,0),0)&gt;0,"C/F","NEW"))</f>
        <v>C/F</v>
      </c>
    </row>
    <row r="40">
      <c r="A40" s="69">
        <v>45781.0</v>
      </c>
      <c r="B40" s="60" t="s">
        <v>2184</v>
      </c>
      <c r="C40" s="60" t="s">
        <v>2188</v>
      </c>
      <c r="D40" s="37"/>
      <c r="E40" s="68">
        <v>450.0</v>
      </c>
      <c r="F40" s="36"/>
      <c r="G40" s="36">
        <f t="shared" si="1"/>
        <v>489645.88</v>
      </c>
      <c r="H40" s="5" t="str">
        <f>IF(B40="","",IF(IFERROR(MATCH(B40,'Advances_MAY-2025'!B:B,0),0)&gt;0,"C/F","NEW"))</f>
        <v>C/F</v>
      </c>
    </row>
    <row r="41">
      <c r="A41" s="69">
        <v>45781.0</v>
      </c>
      <c r="B41" s="60" t="s">
        <v>2184</v>
      </c>
      <c r="C41" s="60" t="s">
        <v>2189</v>
      </c>
      <c r="D41" s="37"/>
      <c r="E41" s="68">
        <v>500.0</v>
      </c>
      <c r="F41" s="36"/>
      <c r="G41" s="36">
        <f t="shared" si="1"/>
        <v>489645.88</v>
      </c>
      <c r="H41" s="5" t="str">
        <f>IF(B41="","",IF(IFERROR(MATCH(B41,'Advances_MAY-2025'!B:B,0),0)&gt;0,"C/F","NEW"))</f>
        <v>C/F</v>
      </c>
    </row>
    <row r="42">
      <c r="A42" s="69">
        <v>45812.0</v>
      </c>
      <c r="B42" s="60" t="s">
        <v>2190</v>
      </c>
      <c r="C42" s="60" t="s">
        <v>2191</v>
      </c>
      <c r="D42" s="37"/>
      <c r="E42" s="68">
        <v>1000.0</v>
      </c>
      <c r="F42" s="36"/>
      <c r="G42" s="36">
        <f t="shared" si="1"/>
        <v>489645.88</v>
      </c>
      <c r="H42" s="5" t="str">
        <f>IF(B42="","",IF(IFERROR(MATCH(B42,'Advances_MAY-2025'!B:B,0),0)&gt;0,"C/F","NEW"))</f>
        <v>C/F</v>
      </c>
    </row>
    <row r="43">
      <c r="A43" s="69">
        <v>45721.0</v>
      </c>
      <c r="B43" s="60" t="s">
        <v>2345</v>
      </c>
      <c r="C43" s="60" t="s">
        <v>2346</v>
      </c>
      <c r="D43" s="37"/>
      <c r="E43" s="68">
        <v>1500.0</v>
      </c>
      <c r="F43" s="36"/>
      <c r="G43" s="36">
        <f t="shared" si="1"/>
        <v>489645.88</v>
      </c>
      <c r="H43" s="5" t="str">
        <f>IF(B43="","",IF(IFERROR(MATCH(B43,'Advances_MAY-2025'!B:B,0),0)&gt;0,"C/F","NEW"))</f>
        <v>C/F</v>
      </c>
    </row>
    <row r="44">
      <c r="A44" s="69">
        <v>45752.0</v>
      </c>
      <c r="B44" s="60" t="s">
        <v>1075</v>
      </c>
      <c r="C44" s="60" t="s">
        <v>1076</v>
      </c>
      <c r="D44" s="37"/>
      <c r="E44" s="68">
        <v>200.0</v>
      </c>
      <c r="F44" s="36"/>
      <c r="G44" s="36">
        <f t="shared" si="1"/>
        <v>489645.88</v>
      </c>
      <c r="H44" s="5" t="str">
        <f>IF(B44="","",IF(IFERROR(MATCH(B44,'Advances_MAY-2025'!B:B,0),0)&gt;0,"C/F","NEW"))</f>
        <v>C/F</v>
      </c>
    </row>
    <row r="45">
      <c r="A45" s="60" t="s">
        <v>1077</v>
      </c>
      <c r="B45" s="60" t="s">
        <v>1078</v>
      </c>
      <c r="C45" s="60" t="s">
        <v>1079</v>
      </c>
      <c r="D45" s="37"/>
      <c r="E45" s="68">
        <v>170.0</v>
      </c>
      <c r="F45" s="36"/>
      <c r="G45" s="36">
        <f t="shared" si="1"/>
        <v>489645.88</v>
      </c>
      <c r="H45" s="5" t="str">
        <f>IF(B45="","",IF(IFERROR(MATCH(B45,'Advances_MAY-2025'!B:B,0),0)&gt;0,"C/F","NEW"))</f>
        <v>C/F</v>
      </c>
    </row>
    <row r="46">
      <c r="A46" s="60" t="s">
        <v>1194</v>
      </c>
      <c r="B46" s="60" t="s">
        <v>2348</v>
      </c>
      <c r="C46" s="60" t="s">
        <v>2349</v>
      </c>
      <c r="D46" s="37"/>
      <c r="E46" s="68">
        <v>1539.0</v>
      </c>
      <c r="F46" s="36"/>
      <c r="G46" s="36">
        <f t="shared" si="1"/>
        <v>489645.88</v>
      </c>
      <c r="H46" s="5" t="str">
        <f>IF(B46="","",IF(IFERROR(MATCH(B46,'Advances_MAY-2025'!B:B,0),0)&gt;0,"C/F","NEW"))</f>
        <v>C/F</v>
      </c>
    </row>
    <row r="47">
      <c r="A47" s="63" t="s">
        <v>1080</v>
      </c>
      <c r="B47" s="70"/>
      <c r="C47" s="60" t="s">
        <v>1081</v>
      </c>
      <c r="D47" s="37"/>
      <c r="E47" s="68">
        <v>219.0</v>
      </c>
      <c r="F47" s="36"/>
      <c r="G47" s="36">
        <f t="shared" si="1"/>
        <v>489864.88</v>
      </c>
      <c r="H47" s="5" t="str">
        <f>IF(B47="","",IF(IFERROR(MATCH(B47,'Advances_MAY-2025'!B:B,0),0)&gt;0,"C/F","NEW"))</f>
        <v/>
      </c>
    </row>
    <row r="48">
      <c r="A48" s="69">
        <v>45997.0</v>
      </c>
      <c r="B48" s="60" t="s">
        <v>1082</v>
      </c>
      <c r="C48" s="60" t="s">
        <v>1083</v>
      </c>
      <c r="D48" s="37"/>
      <c r="E48" s="68">
        <v>260.96</v>
      </c>
      <c r="F48" s="36"/>
      <c r="G48" s="36">
        <f t="shared" si="1"/>
        <v>490125.84</v>
      </c>
      <c r="H48" s="5" t="str">
        <f>IF(B48="","",IF(IFERROR(MATCH(B48,'Advances_MAY-2025'!B:B,0),0)&gt;0,"C/F","NEW"))</f>
        <v>NEW</v>
      </c>
    </row>
    <row r="49">
      <c r="A49" s="60" t="s">
        <v>2467</v>
      </c>
      <c r="B49" s="60" t="s">
        <v>2468</v>
      </c>
      <c r="C49" s="60" t="s">
        <v>2469</v>
      </c>
      <c r="D49" s="37"/>
      <c r="E49" s="68">
        <v>2000.0</v>
      </c>
      <c r="F49" s="36"/>
      <c r="G49" s="36">
        <f t="shared" si="1"/>
        <v>492125.84</v>
      </c>
      <c r="H49" s="5" t="str">
        <f>IF(B49="","",IF(IFERROR(MATCH(B49,'Advances_MAY-2025'!B:B,0),0)&gt;0,"C/F","NEW"))</f>
        <v>NEW</v>
      </c>
    </row>
    <row r="50">
      <c r="A50" s="60" t="s">
        <v>2470</v>
      </c>
      <c r="B50" s="60" t="s">
        <v>2471</v>
      </c>
      <c r="C50" s="60" t="s">
        <v>2472</v>
      </c>
      <c r="D50" s="37"/>
      <c r="E50" s="68">
        <v>782.0</v>
      </c>
      <c r="F50" s="36"/>
      <c r="G50" s="36">
        <f t="shared" si="1"/>
        <v>492907.84</v>
      </c>
      <c r="H50" s="5" t="str">
        <f>IF(B50="","",IF(IFERROR(MATCH(B50,'Advances_MAY-2025'!B:B,0),0)&gt;0,"C/F","NEW"))</f>
        <v>NEW</v>
      </c>
    </row>
    <row r="51">
      <c r="A51" s="60" t="s">
        <v>2470</v>
      </c>
      <c r="B51" s="60" t="s">
        <v>2471</v>
      </c>
      <c r="C51" s="60" t="s">
        <v>2473</v>
      </c>
      <c r="D51" s="37"/>
      <c r="E51" s="68">
        <v>44.59</v>
      </c>
      <c r="F51" s="36"/>
      <c r="G51" s="36">
        <f t="shared" si="1"/>
        <v>492952.43</v>
      </c>
      <c r="H51" s="5" t="str">
        <f>IF(B51="","",IF(IFERROR(MATCH(B51,'Advances_MAY-2025'!B:B,0),0)&gt;0,"C/F","NEW"))</f>
        <v>NEW</v>
      </c>
    </row>
    <row r="52">
      <c r="A52" s="60" t="s">
        <v>1084</v>
      </c>
      <c r="B52" s="60" t="s">
        <v>1085</v>
      </c>
      <c r="C52" s="60" t="s">
        <v>2474</v>
      </c>
      <c r="D52" s="37"/>
      <c r="E52" s="68">
        <v>170.0</v>
      </c>
      <c r="F52" s="36"/>
      <c r="G52" s="36">
        <f t="shared" si="1"/>
        <v>493122.43</v>
      </c>
      <c r="H52" s="5" t="str">
        <f>IF(B52="","",IF(IFERROR(MATCH(B52,'Advances_MAY-2025'!B:B,0),0)&gt;0,"C/F","NEW"))</f>
        <v>NEW</v>
      </c>
    </row>
    <row r="53">
      <c r="A53" s="60" t="s">
        <v>1084</v>
      </c>
      <c r="B53" s="60" t="s">
        <v>1085</v>
      </c>
      <c r="C53" s="60" t="s">
        <v>2475</v>
      </c>
      <c r="D53" s="37"/>
      <c r="E53" s="68">
        <v>315.0</v>
      </c>
      <c r="F53" s="36"/>
      <c r="G53" s="36">
        <f t="shared" si="1"/>
        <v>493437.43</v>
      </c>
      <c r="H53" s="5" t="str">
        <f>IF(B53="","",IF(IFERROR(MATCH(B53,'Advances_MAY-2025'!B:B,0),0)&gt;0,"C/F","NEW"))</f>
        <v>NEW</v>
      </c>
    </row>
    <row r="54">
      <c r="A54" s="60" t="s">
        <v>1084</v>
      </c>
      <c r="B54" s="60" t="s">
        <v>1085</v>
      </c>
      <c r="C54" s="60" t="s">
        <v>1649</v>
      </c>
      <c r="D54" s="37"/>
      <c r="E54" s="68">
        <v>1000.0</v>
      </c>
      <c r="F54" s="36"/>
      <c r="G54" s="36">
        <f t="shared" si="1"/>
        <v>494437.43</v>
      </c>
      <c r="H54" s="5" t="str">
        <f>IF(B54="","",IF(IFERROR(MATCH(B54,'Advances_MAY-2025'!B:B,0),0)&gt;0,"C/F","NEW"))</f>
        <v>NEW</v>
      </c>
    </row>
    <row r="55">
      <c r="A55" s="60" t="s">
        <v>1084</v>
      </c>
      <c r="B55" s="60" t="s">
        <v>1085</v>
      </c>
      <c r="C55" s="60" t="s">
        <v>2476</v>
      </c>
      <c r="D55" s="37"/>
      <c r="E55" s="68">
        <v>20000.0</v>
      </c>
      <c r="F55" s="36"/>
      <c r="G55" s="36">
        <f t="shared" si="1"/>
        <v>514437.43</v>
      </c>
      <c r="H55" s="5" t="str">
        <f>IF(B55="","",IF(IFERROR(MATCH(B55,'Advances_MAY-2025'!B:B,0),0)&gt;0,"C/F","NEW"))</f>
        <v>NEW</v>
      </c>
    </row>
    <row r="56">
      <c r="A56" s="60" t="s">
        <v>2477</v>
      </c>
      <c r="B56" s="60" t="s">
        <v>2478</v>
      </c>
      <c r="C56" s="60" t="s">
        <v>1649</v>
      </c>
      <c r="D56" s="37"/>
      <c r="E56" s="68">
        <v>1000.0</v>
      </c>
      <c r="F56" s="36"/>
      <c r="G56" s="36">
        <f t="shared" si="1"/>
        <v>515437.43</v>
      </c>
      <c r="H56" s="5" t="str">
        <f>IF(B56="","",IF(IFERROR(MATCH(B56,'Advances_MAY-2025'!B:B,0),0)&gt;0,"C/F","NEW"))</f>
        <v>NEW</v>
      </c>
    </row>
    <row r="57">
      <c r="A57" s="60" t="s">
        <v>1087</v>
      </c>
      <c r="B57" s="60" t="s">
        <v>1088</v>
      </c>
      <c r="C57" s="60" t="s">
        <v>1089</v>
      </c>
      <c r="D57" s="37"/>
      <c r="E57" s="68">
        <v>100.0</v>
      </c>
      <c r="F57" s="36"/>
      <c r="G57" s="36">
        <f t="shared" si="1"/>
        <v>515537.43</v>
      </c>
      <c r="H57" s="5" t="str">
        <f>IF(B57="","",IF(IFERROR(MATCH(B57,'Advances_MAY-2025'!B:B,0),0)&gt;0,"C/F","NEW"))</f>
        <v>NEW</v>
      </c>
    </row>
    <row r="58">
      <c r="A58" s="60" t="s">
        <v>1087</v>
      </c>
      <c r="B58" s="60" t="s">
        <v>1088</v>
      </c>
      <c r="C58" s="60" t="s">
        <v>2479</v>
      </c>
      <c r="D58" s="37"/>
      <c r="E58" s="68">
        <v>3000.0</v>
      </c>
      <c r="F58" s="36"/>
      <c r="G58" s="36">
        <f t="shared" si="1"/>
        <v>518537.43</v>
      </c>
      <c r="H58" s="5" t="str">
        <f>IF(B58="","",IF(IFERROR(MATCH(B58,'Advances_MAY-2025'!B:B,0),0)&gt;0,"C/F","NEW"))</f>
        <v>NEW</v>
      </c>
    </row>
    <row r="59">
      <c r="A59" s="60" t="s">
        <v>1204</v>
      </c>
      <c r="B59" s="60" t="s">
        <v>2480</v>
      </c>
      <c r="C59" s="60" t="s">
        <v>2481</v>
      </c>
      <c r="D59" s="37"/>
      <c r="E59" s="68">
        <v>130.0</v>
      </c>
      <c r="F59" s="36"/>
      <c r="G59" s="36">
        <f t="shared" si="1"/>
        <v>518667.43</v>
      </c>
      <c r="H59" s="5" t="str">
        <f>IF(B59="","",IF(IFERROR(MATCH(B59,'Advances_MAY-2025'!B:B,0),0)&gt;0,"C/F","NEW"))</f>
        <v>NEW</v>
      </c>
    </row>
    <row r="60">
      <c r="A60" s="60" t="s">
        <v>1204</v>
      </c>
      <c r="B60" s="60" t="s">
        <v>2482</v>
      </c>
      <c r="C60" s="60" t="s">
        <v>1988</v>
      </c>
      <c r="D60" s="37"/>
      <c r="E60" s="68">
        <v>9500.0</v>
      </c>
      <c r="F60" s="36"/>
      <c r="G60" s="36">
        <f t="shared" si="1"/>
        <v>528167.43</v>
      </c>
      <c r="H60" s="5" t="str">
        <f>IF(B60="","",IF(IFERROR(MATCH(B60,'Advances_MAY-2025'!B:B,0),0)&gt;0,"C/F","NEW"))</f>
        <v>NEW</v>
      </c>
    </row>
    <row r="61">
      <c r="A61" s="37"/>
      <c r="B61" s="37"/>
      <c r="C61" s="37"/>
      <c r="D61" s="37"/>
      <c r="E61" s="36"/>
      <c r="F61" s="36"/>
      <c r="G61" s="36" t="str">
        <f t="shared" si="1"/>
        <v/>
      </c>
      <c r="H61" s="5" t="str">
        <f>IF(B61="","",IF(IFERROR(MATCH(B61,'Advances_MAY-2025'!B:B,0),0)&gt;0,"C/F","NEW"))</f>
        <v/>
      </c>
    </row>
    <row r="62">
      <c r="A62" s="37"/>
      <c r="B62" s="37"/>
      <c r="C62" s="37"/>
      <c r="D62" s="37"/>
      <c r="E62" s="36"/>
      <c r="F62" s="36"/>
      <c r="G62" s="36" t="str">
        <f t="shared" si="1"/>
        <v/>
      </c>
      <c r="H62" s="5" t="str">
        <f>IF(B62="","",IF(IFERROR(MATCH(B62,'Advances_MAY-2025'!B:B,0),0)&gt;0,"C/F","NEW"))</f>
        <v/>
      </c>
    </row>
    <row r="63">
      <c r="A63" s="37"/>
      <c r="B63" s="37"/>
      <c r="C63" s="37"/>
      <c r="D63" s="37"/>
      <c r="E63" s="36"/>
      <c r="F63" s="36"/>
      <c r="G63" s="36" t="str">
        <f t="shared" si="1"/>
        <v/>
      </c>
      <c r="H63" s="5" t="str">
        <f>IF(B63="","",IF(IFERROR(MATCH(B63,'Advances_MAY-2025'!B:B,0),0)&gt;0,"C/F","NEW"))</f>
        <v/>
      </c>
    </row>
    <row r="64">
      <c r="A64" s="37"/>
      <c r="B64" s="37"/>
      <c r="C64" s="37"/>
      <c r="D64" s="37"/>
      <c r="E64" s="36"/>
      <c r="F64" s="36"/>
      <c r="G64" s="36" t="str">
        <f t="shared" si="1"/>
        <v/>
      </c>
      <c r="H64" s="5" t="str">
        <f>IF(B64="","",IF(IFERROR(MATCH(B64,'Advances_MAY-2025'!B:B,0),0)&gt;0,"C/F","NEW"))</f>
        <v/>
      </c>
    </row>
    <row r="65">
      <c r="A65" s="37"/>
      <c r="B65" s="37"/>
      <c r="C65" s="37"/>
      <c r="D65" s="37"/>
      <c r="E65" s="36"/>
      <c r="F65" s="36"/>
      <c r="G65" s="36" t="str">
        <f t="shared" si="1"/>
        <v/>
      </c>
      <c r="H65" s="5" t="str">
        <f>IF(B65="","",IF(IFERROR(MATCH(B65,'Advances_MAY-2025'!B:B,0),0)&gt;0,"C/F","NEW"))</f>
        <v/>
      </c>
    </row>
    <row r="66">
      <c r="A66" s="37"/>
      <c r="B66" s="37"/>
      <c r="C66" s="37"/>
      <c r="D66" s="37"/>
      <c r="E66" s="36"/>
      <c r="F66" s="36"/>
      <c r="G66" s="36" t="str">
        <f t="shared" si="1"/>
        <v/>
      </c>
      <c r="H66" s="5" t="str">
        <f>IF(B66="","",IF(IFERROR(MATCH(B66,'Advances_MAY-2025'!B:B,0),0)&gt;0,"C/F","NEW"))</f>
        <v/>
      </c>
    </row>
    <row r="67">
      <c r="A67" s="37"/>
      <c r="B67" s="37"/>
      <c r="C67" s="37"/>
      <c r="D67" s="37"/>
      <c r="E67" s="36"/>
      <c r="F67" s="36"/>
      <c r="G67" s="36" t="str">
        <f t="shared" si="1"/>
        <v/>
      </c>
      <c r="H67" s="5" t="str">
        <f>IF(B67="","",IF(IFERROR(MATCH(B67,'Advances_MAY-2025'!B:B,0),0)&gt;0,"C/F","NEW"))</f>
        <v/>
      </c>
    </row>
    <row r="68">
      <c r="A68" s="37"/>
      <c r="B68" s="37"/>
      <c r="C68" s="37"/>
      <c r="D68" s="37"/>
      <c r="E68" s="36"/>
      <c r="F68" s="36"/>
      <c r="G68" s="36" t="str">
        <f t="shared" si="1"/>
        <v/>
      </c>
      <c r="H68" s="5" t="str">
        <f>IF(B68="","",IF(IFERROR(MATCH(B68,'Advances_MAY-2025'!B:B,0),0)&gt;0,"C/F","NEW"))</f>
        <v/>
      </c>
    </row>
    <row r="69">
      <c r="A69" s="37"/>
      <c r="B69" s="37"/>
      <c r="C69" s="37"/>
      <c r="D69" s="37"/>
      <c r="E69" s="36"/>
      <c r="F69" s="36"/>
      <c r="G69" s="36" t="str">
        <f t="shared" si="1"/>
        <v/>
      </c>
      <c r="H69" s="5" t="str">
        <f>IF(B69="","",IF(IFERROR(MATCH(B69,'Advances_MAY-2025'!B:B,0),0)&gt;0,"C/F","NEW"))</f>
        <v/>
      </c>
    </row>
    <row r="70">
      <c r="A70" s="37"/>
      <c r="B70" s="37"/>
      <c r="C70" s="37"/>
      <c r="D70" s="37"/>
      <c r="E70" s="36"/>
      <c r="F70" s="36"/>
      <c r="G70" s="36" t="str">
        <f t="shared" si="1"/>
        <v/>
      </c>
      <c r="H70" s="5" t="str">
        <f>IF(B70="","",IF(IFERROR(MATCH(B70,'Advances_MAY-2025'!B:B,0),0)&gt;0,"C/F","NEW"))</f>
        <v/>
      </c>
    </row>
    <row r="71">
      <c r="A71" s="37"/>
      <c r="B71" s="37"/>
      <c r="C71" s="37"/>
      <c r="D71" s="37"/>
      <c r="E71" s="36"/>
      <c r="F71" s="36"/>
      <c r="G71" s="36" t="str">
        <f t="shared" si="1"/>
        <v/>
      </c>
      <c r="H71" s="5" t="str">
        <f>IF(B71="","",IF(IFERROR(MATCH(B71,'Advances_MAY-2025'!B:B,0),0)&gt;0,"C/F","NEW"))</f>
        <v/>
      </c>
    </row>
    <row r="72">
      <c r="A72" s="37"/>
      <c r="B72" s="37"/>
      <c r="C72" s="37"/>
      <c r="D72" s="37"/>
      <c r="E72" s="36"/>
      <c r="F72" s="36"/>
      <c r="G72" s="36" t="str">
        <f t="shared" si="1"/>
        <v/>
      </c>
      <c r="H72" s="5" t="str">
        <f>IF(B72="","",IF(IFERROR(MATCH(B72,'Advances_MAY-2025'!B:B,0),0)&gt;0,"C/F","NEW"))</f>
        <v/>
      </c>
    </row>
    <row r="73">
      <c r="A73" s="37"/>
      <c r="B73" s="37"/>
      <c r="C73" s="37"/>
      <c r="D73" s="37"/>
      <c r="E73" s="36"/>
      <c r="F73" s="36"/>
      <c r="G73" s="36" t="str">
        <f t="shared" si="1"/>
        <v/>
      </c>
      <c r="H73" s="5" t="str">
        <f>IF(B73="","",IF(IFERROR(MATCH(B73,'Advances_MAY-2025'!B:B,0),0)&gt;0,"C/F","NEW"))</f>
        <v/>
      </c>
    </row>
    <row r="74">
      <c r="A74" s="37"/>
      <c r="B74" s="37"/>
      <c r="C74" s="37"/>
      <c r="D74" s="37"/>
      <c r="E74" s="36"/>
      <c r="F74" s="36"/>
      <c r="G74" s="36" t="str">
        <f t="shared" si="1"/>
        <v/>
      </c>
      <c r="H74" s="5" t="str">
        <f>IF(B74="","",IF(IFERROR(MATCH(B74,'Advances_MAY-2025'!B:B,0),0)&gt;0,"C/F","NEW"))</f>
        <v/>
      </c>
    </row>
    <row r="75">
      <c r="A75" s="37"/>
      <c r="B75" s="37"/>
      <c r="C75" s="37"/>
      <c r="D75" s="37"/>
      <c r="E75" s="36"/>
      <c r="F75" s="36"/>
      <c r="G75" s="36" t="str">
        <f t="shared" si="1"/>
        <v/>
      </c>
      <c r="H75" s="5" t="str">
        <f>IF(B75="","",IF(IFERROR(MATCH(B75,'Advances_MAY-2025'!B:B,0),0)&gt;0,"C/F","NEW"))</f>
        <v/>
      </c>
    </row>
    <row r="76">
      <c r="A76" s="37"/>
      <c r="B76" s="37"/>
      <c r="C76" s="37"/>
      <c r="D76" s="37"/>
      <c r="E76" s="36"/>
      <c r="F76" s="36"/>
      <c r="G76" s="36" t="str">
        <f t="shared" si="1"/>
        <v/>
      </c>
      <c r="H76" s="5" t="str">
        <f>IF(B76="","",IF(IFERROR(MATCH(B76,'Advances_MAY-2025'!B:B,0),0)&gt;0,"C/F","NEW"))</f>
        <v/>
      </c>
    </row>
    <row r="77">
      <c r="A77" s="37"/>
      <c r="B77" s="37"/>
      <c r="C77" s="37"/>
      <c r="D77" s="37"/>
      <c r="E77" s="36"/>
      <c r="F77" s="36"/>
      <c r="G77" s="36" t="str">
        <f t="shared" si="1"/>
        <v/>
      </c>
      <c r="H77" s="5" t="str">
        <f>IF(B77="","",IF(IFERROR(MATCH(B77,'Advances_MAY-2025'!B:B,0),0)&gt;0,"C/F","NEW"))</f>
        <v/>
      </c>
    </row>
    <row r="78">
      <c r="A78" s="37"/>
      <c r="B78" s="37"/>
      <c r="C78" s="37"/>
      <c r="D78" s="37"/>
      <c r="E78" s="36"/>
      <c r="F78" s="36"/>
      <c r="G78" s="36" t="str">
        <f t="shared" si="1"/>
        <v/>
      </c>
      <c r="H78" s="5" t="str">
        <f>IF(B78="","",IF(IFERROR(MATCH(B78,'Advances_MAY-2025'!B:B,0),0)&gt;0,"C/F","NEW"))</f>
        <v/>
      </c>
    </row>
    <row r="79">
      <c r="A79" s="37"/>
      <c r="B79" s="37"/>
      <c r="C79" s="37"/>
      <c r="D79" s="37"/>
      <c r="E79" s="36"/>
      <c r="F79" s="36"/>
      <c r="G79" s="36" t="str">
        <f t="shared" si="1"/>
        <v/>
      </c>
      <c r="H79" s="5" t="str">
        <f>IF(B79="","",IF(IFERROR(MATCH(B79,'Advances_MAY-2025'!B:B,0),0)&gt;0,"C/F","NEW"))</f>
        <v/>
      </c>
    </row>
    <row r="80">
      <c r="A80" s="37"/>
      <c r="B80" s="37"/>
      <c r="C80" s="37"/>
      <c r="D80" s="37"/>
      <c r="E80" s="36"/>
      <c r="F80" s="36"/>
      <c r="G80" s="36" t="str">
        <f t="shared" si="1"/>
        <v/>
      </c>
      <c r="H80" s="5" t="str">
        <f>IF(B80="","",IF(IFERROR(MATCH(B80,'Advances_MAY-2025'!B:B,0),0)&gt;0,"C/F","NEW"))</f>
        <v/>
      </c>
    </row>
    <row r="81">
      <c r="A81" s="37"/>
      <c r="B81" s="37"/>
      <c r="C81" s="37"/>
      <c r="D81" s="37"/>
      <c r="E81" s="36"/>
      <c r="F81" s="36"/>
      <c r="G81" s="36" t="str">
        <f t="shared" si="1"/>
        <v/>
      </c>
      <c r="H81" s="5" t="str">
        <f>IF(B81="","",IF(IFERROR(MATCH(B81,'Advances_MAY-2025'!B:B,0),0)&gt;0,"C/F","NEW"))</f>
        <v/>
      </c>
    </row>
    <row r="82">
      <c r="A82" s="37"/>
      <c r="B82" s="37"/>
      <c r="C82" s="37"/>
      <c r="D82" s="37"/>
      <c r="E82" s="36"/>
      <c r="F82" s="36"/>
      <c r="G82" s="36" t="str">
        <f t="shared" si="1"/>
        <v/>
      </c>
      <c r="H82" s="5" t="str">
        <f>IF(B82="","",IF(IFERROR(MATCH(B82,'Advances_MAY-2025'!B:B,0),0)&gt;0,"C/F","NEW"))</f>
        <v/>
      </c>
    </row>
    <row r="83">
      <c r="A83" s="37"/>
      <c r="B83" s="37"/>
      <c r="C83" s="37"/>
      <c r="D83" s="37"/>
      <c r="E83" s="36"/>
      <c r="F83" s="36"/>
      <c r="G83" s="36" t="str">
        <f t="shared" si="1"/>
        <v/>
      </c>
      <c r="H83" s="5" t="str">
        <f>IF(B83="","",IF(IFERROR(MATCH(B83,'Advances_MAY-2025'!B:B,0),0)&gt;0,"C/F","NEW"))</f>
        <v/>
      </c>
    </row>
    <row r="84">
      <c r="A84" s="37"/>
      <c r="B84" s="37"/>
      <c r="C84" s="37"/>
      <c r="D84" s="37"/>
      <c r="E84" s="36"/>
      <c r="F84" s="36"/>
      <c r="G84" s="36" t="str">
        <f t="shared" si="1"/>
        <v/>
      </c>
      <c r="H84" s="5" t="str">
        <f>IF(B84="","",IF(IFERROR(MATCH(B84,'Advances_MAY-2025'!B:B,0),0)&gt;0,"C/F","NEW"))</f>
        <v/>
      </c>
    </row>
    <row r="85">
      <c r="A85" s="37"/>
      <c r="B85" s="37"/>
      <c r="C85" s="37"/>
      <c r="D85" s="37"/>
      <c r="E85" s="36"/>
      <c r="F85" s="36"/>
      <c r="G85" s="36" t="str">
        <f t="shared" si="1"/>
        <v/>
      </c>
      <c r="H85" s="5" t="str">
        <f>IF(B85="","",IF(IFERROR(MATCH(B85,'Advances_MAY-2025'!B:B,0),0)&gt;0,"C/F","NEW"))</f>
        <v/>
      </c>
    </row>
    <row r="86">
      <c r="A86" s="37"/>
      <c r="B86" s="37"/>
      <c r="C86" s="37"/>
      <c r="D86" s="37"/>
      <c r="E86" s="36"/>
      <c r="F86" s="36"/>
      <c r="G86" s="36" t="str">
        <f t="shared" si="1"/>
        <v/>
      </c>
      <c r="H86" s="5" t="str">
        <f>IF(B86="","",IF(IFERROR(MATCH(B86,'Advances_MAY-2025'!B:B,0),0)&gt;0,"C/F","NEW"))</f>
        <v/>
      </c>
    </row>
    <row r="87">
      <c r="A87" s="37"/>
      <c r="B87" s="37"/>
      <c r="C87" s="37"/>
      <c r="D87" s="37"/>
      <c r="E87" s="36"/>
      <c r="F87" s="36"/>
      <c r="G87" s="36" t="str">
        <f t="shared" si="1"/>
        <v/>
      </c>
      <c r="H87" s="5" t="str">
        <f>IF(B87="","",IF(IFERROR(MATCH(B87,'Advances_MAY-2025'!B:B,0),0)&gt;0,"C/F","NEW"))</f>
        <v/>
      </c>
    </row>
    <row r="88">
      <c r="A88" s="37"/>
      <c r="B88" s="37"/>
      <c r="C88" s="37"/>
      <c r="D88" s="37"/>
      <c r="E88" s="36"/>
      <c r="F88" s="36"/>
      <c r="G88" s="36" t="str">
        <f t="shared" si="1"/>
        <v/>
      </c>
      <c r="H88" s="5" t="str">
        <f>IF(B88="","",IF(IFERROR(MATCH(B88,'Advances_MAY-2025'!B:B,0),0)&gt;0,"C/F","NEW"))</f>
        <v/>
      </c>
    </row>
    <row r="89">
      <c r="A89" s="37"/>
      <c r="B89" s="37"/>
      <c r="C89" s="37"/>
      <c r="D89" s="37"/>
      <c r="E89" s="36"/>
      <c r="F89" s="36"/>
      <c r="G89" s="36" t="str">
        <f t="shared" si="1"/>
        <v/>
      </c>
      <c r="H89" s="5" t="str">
        <f>IF(B89="","",IF(IFERROR(MATCH(B89,'Advances_MAY-2025'!B:B,0),0)&gt;0,"C/F","NEW"))</f>
        <v/>
      </c>
    </row>
    <row r="90">
      <c r="A90" s="37"/>
      <c r="B90" s="37"/>
      <c r="C90" s="37"/>
      <c r="D90" s="37"/>
      <c r="E90" s="36"/>
      <c r="F90" s="36"/>
      <c r="G90" s="36" t="str">
        <f t="shared" si="1"/>
        <v/>
      </c>
      <c r="H90" s="5" t="str">
        <f>IF(B90="","",IF(IFERROR(MATCH(B90,'Advances_MAY-2025'!B:B,0),0)&gt;0,"C/F","NEW"))</f>
        <v/>
      </c>
    </row>
    <row r="91">
      <c r="A91" s="37"/>
      <c r="B91" s="37"/>
      <c r="C91" s="37"/>
      <c r="D91" s="37"/>
      <c r="E91" s="36"/>
      <c r="F91" s="36"/>
      <c r="G91" s="36" t="str">
        <f t="shared" si="1"/>
        <v/>
      </c>
      <c r="H91" s="5" t="str">
        <f>IF(B91="","",IF(IFERROR(MATCH(B91,'Advances_MAY-2025'!B:B,0),0)&gt;0,"C/F","NEW"))</f>
        <v/>
      </c>
    </row>
    <row r="92">
      <c r="A92" s="37"/>
      <c r="B92" s="37"/>
      <c r="C92" s="37"/>
      <c r="D92" s="37"/>
      <c r="E92" s="36"/>
      <c r="F92" s="36"/>
      <c r="G92" s="36" t="str">
        <f t="shared" si="1"/>
        <v/>
      </c>
      <c r="H92" s="5" t="str">
        <f>IF(B92="","",IF(IFERROR(MATCH(B92,'Advances_MAY-2025'!B:B,0),0)&gt;0,"C/F","NEW"))</f>
        <v/>
      </c>
    </row>
    <row r="93">
      <c r="A93" s="37"/>
      <c r="B93" s="37"/>
      <c r="C93" s="37"/>
      <c r="D93" s="37"/>
      <c r="E93" s="36"/>
      <c r="F93" s="36"/>
      <c r="G93" s="36" t="str">
        <f t="shared" si="1"/>
        <v/>
      </c>
      <c r="H93" s="5" t="str">
        <f>IF(B93="","",IF(IFERROR(MATCH(B93,'Advances_MAY-2025'!B:B,0),0)&gt;0,"C/F","NEW"))</f>
        <v/>
      </c>
    </row>
    <row r="94">
      <c r="A94" s="37"/>
      <c r="B94" s="37"/>
      <c r="C94" s="37"/>
      <c r="D94" s="37"/>
      <c r="E94" s="36"/>
      <c r="F94" s="36"/>
      <c r="G94" s="36" t="str">
        <f t="shared" si="1"/>
        <v/>
      </c>
      <c r="H94" s="5" t="str">
        <f>IF(B94="","",IF(IFERROR(MATCH(B94,'Advances_MAY-2025'!B:B,0),0)&gt;0,"C/F","NEW"))</f>
        <v/>
      </c>
    </row>
    <row r="95">
      <c r="A95" s="37"/>
      <c r="B95" s="37"/>
      <c r="C95" s="37"/>
      <c r="D95" s="37"/>
      <c r="E95" s="36"/>
      <c r="F95" s="36"/>
      <c r="G95" s="36" t="str">
        <f t="shared" si="1"/>
        <v/>
      </c>
      <c r="H95" s="5" t="str">
        <f>IF(B95="","",IF(IFERROR(MATCH(B95,'Advances_MAY-2025'!B:B,0),0)&gt;0,"C/F","NEW"))</f>
        <v/>
      </c>
    </row>
    <row r="96">
      <c r="A96" s="37"/>
      <c r="B96" s="37"/>
      <c r="C96" s="37"/>
      <c r="D96" s="37"/>
      <c r="E96" s="36"/>
      <c r="F96" s="36"/>
      <c r="G96" s="36" t="str">
        <f t="shared" si="1"/>
        <v/>
      </c>
      <c r="H96" s="5" t="str">
        <f>IF(B96="","",IF(IFERROR(MATCH(B96,'Advances_MAY-2025'!B:B,0),0)&gt;0,"C/F","NEW"))</f>
        <v/>
      </c>
    </row>
    <row r="97">
      <c r="A97" s="37"/>
      <c r="B97" s="37"/>
      <c r="C97" s="37"/>
      <c r="D97" s="37"/>
      <c r="E97" s="36"/>
      <c r="F97" s="36"/>
      <c r="G97" s="36" t="str">
        <f t="shared" si="1"/>
        <v/>
      </c>
      <c r="H97" s="5" t="str">
        <f>IF(B97="","",IF(IFERROR(MATCH(B97,'Advances_MAY-2025'!B:B,0),0)&gt;0,"C/F","NEW"))</f>
        <v/>
      </c>
    </row>
    <row r="98">
      <c r="A98" s="37"/>
      <c r="B98" s="37"/>
      <c r="C98" s="37"/>
      <c r="D98" s="37"/>
      <c r="E98" s="36"/>
      <c r="F98" s="36"/>
      <c r="G98" s="36" t="str">
        <f t="shared" si="1"/>
        <v/>
      </c>
      <c r="H98" s="5" t="str">
        <f>IF(B98="","",IF(IFERROR(MATCH(B98,'Advances_MAY-2025'!B:B,0),0)&gt;0,"C/F","NEW"))</f>
        <v/>
      </c>
    </row>
    <row r="99">
      <c r="A99" s="37"/>
      <c r="B99" s="37"/>
      <c r="C99" s="37"/>
      <c r="D99" s="37"/>
      <c r="E99" s="36"/>
      <c r="F99" s="36"/>
      <c r="G99" s="36" t="str">
        <f t="shared" si="1"/>
        <v/>
      </c>
      <c r="H99" s="5" t="str">
        <f>IF(B99="","",IF(IFERROR(MATCH(B99,'Advances_MAY-2025'!B:B,0),0)&gt;0,"C/F","NEW"))</f>
        <v/>
      </c>
    </row>
    <row r="100">
      <c r="A100" s="37"/>
      <c r="B100" s="37"/>
      <c r="C100" s="37"/>
      <c r="D100" s="37"/>
      <c r="E100" s="36"/>
      <c r="F100" s="36"/>
      <c r="G100" s="36" t="str">
        <f t="shared" si="1"/>
        <v/>
      </c>
      <c r="H100" s="5" t="str">
        <f>IF(B100="","",IF(IFERROR(MATCH(B100,'Advances_MAY-2025'!B:B,0),0)&gt;0,"C/F","NEW"))</f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>
        <f t="shared" ref="E102:F102" si="2">SUM(E7:E101)</f>
        <v>339440.14</v>
      </c>
      <c r="F102" s="55">
        <f t="shared" si="2"/>
        <v>0</v>
      </c>
      <c r="G102" s="56"/>
    </row>
  </sheetData>
  <mergeCells count="2">
    <mergeCell ref="A1:G1"/>
    <mergeCell ref="A5:G5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2483</v>
      </c>
    </row>
    <row r="3">
      <c r="A3" s="57" t="s">
        <v>110</v>
      </c>
      <c r="B3" s="58">
        <v>-156614.80000000013</v>
      </c>
      <c r="D3" s="57" t="s">
        <v>111</v>
      </c>
      <c r="E3" s="59">
        <f>-17267.64+SUM(E7:E1000)-SUM(F7:F1000)</f>
        <v>-49985.32</v>
      </c>
    </row>
    <row r="5">
      <c r="A5" s="7" t="s">
        <v>121</v>
      </c>
    </row>
    <row r="6">
      <c r="A6" s="41" t="s">
        <v>113</v>
      </c>
      <c r="B6" s="41" t="s">
        <v>122</v>
      </c>
      <c r="C6" s="41" t="s">
        <v>115</v>
      </c>
      <c r="D6" s="41" t="s">
        <v>123</v>
      </c>
      <c r="E6" s="41" t="s">
        <v>124</v>
      </c>
      <c r="F6" s="41" t="s">
        <v>125</v>
      </c>
      <c r="G6" s="41" t="s">
        <v>119</v>
      </c>
    </row>
    <row r="7">
      <c r="A7" s="60" t="s">
        <v>1066</v>
      </c>
      <c r="B7" s="60" t="s">
        <v>1164</v>
      </c>
      <c r="C7" s="60" t="s">
        <v>1165</v>
      </c>
      <c r="D7" s="37"/>
      <c r="E7" s="68">
        <v>0.0</v>
      </c>
      <c r="F7" s="68">
        <v>1.0</v>
      </c>
      <c r="G7" s="36">
        <f>IF(AND(E7="",F7=""),"",B3+E7-F7)</f>
        <v>-156615.8</v>
      </c>
    </row>
    <row r="8">
      <c r="A8" s="60" t="s">
        <v>1166</v>
      </c>
      <c r="B8" s="60" t="s">
        <v>1167</v>
      </c>
      <c r="C8" s="60" t="s">
        <v>1168</v>
      </c>
      <c r="D8" s="37"/>
      <c r="E8" s="68">
        <v>0.0</v>
      </c>
      <c r="F8" s="68">
        <v>2550.0</v>
      </c>
      <c r="G8" s="36">
        <f t="shared" ref="G8:G100" si="1">IF(AND(E8="",F8=""),"",G7+E8-F8)</f>
        <v>-159165.8</v>
      </c>
    </row>
    <row r="9">
      <c r="A9" s="69">
        <v>45690.0</v>
      </c>
      <c r="B9" s="60" t="s">
        <v>1169</v>
      </c>
      <c r="C9" s="60" t="s">
        <v>1160</v>
      </c>
      <c r="D9" s="37"/>
      <c r="E9" s="68">
        <v>0.0</v>
      </c>
      <c r="F9" s="68">
        <v>2500.0</v>
      </c>
      <c r="G9" s="36">
        <f t="shared" si="1"/>
        <v>-161665.8</v>
      </c>
    </row>
    <row r="10">
      <c r="A10" s="69">
        <v>45750.0</v>
      </c>
      <c r="B10" s="60" t="s">
        <v>1170</v>
      </c>
      <c r="C10" s="60" t="s">
        <v>1160</v>
      </c>
      <c r="D10" s="37"/>
      <c r="E10" s="68">
        <v>0.0</v>
      </c>
      <c r="F10" s="68">
        <v>2000.0</v>
      </c>
      <c r="G10" s="36">
        <f t="shared" si="1"/>
        <v>-163665.8</v>
      </c>
    </row>
    <row r="11">
      <c r="A11" s="63" t="s">
        <v>1171</v>
      </c>
      <c r="B11" s="85"/>
      <c r="C11" s="60" t="s">
        <v>1172</v>
      </c>
      <c r="D11" s="37"/>
      <c r="E11" s="68">
        <v>201.0</v>
      </c>
      <c r="F11" s="68">
        <v>0.0</v>
      </c>
      <c r="G11" s="36">
        <f t="shared" si="1"/>
        <v>-163464.8</v>
      </c>
    </row>
    <row r="12">
      <c r="A12" s="69">
        <v>45873.0</v>
      </c>
      <c r="B12" s="60" t="s">
        <v>1173</v>
      </c>
      <c r="C12" s="60" t="s">
        <v>1160</v>
      </c>
      <c r="D12" s="37"/>
      <c r="E12" s="68">
        <v>0.0</v>
      </c>
      <c r="F12" s="68">
        <v>1500.0</v>
      </c>
      <c r="G12" s="36">
        <f t="shared" si="1"/>
        <v>-164964.8</v>
      </c>
    </row>
    <row r="13">
      <c r="A13" s="69">
        <v>45965.0</v>
      </c>
      <c r="B13" s="60" t="s">
        <v>1174</v>
      </c>
      <c r="C13" s="60" t="s">
        <v>1175</v>
      </c>
      <c r="D13" s="37"/>
      <c r="E13" s="68">
        <v>0.0</v>
      </c>
      <c r="F13" s="68">
        <v>0.02</v>
      </c>
      <c r="G13" s="36">
        <f t="shared" si="1"/>
        <v>-164964.82</v>
      </c>
    </row>
    <row r="14">
      <c r="A14" s="60" t="s">
        <v>1176</v>
      </c>
      <c r="B14" s="60" t="s">
        <v>1177</v>
      </c>
      <c r="C14" s="60" t="s">
        <v>1160</v>
      </c>
      <c r="D14" s="37"/>
      <c r="E14" s="68">
        <v>0.0</v>
      </c>
      <c r="F14" s="68">
        <v>285.96</v>
      </c>
      <c r="G14" s="36">
        <f t="shared" si="1"/>
        <v>-165250.78</v>
      </c>
    </row>
    <row r="15">
      <c r="A15" s="60" t="s">
        <v>1176</v>
      </c>
      <c r="B15" s="60" t="s">
        <v>1178</v>
      </c>
      <c r="C15" s="60" t="s">
        <v>1160</v>
      </c>
      <c r="D15" s="37"/>
      <c r="E15" s="68">
        <v>0.0</v>
      </c>
      <c r="F15" s="68">
        <v>1380.0</v>
      </c>
      <c r="G15" s="36">
        <f t="shared" si="1"/>
        <v>-166630.78</v>
      </c>
    </row>
    <row r="16">
      <c r="A16" s="60" t="s">
        <v>1179</v>
      </c>
      <c r="B16" s="60" t="s">
        <v>1180</v>
      </c>
      <c r="C16" s="60" t="s">
        <v>1160</v>
      </c>
      <c r="D16" s="37"/>
      <c r="E16" s="68">
        <v>0.0</v>
      </c>
      <c r="F16" s="68">
        <v>1000.0</v>
      </c>
      <c r="G16" s="36">
        <f t="shared" si="1"/>
        <v>-167630.78</v>
      </c>
    </row>
    <row r="17">
      <c r="A17" s="80">
        <v>45301.0</v>
      </c>
      <c r="B17" s="60" t="s">
        <v>1181</v>
      </c>
      <c r="C17" s="60" t="s">
        <v>1182</v>
      </c>
      <c r="D17" s="37"/>
      <c r="E17" s="79"/>
      <c r="F17" s="68">
        <v>4000.0</v>
      </c>
      <c r="G17" s="36">
        <f t="shared" si="1"/>
        <v>-171630.78</v>
      </c>
    </row>
    <row r="18">
      <c r="A18" s="69">
        <v>45721.0</v>
      </c>
      <c r="B18" s="60" t="s">
        <v>1183</v>
      </c>
      <c r="C18" s="60" t="s">
        <v>1184</v>
      </c>
      <c r="D18" s="37"/>
      <c r="E18" s="68">
        <v>0.0</v>
      </c>
      <c r="F18" s="68">
        <v>0.01</v>
      </c>
      <c r="G18" s="36">
        <f t="shared" si="1"/>
        <v>-171630.79</v>
      </c>
    </row>
    <row r="19">
      <c r="A19" s="69">
        <v>45782.0</v>
      </c>
      <c r="B19" s="60" t="s">
        <v>1185</v>
      </c>
      <c r="C19" s="60" t="s">
        <v>1168</v>
      </c>
      <c r="D19" s="37"/>
      <c r="E19" s="68">
        <v>0.0</v>
      </c>
      <c r="F19" s="68">
        <v>1600.0</v>
      </c>
      <c r="G19" s="36">
        <f t="shared" si="1"/>
        <v>-173230.79</v>
      </c>
    </row>
    <row r="20">
      <c r="A20" s="69">
        <v>45996.0</v>
      </c>
      <c r="B20" s="60" t="s">
        <v>1186</v>
      </c>
      <c r="C20" s="60" t="s">
        <v>1168</v>
      </c>
      <c r="D20" s="37"/>
      <c r="E20" s="68">
        <v>0.0</v>
      </c>
      <c r="F20" s="68">
        <v>1000.0</v>
      </c>
      <c r="G20" s="36">
        <f t="shared" si="1"/>
        <v>-174230.79</v>
      </c>
    </row>
    <row r="21">
      <c r="A21" s="60" t="s">
        <v>1187</v>
      </c>
      <c r="B21" s="60" t="s">
        <v>1188</v>
      </c>
      <c r="C21" s="60" t="s">
        <v>1168</v>
      </c>
      <c r="D21" s="37"/>
      <c r="E21" s="68">
        <v>0.0</v>
      </c>
      <c r="F21" s="68">
        <v>1389.0</v>
      </c>
      <c r="G21" s="36">
        <f t="shared" si="1"/>
        <v>-175619.79</v>
      </c>
    </row>
    <row r="22">
      <c r="A22" s="60" t="s">
        <v>1189</v>
      </c>
      <c r="B22" s="60" t="s">
        <v>1190</v>
      </c>
      <c r="C22" s="60" t="s">
        <v>1191</v>
      </c>
      <c r="D22" s="37"/>
      <c r="E22" s="68">
        <v>0.0</v>
      </c>
      <c r="F22" s="68">
        <v>523.92</v>
      </c>
      <c r="G22" s="36">
        <f t="shared" si="1"/>
        <v>-176143.71</v>
      </c>
    </row>
    <row r="23">
      <c r="A23" s="60" t="s">
        <v>1192</v>
      </c>
      <c r="B23" s="60" t="s">
        <v>1193</v>
      </c>
      <c r="C23" s="60" t="s">
        <v>1168</v>
      </c>
      <c r="D23" s="37"/>
      <c r="E23" s="68">
        <v>0.0</v>
      </c>
      <c r="F23" s="68">
        <v>1000.0</v>
      </c>
      <c r="G23" s="36">
        <f t="shared" si="1"/>
        <v>-177143.71</v>
      </c>
    </row>
    <row r="24">
      <c r="A24" s="60" t="s">
        <v>1194</v>
      </c>
      <c r="B24" s="60" t="s">
        <v>1195</v>
      </c>
      <c r="C24" s="60" t="s">
        <v>1168</v>
      </c>
      <c r="D24" s="37"/>
      <c r="E24" s="68">
        <v>0.0</v>
      </c>
      <c r="F24" s="68">
        <v>1488.0</v>
      </c>
      <c r="G24" s="36">
        <f t="shared" si="1"/>
        <v>-178631.71</v>
      </c>
    </row>
    <row r="25">
      <c r="A25" s="69">
        <v>45783.0</v>
      </c>
      <c r="B25" s="60" t="s">
        <v>1196</v>
      </c>
      <c r="C25" s="60" t="s">
        <v>1160</v>
      </c>
      <c r="D25" s="37"/>
      <c r="E25" s="68">
        <v>0.0</v>
      </c>
      <c r="F25" s="68">
        <v>1005.88</v>
      </c>
      <c r="G25" s="36">
        <f t="shared" si="1"/>
        <v>-179637.59</v>
      </c>
    </row>
    <row r="26">
      <c r="A26" s="69">
        <v>45906.0</v>
      </c>
      <c r="B26" s="60" t="s">
        <v>1197</v>
      </c>
      <c r="C26" s="60" t="s">
        <v>1191</v>
      </c>
      <c r="D26" s="37"/>
      <c r="E26" s="68">
        <v>0.0</v>
      </c>
      <c r="F26" s="68">
        <v>108.98</v>
      </c>
      <c r="G26" s="36">
        <f t="shared" si="1"/>
        <v>-179746.57</v>
      </c>
    </row>
    <row r="27">
      <c r="A27" s="60" t="s">
        <v>1198</v>
      </c>
      <c r="B27" s="60" t="s">
        <v>1199</v>
      </c>
      <c r="C27" s="60" t="s">
        <v>1160</v>
      </c>
      <c r="D27" s="37"/>
      <c r="E27" s="68">
        <v>0.0</v>
      </c>
      <c r="F27" s="68">
        <v>1020.84</v>
      </c>
      <c r="G27" s="36">
        <f t="shared" si="1"/>
        <v>-180767.41</v>
      </c>
    </row>
    <row r="28">
      <c r="A28" s="60" t="s">
        <v>1200</v>
      </c>
      <c r="B28" s="60" t="s">
        <v>1201</v>
      </c>
      <c r="C28" s="60" t="s">
        <v>1202</v>
      </c>
      <c r="D28" s="37"/>
      <c r="E28" s="68">
        <v>0.0</v>
      </c>
      <c r="F28" s="68">
        <v>0.01</v>
      </c>
      <c r="G28" s="36">
        <f t="shared" si="1"/>
        <v>-180767.42</v>
      </c>
    </row>
    <row r="29">
      <c r="A29" s="60" t="s">
        <v>2484</v>
      </c>
      <c r="B29" s="60" t="s">
        <v>2485</v>
      </c>
      <c r="C29" s="60" t="s">
        <v>1557</v>
      </c>
      <c r="D29" s="37"/>
      <c r="E29" s="68">
        <v>5739.0</v>
      </c>
      <c r="F29" s="68">
        <v>0.0</v>
      </c>
      <c r="G29" s="36">
        <f t="shared" si="1"/>
        <v>-175028.42</v>
      </c>
    </row>
    <row r="30">
      <c r="A30" s="60" t="s">
        <v>2484</v>
      </c>
      <c r="B30" s="60" t="s">
        <v>2485</v>
      </c>
      <c r="C30" s="60" t="s">
        <v>1557</v>
      </c>
      <c r="D30" s="37"/>
      <c r="E30" s="68">
        <v>3977.0</v>
      </c>
      <c r="F30" s="68">
        <v>0.0</v>
      </c>
      <c r="G30" s="36">
        <f t="shared" si="1"/>
        <v>-171051.42</v>
      </c>
    </row>
    <row r="31">
      <c r="A31" s="60" t="s">
        <v>2486</v>
      </c>
      <c r="B31" s="60" t="s">
        <v>2487</v>
      </c>
      <c r="C31" s="60" t="s">
        <v>1557</v>
      </c>
      <c r="D31" s="37"/>
      <c r="E31" s="68">
        <v>6433.44</v>
      </c>
      <c r="F31" s="68">
        <v>0.0</v>
      </c>
      <c r="G31" s="36">
        <f t="shared" si="1"/>
        <v>-164617.98</v>
      </c>
    </row>
    <row r="32">
      <c r="A32" s="60" t="s">
        <v>2486</v>
      </c>
      <c r="B32" s="60" t="s">
        <v>2488</v>
      </c>
      <c r="C32" s="60" t="s">
        <v>2133</v>
      </c>
      <c r="D32" s="37"/>
      <c r="E32" s="68">
        <v>0.0</v>
      </c>
      <c r="F32" s="68">
        <v>2115.0</v>
      </c>
      <c r="G32" s="36">
        <f t="shared" si="1"/>
        <v>-166732.98</v>
      </c>
    </row>
    <row r="33">
      <c r="A33" s="60" t="s">
        <v>1084</v>
      </c>
      <c r="B33" s="60" t="s">
        <v>1203</v>
      </c>
      <c r="C33" s="60" t="s">
        <v>1160</v>
      </c>
      <c r="D33" s="37"/>
      <c r="E33" s="68">
        <v>0.0</v>
      </c>
      <c r="F33" s="68">
        <v>290.0</v>
      </c>
      <c r="G33" s="36">
        <f t="shared" si="1"/>
        <v>-167022.98</v>
      </c>
    </row>
    <row r="34">
      <c r="A34" s="60" t="s">
        <v>2477</v>
      </c>
      <c r="B34" s="60" t="s">
        <v>2489</v>
      </c>
      <c r="C34" s="60" t="s">
        <v>2133</v>
      </c>
      <c r="D34" s="37"/>
      <c r="E34" s="68">
        <v>0.0</v>
      </c>
      <c r="F34" s="68">
        <v>529.92</v>
      </c>
      <c r="G34" s="36">
        <f t="shared" si="1"/>
        <v>-167552.9</v>
      </c>
    </row>
    <row r="35">
      <c r="A35" s="60" t="s">
        <v>2477</v>
      </c>
      <c r="B35" s="60" t="s">
        <v>2490</v>
      </c>
      <c r="C35" s="60" t="s">
        <v>1160</v>
      </c>
      <c r="D35" s="37"/>
      <c r="E35" s="68">
        <v>0.0</v>
      </c>
      <c r="F35" s="68">
        <v>2111.71</v>
      </c>
      <c r="G35" s="36">
        <f t="shared" si="1"/>
        <v>-169664.61</v>
      </c>
    </row>
    <row r="36">
      <c r="A36" s="60" t="s">
        <v>1204</v>
      </c>
      <c r="B36" s="60" t="s">
        <v>2491</v>
      </c>
      <c r="C36" s="60" t="s">
        <v>1557</v>
      </c>
      <c r="D36" s="37"/>
      <c r="E36" s="68">
        <v>4182.0</v>
      </c>
      <c r="F36" s="68">
        <v>0.0</v>
      </c>
      <c r="G36" s="36">
        <f t="shared" si="1"/>
        <v>-165482.61</v>
      </c>
    </row>
    <row r="37">
      <c r="A37" s="60" t="s">
        <v>1204</v>
      </c>
      <c r="B37" s="60" t="s">
        <v>2491</v>
      </c>
      <c r="C37" s="60" t="s">
        <v>1557</v>
      </c>
      <c r="D37" s="37"/>
      <c r="E37" s="68">
        <v>1476.3</v>
      </c>
      <c r="F37" s="68">
        <v>0.0</v>
      </c>
      <c r="G37" s="36">
        <f t="shared" si="1"/>
        <v>-164006.31</v>
      </c>
    </row>
    <row r="38">
      <c r="A38" s="60" t="s">
        <v>1204</v>
      </c>
      <c r="B38" s="60" t="s">
        <v>2492</v>
      </c>
      <c r="C38" s="60" t="s">
        <v>2493</v>
      </c>
      <c r="D38" s="37"/>
      <c r="E38" s="68">
        <v>2580.11</v>
      </c>
      <c r="F38" s="68">
        <v>0.0</v>
      </c>
      <c r="G38" s="36">
        <f t="shared" si="1"/>
        <v>-161426.2</v>
      </c>
    </row>
    <row r="39">
      <c r="A39" s="60" t="s">
        <v>1204</v>
      </c>
      <c r="B39" s="60" t="s">
        <v>2494</v>
      </c>
      <c r="C39" s="60" t="s">
        <v>1797</v>
      </c>
      <c r="D39" s="37"/>
      <c r="E39" s="68">
        <v>0.0</v>
      </c>
      <c r="F39" s="68">
        <v>1469.8</v>
      </c>
      <c r="G39" s="36">
        <f t="shared" si="1"/>
        <v>-162896</v>
      </c>
    </row>
    <row r="40">
      <c r="A40" s="60" t="s">
        <v>1204</v>
      </c>
      <c r="B40" s="60" t="s">
        <v>2495</v>
      </c>
      <c r="C40" s="60" t="s">
        <v>1579</v>
      </c>
      <c r="D40" s="37"/>
      <c r="E40" s="68">
        <v>0.0</v>
      </c>
      <c r="F40" s="68">
        <v>449.0</v>
      </c>
      <c r="G40" s="36">
        <f t="shared" si="1"/>
        <v>-163345</v>
      </c>
    </row>
    <row r="41">
      <c r="A41" s="60" t="s">
        <v>1204</v>
      </c>
      <c r="B41" s="60" t="s">
        <v>2496</v>
      </c>
      <c r="C41" s="60" t="s">
        <v>1579</v>
      </c>
      <c r="D41" s="37"/>
      <c r="E41" s="68">
        <v>0.0</v>
      </c>
      <c r="F41" s="68">
        <v>220.97</v>
      </c>
      <c r="G41" s="36">
        <f t="shared" si="1"/>
        <v>-163565.97</v>
      </c>
    </row>
    <row r="42">
      <c r="A42" s="60" t="s">
        <v>1204</v>
      </c>
      <c r="B42" s="60" t="s">
        <v>2497</v>
      </c>
      <c r="C42" s="60" t="s">
        <v>1579</v>
      </c>
      <c r="D42" s="37"/>
      <c r="E42" s="68">
        <v>0.0</v>
      </c>
      <c r="F42" s="68">
        <v>1645.0</v>
      </c>
      <c r="G42" s="36">
        <f t="shared" si="1"/>
        <v>-165210.97</v>
      </c>
    </row>
    <row r="43">
      <c r="A43" s="60" t="s">
        <v>1204</v>
      </c>
      <c r="B43" s="60" t="s">
        <v>2498</v>
      </c>
      <c r="C43" s="60" t="s">
        <v>1369</v>
      </c>
      <c r="D43" s="37"/>
      <c r="E43" s="68">
        <v>0.0</v>
      </c>
      <c r="F43" s="68">
        <v>536.91</v>
      </c>
      <c r="G43" s="36">
        <f t="shared" si="1"/>
        <v>-165747.88</v>
      </c>
    </row>
    <row r="44">
      <c r="A44" s="60" t="s">
        <v>1204</v>
      </c>
      <c r="B44" s="60" t="s">
        <v>2499</v>
      </c>
      <c r="C44" s="60" t="s">
        <v>1569</v>
      </c>
      <c r="D44" s="37"/>
      <c r="E44" s="68">
        <v>0.0</v>
      </c>
      <c r="F44" s="68">
        <v>4417.89</v>
      </c>
      <c r="G44" s="36">
        <f t="shared" si="1"/>
        <v>-170165.77</v>
      </c>
    </row>
    <row r="45">
      <c r="A45" s="60" t="s">
        <v>1204</v>
      </c>
      <c r="B45" s="60" t="s">
        <v>2500</v>
      </c>
      <c r="C45" s="60" t="s">
        <v>1863</v>
      </c>
      <c r="D45" s="37"/>
      <c r="E45" s="68">
        <v>0.0</v>
      </c>
      <c r="F45" s="68">
        <v>300.0</v>
      </c>
      <c r="G45" s="36">
        <f t="shared" si="1"/>
        <v>-170465.77</v>
      </c>
    </row>
    <row r="46">
      <c r="A46" s="60" t="s">
        <v>1204</v>
      </c>
      <c r="B46" s="60" t="s">
        <v>2501</v>
      </c>
      <c r="C46" s="60" t="s">
        <v>1863</v>
      </c>
      <c r="D46" s="37"/>
      <c r="E46" s="68">
        <v>0.0</v>
      </c>
      <c r="F46" s="68">
        <v>1600.0</v>
      </c>
      <c r="G46" s="36">
        <f t="shared" si="1"/>
        <v>-172065.77</v>
      </c>
    </row>
    <row r="47">
      <c r="A47" s="60" t="s">
        <v>1204</v>
      </c>
      <c r="B47" s="60" t="s">
        <v>2502</v>
      </c>
      <c r="C47" s="60" t="s">
        <v>2133</v>
      </c>
      <c r="D47" s="37"/>
      <c r="E47" s="68">
        <v>0.0</v>
      </c>
      <c r="F47" s="68">
        <v>1007.87</v>
      </c>
      <c r="G47" s="36">
        <f t="shared" si="1"/>
        <v>-173073.64</v>
      </c>
    </row>
    <row r="48">
      <c r="A48" s="63" t="s">
        <v>1204</v>
      </c>
      <c r="B48" s="85"/>
      <c r="C48" s="60" t="s">
        <v>1503</v>
      </c>
      <c r="D48" s="37"/>
      <c r="E48" s="68">
        <v>446.0</v>
      </c>
      <c r="F48" s="79"/>
      <c r="G48" s="36">
        <f t="shared" si="1"/>
        <v>-172627.64</v>
      </c>
    </row>
    <row r="49">
      <c r="A49" s="63" t="s">
        <v>1204</v>
      </c>
      <c r="B49" s="85"/>
      <c r="C49" s="60" t="s">
        <v>1205</v>
      </c>
      <c r="D49" s="37"/>
      <c r="E49" s="68">
        <v>0.0</v>
      </c>
      <c r="F49" s="68">
        <v>46.0</v>
      </c>
      <c r="G49" s="36">
        <f t="shared" si="1"/>
        <v>-172673.64</v>
      </c>
    </row>
    <row r="50">
      <c r="A50" s="60" t="s">
        <v>1204</v>
      </c>
      <c r="B50" s="60" t="s">
        <v>2503</v>
      </c>
      <c r="C50" s="60" t="s">
        <v>1579</v>
      </c>
      <c r="D50" s="37"/>
      <c r="E50" s="68">
        <v>0.0</v>
      </c>
      <c r="F50" s="68">
        <v>300.0</v>
      </c>
      <c r="G50" s="36">
        <f t="shared" si="1"/>
        <v>-172973.64</v>
      </c>
    </row>
    <row r="51">
      <c r="A51" s="60"/>
      <c r="B51" s="60"/>
      <c r="C51" s="60"/>
      <c r="D51" s="37"/>
      <c r="E51" s="68"/>
      <c r="F51" s="68"/>
      <c r="G51" s="36" t="str">
        <f t="shared" si="1"/>
        <v/>
      </c>
    </row>
    <row r="52">
      <c r="A52" s="60"/>
      <c r="B52" s="60"/>
      <c r="C52" s="60"/>
      <c r="D52" s="37"/>
      <c r="E52" s="68"/>
      <c r="F52" s="68"/>
      <c r="G52" s="36" t="str">
        <f t="shared" si="1"/>
        <v/>
      </c>
    </row>
    <row r="53">
      <c r="A53" s="60"/>
      <c r="B53" s="60"/>
      <c r="C53" s="60"/>
      <c r="D53" s="37"/>
      <c r="E53" s="68"/>
      <c r="F53" s="68"/>
      <c r="G53" s="36" t="str">
        <f t="shared" si="1"/>
        <v/>
      </c>
    </row>
    <row r="54">
      <c r="A54" s="60"/>
      <c r="B54" s="60"/>
      <c r="C54" s="60"/>
      <c r="D54" s="37"/>
      <c r="E54" s="68"/>
      <c r="F54" s="68"/>
      <c r="G54" s="36" t="str">
        <f t="shared" si="1"/>
        <v/>
      </c>
    </row>
    <row r="55">
      <c r="A55" s="60"/>
      <c r="B55" s="60"/>
      <c r="C55" s="60"/>
      <c r="D55" s="37"/>
      <c r="E55" s="68"/>
      <c r="F55" s="68"/>
      <c r="G55" s="36" t="str">
        <f t="shared" si="1"/>
        <v/>
      </c>
    </row>
    <row r="56">
      <c r="A56" s="60"/>
      <c r="B56" s="60"/>
      <c r="C56" s="60"/>
      <c r="D56" s="37"/>
      <c r="E56" s="68"/>
      <c r="F56" s="68"/>
      <c r="G56" s="36" t="str">
        <f t="shared" si="1"/>
        <v/>
      </c>
    </row>
    <row r="57">
      <c r="A57" s="60"/>
      <c r="B57" s="60"/>
      <c r="C57" s="60"/>
      <c r="D57" s="37"/>
      <c r="E57" s="68"/>
      <c r="F57" s="68"/>
      <c r="G57" s="36" t="str">
        <f t="shared" si="1"/>
        <v/>
      </c>
    </row>
    <row r="58">
      <c r="A58" s="60"/>
      <c r="B58" s="60"/>
      <c r="C58" s="60"/>
      <c r="D58" s="37"/>
      <c r="E58" s="68"/>
      <c r="F58" s="68"/>
      <c r="G58" s="36" t="str">
        <f t="shared" si="1"/>
        <v/>
      </c>
    </row>
    <row r="59">
      <c r="A59" s="60"/>
      <c r="B59" s="60"/>
      <c r="C59" s="60"/>
      <c r="D59" s="37"/>
      <c r="E59" s="68"/>
      <c r="F59" s="68"/>
      <c r="G59" s="36" t="str">
        <f t="shared" si="1"/>
        <v/>
      </c>
    </row>
    <row r="60">
      <c r="A60" s="63"/>
      <c r="B60" s="70"/>
      <c r="C60" s="60"/>
      <c r="D60" s="37"/>
      <c r="E60" s="68"/>
      <c r="F60" s="79"/>
      <c r="G60" s="36" t="str">
        <f t="shared" si="1"/>
        <v/>
      </c>
    </row>
    <row r="61">
      <c r="A61" s="63"/>
      <c r="B61" s="70"/>
      <c r="C61" s="60"/>
      <c r="D61" s="37"/>
      <c r="E61" s="68"/>
      <c r="F61" s="68"/>
      <c r="G61" s="36" t="str">
        <f t="shared" si="1"/>
        <v/>
      </c>
    </row>
    <row r="62">
      <c r="A62" s="60"/>
      <c r="B62" s="60"/>
      <c r="C62" s="60"/>
      <c r="D62" s="37"/>
      <c r="E62" s="68"/>
      <c r="F62" s="68"/>
      <c r="G62" s="36" t="str">
        <f t="shared" si="1"/>
        <v/>
      </c>
    </row>
    <row r="63">
      <c r="A63" s="37"/>
      <c r="B63" s="37"/>
      <c r="C63" s="37"/>
      <c r="D63" s="37"/>
      <c r="E63" s="36"/>
      <c r="F63" s="36"/>
      <c r="G63" s="36" t="str">
        <f t="shared" si="1"/>
        <v/>
      </c>
    </row>
    <row r="64">
      <c r="A64" s="37"/>
      <c r="B64" s="37"/>
      <c r="C64" s="37"/>
      <c r="D64" s="37"/>
      <c r="E64" s="36"/>
      <c r="F64" s="36"/>
      <c r="G64" s="36" t="str">
        <f t="shared" si="1"/>
        <v/>
      </c>
    </row>
    <row r="65">
      <c r="A65" s="37"/>
      <c r="B65" s="37"/>
      <c r="C65" s="37"/>
      <c r="D65" s="37"/>
      <c r="E65" s="36"/>
      <c r="F65" s="36"/>
      <c r="G65" s="36" t="str">
        <f t="shared" si="1"/>
        <v/>
      </c>
    </row>
    <row r="66">
      <c r="A66" s="37"/>
      <c r="B66" s="37"/>
      <c r="C66" s="37"/>
      <c r="D66" s="37"/>
      <c r="E66" s="36"/>
      <c r="F66" s="36"/>
      <c r="G66" s="36" t="str">
        <f t="shared" si="1"/>
        <v/>
      </c>
    </row>
    <row r="67">
      <c r="A67" s="37"/>
      <c r="B67" s="37"/>
      <c r="C67" s="37"/>
      <c r="D67" s="37"/>
      <c r="E67" s="36"/>
      <c r="F67" s="36"/>
      <c r="G67" s="36" t="str">
        <f t="shared" si="1"/>
        <v/>
      </c>
    </row>
    <row r="68">
      <c r="A68" s="37"/>
      <c r="B68" s="37"/>
      <c r="C68" s="37"/>
      <c r="D68" s="37"/>
      <c r="E68" s="36"/>
      <c r="F68" s="36"/>
      <c r="G68" s="36" t="str">
        <f t="shared" si="1"/>
        <v/>
      </c>
    </row>
    <row r="69">
      <c r="A69" s="37"/>
      <c r="B69" s="37"/>
      <c r="C69" s="37"/>
      <c r="D69" s="37"/>
      <c r="E69" s="36"/>
      <c r="F69" s="36"/>
      <c r="G69" s="36" t="str">
        <f t="shared" si="1"/>
        <v/>
      </c>
    </row>
    <row r="70">
      <c r="A70" s="37"/>
      <c r="B70" s="37"/>
      <c r="C70" s="37"/>
      <c r="D70" s="37"/>
      <c r="E70" s="36"/>
      <c r="F70" s="36"/>
      <c r="G70" s="36" t="str">
        <f t="shared" si="1"/>
        <v/>
      </c>
    </row>
    <row r="71">
      <c r="A71" s="37"/>
      <c r="B71" s="37"/>
      <c r="C71" s="37"/>
      <c r="D71" s="37"/>
      <c r="E71" s="36"/>
      <c r="F71" s="36"/>
      <c r="G71" s="36" t="str">
        <f t="shared" si="1"/>
        <v/>
      </c>
    </row>
    <row r="72">
      <c r="A72" s="37"/>
      <c r="B72" s="37"/>
      <c r="C72" s="37"/>
      <c r="D72" s="37"/>
      <c r="E72" s="36"/>
      <c r="F72" s="36"/>
      <c r="G72" s="36" t="str">
        <f t="shared" si="1"/>
        <v/>
      </c>
    </row>
    <row r="73">
      <c r="A73" s="37"/>
      <c r="B73" s="37"/>
      <c r="C73" s="37"/>
      <c r="D73" s="37"/>
      <c r="E73" s="36"/>
      <c r="F73" s="36"/>
      <c r="G73" s="36" t="str">
        <f t="shared" si="1"/>
        <v/>
      </c>
    </row>
    <row r="74">
      <c r="A74" s="37"/>
      <c r="B74" s="37"/>
      <c r="C74" s="37"/>
      <c r="D74" s="37"/>
      <c r="E74" s="36"/>
      <c r="F74" s="36"/>
      <c r="G74" s="36" t="str">
        <f t="shared" si="1"/>
        <v/>
      </c>
    </row>
    <row r="75">
      <c r="A75" s="37"/>
      <c r="B75" s="37"/>
      <c r="C75" s="37"/>
      <c r="D75" s="37"/>
      <c r="E75" s="36"/>
      <c r="F75" s="36"/>
      <c r="G75" s="36" t="str">
        <f t="shared" si="1"/>
        <v/>
      </c>
    </row>
    <row r="76">
      <c r="A76" s="37"/>
      <c r="B76" s="37"/>
      <c r="C76" s="37"/>
      <c r="D76" s="37"/>
      <c r="E76" s="36"/>
      <c r="F76" s="36"/>
      <c r="G76" s="36" t="str">
        <f t="shared" si="1"/>
        <v/>
      </c>
    </row>
    <row r="77">
      <c r="A77" s="37"/>
      <c r="B77" s="37"/>
      <c r="C77" s="37"/>
      <c r="D77" s="37"/>
      <c r="E77" s="36"/>
      <c r="F77" s="36"/>
      <c r="G77" s="36" t="str">
        <f t="shared" si="1"/>
        <v/>
      </c>
    </row>
    <row r="78">
      <c r="A78" s="37"/>
      <c r="B78" s="37"/>
      <c r="C78" s="37"/>
      <c r="D78" s="37"/>
      <c r="E78" s="36"/>
      <c r="F78" s="36"/>
      <c r="G78" s="36" t="str">
        <f t="shared" si="1"/>
        <v/>
      </c>
    </row>
    <row r="79">
      <c r="A79" s="37"/>
      <c r="B79" s="37"/>
      <c r="C79" s="37"/>
      <c r="D79" s="37"/>
      <c r="E79" s="36"/>
      <c r="F79" s="36"/>
      <c r="G79" s="36" t="str">
        <f t="shared" si="1"/>
        <v/>
      </c>
    </row>
    <row r="80">
      <c r="A80" s="37"/>
      <c r="B80" s="37"/>
      <c r="C80" s="37"/>
      <c r="D80" s="37"/>
      <c r="E80" s="36"/>
      <c r="F80" s="36"/>
      <c r="G80" s="36" t="str">
        <f t="shared" si="1"/>
        <v/>
      </c>
    </row>
    <row r="81">
      <c r="A81" s="37"/>
      <c r="B81" s="37"/>
      <c r="C81" s="37"/>
      <c r="D81" s="37"/>
      <c r="E81" s="36"/>
      <c r="F81" s="36"/>
      <c r="G81" s="36" t="str">
        <f t="shared" si="1"/>
        <v/>
      </c>
    </row>
    <row r="82">
      <c r="A82" s="37"/>
      <c r="B82" s="37"/>
      <c r="C82" s="37"/>
      <c r="D82" s="37"/>
      <c r="E82" s="36"/>
      <c r="F82" s="36"/>
      <c r="G82" s="36" t="str">
        <f t="shared" si="1"/>
        <v/>
      </c>
    </row>
    <row r="83">
      <c r="A83" s="37"/>
      <c r="B83" s="37"/>
      <c r="C83" s="37"/>
      <c r="D83" s="37"/>
      <c r="E83" s="36"/>
      <c r="F83" s="36"/>
      <c r="G83" s="36" t="str">
        <f t="shared" si="1"/>
        <v/>
      </c>
    </row>
    <row r="84">
      <c r="A84" s="37"/>
      <c r="B84" s="37"/>
      <c r="C84" s="37"/>
      <c r="D84" s="37"/>
      <c r="E84" s="36"/>
      <c r="F84" s="36"/>
      <c r="G84" s="36" t="str">
        <f t="shared" si="1"/>
        <v/>
      </c>
    </row>
    <row r="85">
      <c r="A85" s="37"/>
      <c r="B85" s="37"/>
      <c r="C85" s="37"/>
      <c r="D85" s="37"/>
      <c r="E85" s="36"/>
      <c r="F85" s="36"/>
      <c r="G85" s="36" t="str">
        <f t="shared" si="1"/>
        <v/>
      </c>
    </row>
    <row r="86">
      <c r="A86" s="37"/>
      <c r="B86" s="37"/>
      <c r="C86" s="37"/>
      <c r="D86" s="37"/>
      <c r="E86" s="36"/>
      <c r="F86" s="36"/>
      <c r="G86" s="36" t="str">
        <f t="shared" si="1"/>
        <v/>
      </c>
    </row>
    <row r="87">
      <c r="A87" s="37"/>
      <c r="B87" s="37"/>
      <c r="C87" s="37"/>
      <c r="D87" s="37"/>
      <c r="E87" s="36"/>
      <c r="F87" s="36"/>
      <c r="G87" s="36" t="str">
        <f t="shared" si="1"/>
        <v/>
      </c>
    </row>
    <row r="88">
      <c r="A88" s="37"/>
      <c r="B88" s="37"/>
      <c r="C88" s="37"/>
      <c r="D88" s="37"/>
      <c r="E88" s="36"/>
      <c r="F88" s="36"/>
      <c r="G88" s="36" t="str">
        <f t="shared" si="1"/>
        <v/>
      </c>
    </row>
    <row r="89">
      <c r="A89" s="37"/>
      <c r="B89" s="37"/>
      <c r="C89" s="37"/>
      <c r="D89" s="37"/>
      <c r="E89" s="36"/>
      <c r="F89" s="36"/>
      <c r="G89" s="36" t="str">
        <f t="shared" si="1"/>
        <v/>
      </c>
    </row>
    <row r="90">
      <c r="A90" s="37"/>
      <c r="B90" s="37"/>
      <c r="C90" s="37"/>
      <c r="D90" s="37"/>
      <c r="E90" s="36"/>
      <c r="F90" s="36"/>
      <c r="G90" s="36" t="str">
        <f t="shared" si="1"/>
        <v/>
      </c>
    </row>
    <row r="91">
      <c r="A91" s="37"/>
      <c r="B91" s="37"/>
      <c r="C91" s="37"/>
      <c r="D91" s="37"/>
      <c r="E91" s="36"/>
      <c r="F91" s="36"/>
      <c r="G91" s="36" t="str">
        <f t="shared" si="1"/>
        <v/>
      </c>
    </row>
    <row r="92">
      <c r="A92" s="37"/>
      <c r="B92" s="37"/>
      <c r="C92" s="37"/>
      <c r="D92" s="37"/>
      <c r="E92" s="36"/>
      <c r="F92" s="36"/>
      <c r="G92" s="36" t="str">
        <f t="shared" si="1"/>
        <v/>
      </c>
    </row>
    <row r="93">
      <c r="A93" s="37"/>
      <c r="B93" s="37"/>
      <c r="C93" s="37"/>
      <c r="D93" s="37"/>
      <c r="E93" s="36"/>
      <c r="F93" s="36"/>
      <c r="G93" s="36" t="str">
        <f t="shared" si="1"/>
        <v/>
      </c>
    </row>
    <row r="94">
      <c r="A94" s="37"/>
      <c r="B94" s="37"/>
      <c r="C94" s="37"/>
      <c r="D94" s="37"/>
      <c r="E94" s="36"/>
      <c r="F94" s="36"/>
      <c r="G94" s="36" t="str">
        <f t="shared" si="1"/>
        <v/>
      </c>
    </row>
    <row r="95">
      <c r="A95" s="37"/>
      <c r="B95" s="37"/>
      <c r="C95" s="37"/>
      <c r="D95" s="37"/>
      <c r="E95" s="36"/>
      <c r="F95" s="36"/>
      <c r="G95" s="36" t="str">
        <f t="shared" si="1"/>
        <v/>
      </c>
    </row>
    <row r="96">
      <c r="A96" s="37"/>
      <c r="B96" s="37"/>
      <c r="C96" s="37"/>
      <c r="D96" s="37"/>
      <c r="E96" s="36"/>
      <c r="F96" s="36"/>
      <c r="G96" s="36" t="str">
        <f t="shared" si="1"/>
        <v/>
      </c>
    </row>
    <row r="97">
      <c r="A97" s="37"/>
      <c r="B97" s="37"/>
      <c r="C97" s="37"/>
      <c r="D97" s="37"/>
      <c r="E97" s="36"/>
      <c r="F97" s="36"/>
      <c r="G97" s="36" t="str">
        <f t="shared" si="1"/>
        <v/>
      </c>
    </row>
    <row r="98">
      <c r="A98" s="37"/>
      <c r="B98" s="37"/>
      <c r="C98" s="37"/>
      <c r="D98" s="37"/>
      <c r="E98" s="36"/>
      <c r="F98" s="36"/>
      <c r="G98" s="36" t="str">
        <f t="shared" si="1"/>
        <v/>
      </c>
    </row>
    <row r="99">
      <c r="A99" s="37"/>
      <c r="B99" s="37"/>
      <c r="C99" s="37"/>
      <c r="D99" s="37"/>
      <c r="E99" s="36"/>
      <c r="F99" s="36"/>
      <c r="G99" s="36" t="str">
        <f t="shared" si="1"/>
        <v/>
      </c>
    </row>
    <row r="100">
      <c r="A100" s="37"/>
      <c r="B100" s="37"/>
      <c r="C100" s="37"/>
      <c r="D100" s="37"/>
      <c r="E100" s="36"/>
      <c r="F100" s="36"/>
      <c r="G100" s="36" t="str">
        <f t="shared" si="1"/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>
        <f t="shared" ref="E102:F102" si="2">SUM(E7:E101)</f>
        <v>25034.85</v>
      </c>
      <c r="F102" s="55">
        <f t="shared" si="2"/>
        <v>41393.69</v>
      </c>
      <c r="G102" s="56"/>
    </row>
  </sheetData>
  <mergeCells count="2">
    <mergeCell ref="A1:G1"/>
    <mergeCell ref="A5:G5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4" width="12.63"/>
    <col customWidth="1" min="5" max="7" width="15.13"/>
    <col customWidth="1" min="8" max="8" width="7.63"/>
  </cols>
  <sheetData>
    <row r="1">
      <c r="A1" s="24" t="s">
        <v>2504</v>
      </c>
    </row>
    <row r="3">
      <c r="A3" s="15" t="s">
        <v>41</v>
      </c>
    </row>
    <row r="4">
      <c r="A4" s="105" t="s">
        <v>1391</v>
      </c>
      <c r="B4" s="90">
        <f t="shared" ref="B4:B16" si="1">SUMIF($D$21:$D$503,A4,$G$21:$G$503)</f>
        <v>74345.29</v>
      </c>
      <c r="C4" s="42">
        <f t="shared" ref="C4:C16" si="2">COUNTIF($D$21:$D$503,A4)</f>
        <v>44</v>
      </c>
      <c r="D4" s="42">
        <f>IFERROR(B4/C4,0)</f>
        <v>1689.665682</v>
      </c>
    </row>
    <row r="5">
      <c r="A5" s="34" t="s">
        <v>1392</v>
      </c>
      <c r="B5" s="36">
        <f t="shared" si="1"/>
        <v>16255.67</v>
      </c>
      <c r="C5" s="36">
        <f t="shared" si="2"/>
        <v>15</v>
      </c>
      <c r="D5" s="36">
        <f>IFERROR(#REF!/C5,0)</f>
        <v>0</v>
      </c>
    </row>
    <row r="6">
      <c r="A6" s="34" t="s">
        <v>1393</v>
      </c>
      <c r="B6" s="36">
        <f t="shared" si="1"/>
        <v>22573.22</v>
      </c>
      <c r="C6" s="36">
        <f t="shared" si="2"/>
        <v>18</v>
      </c>
      <c r="D6" s="36">
        <f t="shared" ref="D6:D8" si="3">IFERROR(B6/C6,0)</f>
        <v>1254.067778</v>
      </c>
    </row>
    <row r="7">
      <c r="A7" s="34" t="s">
        <v>46</v>
      </c>
      <c r="B7" s="36">
        <f t="shared" si="1"/>
        <v>21216.07</v>
      </c>
      <c r="C7" s="36">
        <f t="shared" si="2"/>
        <v>13</v>
      </c>
      <c r="D7" s="36">
        <f t="shared" si="3"/>
        <v>1632.005385</v>
      </c>
    </row>
    <row r="8">
      <c r="A8" s="34" t="s">
        <v>47</v>
      </c>
      <c r="B8" s="36">
        <f t="shared" si="1"/>
        <v>396181.7</v>
      </c>
      <c r="C8" s="36">
        <f t="shared" si="2"/>
        <v>23</v>
      </c>
      <c r="D8" s="36">
        <f t="shared" si="3"/>
        <v>17225.2913</v>
      </c>
    </row>
    <row r="9">
      <c r="A9" s="34" t="s">
        <v>48</v>
      </c>
      <c r="B9" s="36">
        <f t="shared" si="1"/>
        <v>69892.24</v>
      </c>
      <c r="C9" s="36">
        <f t="shared" si="2"/>
        <v>41</v>
      </c>
      <c r="D9" s="36">
        <f t="shared" ref="D9:D13" si="4">IFERROR(B9/C9,0)</f>
        <v>1704.68878</v>
      </c>
    </row>
    <row r="10">
      <c r="A10" s="34" t="s">
        <v>49</v>
      </c>
      <c r="B10" s="36">
        <f t="shared" si="1"/>
        <v>1250206.02</v>
      </c>
      <c r="C10" s="36">
        <f t="shared" si="2"/>
        <v>15</v>
      </c>
      <c r="D10" s="36">
        <f t="shared" si="4"/>
        <v>83347.068</v>
      </c>
    </row>
    <row r="11">
      <c r="A11" s="34" t="s">
        <v>50</v>
      </c>
      <c r="B11" s="5">
        <f t="shared" si="1"/>
        <v>7230.55</v>
      </c>
      <c r="C11" s="36">
        <f t="shared" si="2"/>
        <v>21</v>
      </c>
      <c r="D11" s="36">
        <f t="shared" si="4"/>
        <v>344.3119048</v>
      </c>
    </row>
    <row r="12">
      <c r="A12" s="91" t="s">
        <v>52</v>
      </c>
      <c r="B12" s="36">
        <f t="shared" si="1"/>
        <v>229073.43</v>
      </c>
      <c r="C12" s="36">
        <f t="shared" si="2"/>
        <v>16</v>
      </c>
      <c r="D12" s="36">
        <f t="shared" si="4"/>
        <v>14317.08938</v>
      </c>
    </row>
    <row r="13">
      <c r="A13" s="91" t="s">
        <v>58</v>
      </c>
      <c r="B13" s="36">
        <f t="shared" si="1"/>
        <v>3046</v>
      </c>
      <c r="C13" s="36">
        <f t="shared" si="2"/>
        <v>5</v>
      </c>
      <c r="D13" s="36">
        <f t="shared" si="4"/>
        <v>609.2</v>
      </c>
    </row>
    <row r="14">
      <c r="A14" s="34" t="s">
        <v>1761</v>
      </c>
      <c r="B14" s="36">
        <f t="shared" si="1"/>
        <v>81121.23</v>
      </c>
      <c r="C14" s="36">
        <f t="shared" si="2"/>
        <v>115</v>
      </c>
      <c r="D14" s="36">
        <f>IFERROR(B14/C14,0)</f>
        <v>705.402</v>
      </c>
    </row>
    <row r="15">
      <c r="A15" s="105" t="s">
        <v>2040</v>
      </c>
      <c r="B15" s="98">
        <f t="shared" si="1"/>
        <v>13950.79</v>
      </c>
      <c r="C15" s="98">
        <f t="shared" si="2"/>
        <v>18</v>
      </c>
      <c r="D15" s="98">
        <f t="shared" ref="D15:D16" si="5">IFERROR(B15/C15,0)</f>
        <v>775.0438889</v>
      </c>
    </row>
    <row r="16">
      <c r="A16" s="105" t="s">
        <v>2264</v>
      </c>
      <c r="B16" s="98">
        <f t="shared" si="1"/>
        <v>4366.48</v>
      </c>
      <c r="C16" s="98">
        <f t="shared" si="2"/>
        <v>18</v>
      </c>
      <c r="D16" s="98">
        <f t="shared" si="5"/>
        <v>242.5822222</v>
      </c>
    </row>
    <row r="17">
      <c r="A17" s="38" t="s">
        <v>59</v>
      </c>
      <c r="B17" s="39">
        <f>SUM(B4:B16)</f>
        <v>2189458.69</v>
      </c>
      <c r="C17" s="39">
        <f>SUM(C4:C8)</f>
        <v>113</v>
      </c>
      <c r="D17" s="39">
        <f>IFERROR(B17/C17,0)</f>
        <v>19375.74062</v>
      </c>
    </row>
    <row r="19">
      <c r="A19" s="7" t="s">
        <v>1871</v>
      </c>
    </row>
    <row r="20">
      <c r="A20" s="41" t="s">
        <v>130</v>
      </c>
      <c r="B20" s="41" t="s">
        <v>131</v>
      </c>
      <c r="C20" s="41" t="s">
        <v>132</v>
      </c>
      <c r="D20" s="41" t="s">
        <v>41</v>
      </c>
      <c r="E20" s="41" t="s">
        <v>133</v>
      </c>
      <c r="F20" s="41" t="s">
        <v>134</v>
      </c>
      <c r="G20" s="41" t="s">
        <v>104</v>
      </c>
      <c r="H20" s="41" t="s">
        <v>135</v>
      </c>
    </row>
    <row r="21">
      <c r="A21" s="60" t="s">
        <v>170</v>
      </c>
      <c r="B21" s="60" t="s">
        <v>171</v>
      </c>
      <c r="C21" s="34" t="s">
        <v>2505</v>
      </c>
      <c r="D21" s="34" t="s">
        <v>43</v>
      </c>
      <c r="E21" s="68">
        <v>135.97</v>
      </c>
      <c r="F21" s="36"/>
      <c r="G21" s="36">
        <f t="shared" ref="G21:G503" si="6">IF(E21="","",E21-F21)</f>
        <v>135.97</v>
      </c>
      <c r="H21" s="37"/>
    </row>
    <row r="22">
      <c r="A22" s="60" t="s">
        <v>174</v>
      </c>
      <c r="B22" s="60" t="s">
        <v>175</v>
      </c>
      <c r="C22" s="34" t="s">
        <v>2505</v>
      </c>
      <c r="D22" s="34" t="s">
        <v>43</v>
      </c>
      <c r="E22" s="68">
        <v>1279.81</v>
      </c>
      <c r="F22" s="36"/>
      <c r="G22" s="36">
        <f t="shared" si="6"/>
        <v>1279.81</v>
      </c>
      <c r="H22" s="37"/>
    </row>
    <row r="23">
      <c r="A23" s="60" t="s">
        <v>176</v>
      </c>
      <c r="B23" s="60" t="s">
        <v>177</v>
      </c>
      <c r="C23" s="34" t="s">
        <v>2505</v>
      </c>
      <c r="D23" s="34" t="s">
        <v>43</v>
      </c>
      <c r="E23" s="68">
        <v>1160.91</v>
      </c>
      <c r="F23" s="36"/>
      <c r="G23" s="36">
        <f t="shared" si="6"/>
        <v>1160.91</v>
      </c>
      <c r="H23" s="37"/>
    </row>
    <row r="24">
      <c r="A24" s="60" t="s">
        <v>178</v>
      </c>
      <c r="B24" s="60" t="s">
        <v>179</v>
      </c>
      <c r="C24" s="34" t="s">
        <v>2505</v>
      </c>
      <c r="D24" s="34" t="s">
        <v>43</v>
      </c>
      <c r="E24" s="68">
        <v>1483.78</v>
      </c>
      <c r="F24" s="36"/>
      <c r="G24" s="36">
        <f t="shared" si="6"/>
        <v>1483.78</v>
      </c>
      <c r="H24" s="37"/>
    </row>
    <row r="25">
      <c r="A25" s="60" t="s">
        <v>184</v>
      </c>
      <c r="B25" s="60" t="s">
        <v>185</v>
      </c>
      <c r="C25" s="34" t="s">
        <v>2505</v>
      </c>
      <c r="D25" s="34" t="s">
        <v>43</v>
      </c>
      <c r="E25" s="68">
        <v>1634.7</v>
      </c>
      <c r="F25" s="36"/>
      <c r="G25" s="36">
        <f t="shared" si="6"/>
        <v>1634.7</v>
      </c>
      <c r="H25" s="37"/>
    </row>
    <row r="26">
      <c r="A26" s="60" t="s">
        <v>186</v>
      </c>
      <c r="B26" s="60" t="s">
        <v>187</v>
      </c>
      <c r="C26" s="34" t="s">
        <v>2505</v>
      </c>
      <c r="D26" s="34" t="s">
        <v>43</v>
      </c>
      <c r="E26" s="68">
        <v>603.91</v>
      </c>
      <c r="F26" s="36"/>
      <c r="G26" s="36">
        <f t="shared" si="6"/>
        <v>603.91</v>
      </c>
      <c r="H26" s="37"/>
    </row>
    <row r="27">
      <c r="A27" s="60" t="s">
        <v>190</v>
      </c>
      <c r="B27" s="60" t="s">
        <v>191</v>
      </c>
      <c r="C27" s="34" t="s">
        <v>2505</v>
      </c>
      <c r="D27" s="34" t="s">
        <v>43</v>
      </c>
      <c r="E27" s="68">
        <v>1818.78</v>
      </c>
      <c r="F27" s="36"/>
      <c r="G27" s="36">
        <f t="shared" si="6"/>
        <v>1818.78</v>
      </c>
      <c r="H27" s="37"/>
    </row>
    <row r="28">
      <c r="A28" s="60" t="s">
        <v>2436</v>
      </c>
      <c r="B28" s="60" t="s">
        <v>165</v>
      </c>
      <c r="C28" s="34" t="s">
        <v>2505</v>
      </c>
      <c r="D28" s="34" t="s">
        <v>43</v>
      </c>
      <c r="E28" s="68">
        <v>821.91</v>
      </c>
      <c r="F28" s="36"/>
      <c r="G28" s="36">
        <f t="shared" si="6"/>
        <v>821.91</v>
      </c>
      <c r="H28" s="37"/>
    </row>
    <row r="29">
      <c r="A29" s="60" t="s">
        <v>192</v>
      </c>
      <c r="B29" s="60" t="s">
        <v>193</v>
      </c>
      <c r="C29" s="34" t="s">
        <v>2505</v>
      </c>
      <c r="D29" s="34" t="s">
        <v>43</v>
      </c>
      <c r="E29" s="68">
        <v>1083.85</v>
      </c>
      <c r="F29" s="36"/>
      <c r="G29" s="36">
        <f t="shared" si="6"/>
        <v>1083.85</v>
      </c>
      <c r="H29" s="37"/>
    </row>
    <row r="30">
      <c r="A30" s="60" t="s">
        <v>1872</v>
      </c>
      <c r="B30" s="60" t="s">
        <v>1873</v>
      </c>
      <c r="C30" s="34" t="s">
        <v>2505</v>
      </c>
      <c r="D30" s="34" t="s">
        <v>43</v>
      </c>
      <c r="E30" s="68">
        <v>1035.85</v>
      </c>
      <c r="F30" s="36"/>
      <c r="G30" s="36">
        <f t="shared" si="6"/>
        <v>1035.85</v>
      </c>
      <c r="H30" s="37"/>
    </row>
    <row r="31">
      <c r="A31" s="60" t="s">
        <v>194</v>
      </c>
      <c r="B31" s="60" t="s">
        <v>195</v>
      </c>
      <c r="C31" s="34" t="s">
        <v>2505</v>
      </c>
      <c r="D31" s="34" t="s">
        <v>43</v>
      </c>
      <c r="E31" s="68">
        <v>1123.68</v>
      </c>
      <c r="F31" s="36"/>
      <c r="G31" s="36">
        <f t="shared" si="6"/>
        <v>1123.68</v>
      </c>
      <c r="H31" s="37"/>
    </row>
    <row r="32">
      <c r="A32" s="60" t="s">
        <v>196</v>
      </c>
      <c r="B32" s="60" t="s">
        <v>197</v>
      </c>
      <c r="C32" s="34" t="s">
        <v>2505</v>
      </c>
      <c r="D32" s="34" t="s">
        <v>43</v>
      </c>
      <c r="E32" s="68">
        <v>499.79</v>
      </c>
      <c r="F32" s="36"/>
      <c r="G32" s="36">
        <f t="shared" si="6"/>
        <v>499.79</v>
      </c>
      <c r="H32" s="37"/>
    </row>
    <row r="33">
      <c r="A33" s="60" t="s">
        <v>198</v>
      </c>
      <c r="B33" s="60" t="s">
        <v>199</v>
      </c>
      <c r="C33" s="34" t="s">
        <v>2505</v>
      </c>
      <c r="D33" s="34" t="s">
        <v>43</v>
      </c>
      <c r="E33" s="68">
        <v>2303.42</v>
      </c>
      <c r="F33" s="36"/>
      <c r="G33" s="36">
        <f t="shared" si="6"/>
        <v>2303.42</v>
      </c>
      <c r="H33" s="37"/>
    </row>
    <row r="34">
      <c r="A34" s="60" t="s">
        <v>200</v>
      </c>
      <c r="B34" s="60" t="s">
        <v>201</v>
      </c>
      <c r="C34" s="34" t="s">
        <v>2505</v>
      </c>
      <c r="D34" s="34" t="s">
        <v>43</v>
      </c>
      <c r="E34" s="68">
        <v>1021.87</v>
      </c>
      <c r="F34" s="36"/>
      <c r="G34" s="36">
        <f t="shared" si="6"/>
        <v>1021.87</v>
      </c>
      <c r="H34" s="37"/>
    </row>
    <row r="35">
      <c r="A35" s="60" t="s">
        <v>202</v>
      </c>
      <c r="B35" s="60" t="s">
        <v>203</v>
      </c>
      <c r="C35" s="34" t="s">
        <v>2505</v>
      </c>
      <c r="D35" s="34" t="s">
        <v>43</v>
      </c>
      <c r="E35" s="68">
        <v>384.95</v>
      </c>
      <c r="F35" s="36"/>
      <c r="G35" s="36">
        <f t="shared" si="6"/>
        <v>384.95</v>
      </c>
      <c r="H35" s="37"/>
    </row>
    <row r="36">
      <c r="A36" s="60" t="s">
        <v>204</v>
      </c>
      <c r="B36" s="60" t="s">
        <v>205</v>
      </c>
      <c r="C36" s="34" t="s">
        <v>2505</v>
      </c>
      <c r="D36" s="34" t="s">
        <v>43</v>
      </c>
      <c r="E36" s="68">
        <v>731.89</v>
      </c>
      <c r="F36" s="36"/>
      <c r="G36" s="36">
        <f t="shared" si="6"/>
        <v>731.89</v>
      </c>
      <c r="H36" s="37"/>
    </row>
    <row r="37">
      <c r="A37" s="60" t="s">
        <v>206</v>
      </c>
      <c r="B37" s="60" t="s">
        <v>207</v>
      </c>
      <c r="C37" s="34" t="s">
        <v>2505</v>
      </c>
      <c r="D37" s="34" t="s">
        <v>43</v>
      </c>
      <c r="E37" s="68">
        <v>2573.39</v>
      </c>
      <c r="F37" s="36"/>
      <c r="G37" s="36">
        <f t="shared" si="6"/>
        <v>2573.39</v>
      </c>
      <c r="H37" s="37"/>
    </row>
    <row r="38">
      <c r="A38" s="60" t="s">
        <v>208</v>
      </c>
      <c r="B38" s="60" t="s">
        <v>209</v>
      </c>
      <c r="C38" s="34" t="s">
        <v>2505</v>
      </c>
      <c r="D38" s="34" t="s">
        <v>43</v>
      </c>
      <c r="E38" s="68">
        <v>3675.45</v>
      </c>
      <c r="F38" s="36"/>
      <c r="G38" s="36">
        <f t="shared" si="6"/>
        <v>3675.45</v>
      </c>
      <c r="H38" s="37"/>
    </row>
    <row r="39">
      <c r="A39" s="60" t="s">
        <v>212</v>
      </c>
      <c r="B39" s="60" t="s">
        <v>2043</v>
      </c>
      <c r="C39" s="34" t="s">
        <v>2505</v>
      </c>
      <c r="D39" s="34" t="s">
        <v>43</v>
      </c>
      <c r="E39" s="68">
        <v>0.01</v>
      </c>
      <c r="F39" s="36"/>
      <c r="G39" s="36">
        <f t="shared" si="6"/>
        <v>0.01</v>
      </c>
      <c r="H39" s="37"/>
    </row>
    <row r="40">
      <c r="A40" s="60" t="s">
        <v>214</v>
      </c>
      <c r="B40" s="60" t="s">
        <v>215</v>
      </c>
      <c r="C40" s="34" t="s">
        <v>2505</v>
      </c>
      <c r="D40" s="34" t="s">
        <v>43</v>
      </c>
      <c r="E40" s="68">
        <v>234.97</v>
      </c>
      <c r="F40" s="36"/>
      <c r="G40" s="36">
        <f t="shared" si="6"/>
        <v>234.97</v>
      </c>
      <c r="H40" s="37"/>
    </row>
    <row r="41">
      <c r="A41" s="60" t="s">
        <v>1762</v>
      </c>
      <c r="B41" s="60" t="s">
        <v>1763</v>
      </c>
      <c r="C41" s="34" t="s">
        <v>2505</v>
      </c>
      <c r="D41" s="34" t="s">
        <v>43</v>
      </c>
      <c r="E41" s="68">
        <v>1560.82</v>
      </c>
      <c r="F41" s="36"/>
      <c r="G41" s="36">
        <f t="shared" si="6"/>
        <v>1560.82</v>
      </c>
      <c r="H41" s="37"/>
    </row>
    <row r="42">
      <c r="A42" s="60" t="s">
        <v>218</v>
      </c>
      <c r="B42" s="60" t="s">
        <v>219</v>
      </c>
      <c r="C42" s="34" t="s">
        <v>2505</v>
      </c>
      <c r="D42" s="34" t="s">
        <v>43</v>
      </c>
      <c r="E42" s="68">
        <v>2032.74</v>
      </c>
      <c r="F42" s="36"/>
      <c r="G42" s="36">
        <f t="shared" si="6"/>
        <v>2032.74</v>
      </c>
      <c r="H42" s="37"/>
    </row>
    <row r="43">
      <c r="A43" s="60" t="s">
        <v>220</v>
      </c>
      <c r="B43" s="60" t="s">
        <v>221</v>
      </c>
      <c r="C43" s="34" t="s">
        <v>2505</v>
      </c>
      <c r="D43" s="34" t="s">
        <v>43</v>
      </c>
      <c r="E43" s="68">
        <v>401.99</v>
      </c>
      <c r="F43" s="36"/>
      <c r="G43" s="36">
        <f t="shared" si="6"/>
        <v>401.99</v>
      </c>
      <c r="H43" s="37"/>
    </row>
    <row r="44">
      <c r="A44" s="60" t="s">
        <v>222</v>
      </c>
      <c r="B44" s="60" t="s">
        <v>223</v>
      </c>
      <c r="C44" s="34" t="s">
        <v>2505</v>
      </c>
      <c r="D44" s="34" t="s">
        <v>43</v>
      </c>
      <c r="E44" s="68">
        <v>74.99</v>
      </c>
      <c r="F44" s="36"/>
      <c r="G44" s="36">
        <f t="shared" si="6"/>
        <v>74.99</v>
      </c>
      <c r="H44" s="37"/>
    </row>
    <row r="45">
      <c r="A45" s="60" t="s">
        <v>224</v>
      </c>
      <c r="B45" s="60" t="s">
        <v>225</v>
      </c>
      <c r="C45" s="34" t="s">
        <v>2505</v>
      </c>
      <c r="D45" s="34" t="s">
        <v>43</v>
      </c>
      <c r="E45" s="68">
        <v>1013.88</v>
      </c>
      <c r="F45" s="36"/>
      <c r="G45" s="36">
        <f t="shared" si="6"/>
        <v>1013.88</v>
      </c>
      <c r="H45" s="37"/>
    </row>
    <row r="46">
      <c r="A46" s="60" t="s">
        <v>226</v>
      </c>
      <c r="B46" s="60" t="s">
        <v>227</v>
      </c>
      <c r="C46" s="34" t="s">
        <v>2505</v>
      </c>
      <c r="D46" s="34" t="s">
        <v>43</v>
      </c>
      <c r="E46" s="68">
        <v>500.0</v>
      </c>
      <c r="F46" s="36"/>
      <c r="G46" s="36">
        <f t="shared" si="6"/>
        <v>500</v>
      </c>
      <c r="H46" s="37"/>
    </row>
    <row r="47">
      <c r="A47" s="60" t="s">
        <v>228</v>
      </c>
      <c r="B47" s="60" t="s">
        <v>229</v>
      </c>
      <c r="C47" s="34" t="s">
        <v>2505</v>
      </c>
      <c r="D47" s="34" t="s">
        <v>43</v>
      </c>
      <c r="E47" s="68">
        <v>706.74</v>
      </c>
      <c r="F47" s="36"/>
      <c r="G47" s="36">
        <f t="shared" si="6"/>
        <v>706.74</v>
      </c>
      <c r="H47" s="37"/>
    </row>
    <row r="48">
      <c r="A48" s="60" t="s">
        <v>230</v>
      </c>
      <c r="B48" s="60" t="s">
        <v>231</v>
      </c>
      <c r="C48" s="34" t="s">
        <v>2505</v>
      </c>
      <c r="D48" s="34" t="s">
        <v>43</v>
      </c>
      <c r="E48" s="68">
        <v>1246.27</v>
      </c>
      <c r="F48" s="36"/>
      <c r="G48" s="36">
        <f t="shared" si="6"/>
        <v>1246.27</v>
      </c>
      <c r="H48" s="37"/>
    </row>
    <row r="49">
      <c r="A49" s="60" t="s">
        <v>232</v>
      </c>
      <c r="B49" s="60" t="s">
        <v>233</v>
      </c>
      <c r="C49" s="34" t="s">
        <v>2505</v>
      </c>
      <c r="D49" s="34" t="s">
        <v>43</v>
      </c>
      <c r="E49" s="68">
        <v>1294.72</v>
      </c>
      <c r="F49" s="36"/>
      <c r="G49" s="36">
        <f t="shared" si="6"/>
        <v>1294.72</v>
      </c>
      <c r="H49" s="37"/>
    </row>
    <row r="50">
      <c r="A50" s="60" t="s">
        <v>234</v>
      </c>
      <c r="B50" s="60" t="s">
        <v>235</v>
      </c>
      <c r="C50" s="34" t="s">
        <v>2505</v>
      </c>
      <c r="D50" s="34" t="s">
        <v>43</v>
      </c>
      <c r="E50" s="68">
        <v>100.0</v>
      </c>
      <c r="F50" s="36"/>
      <c r="G50" s="36">
        <f t="shared" si="6"/>
        <v>100</v>
      </c>
      <c r="H50" s="37"/>
    </row>
    <row r="51">
      <c r="A51" s="60" t="s">
        <v>236</v>
      </c>
      <c r="B51" s="60" t="s">
        <v>237</v>
      </c>
      <c r="C51" s="34" t="s">
        <v>2505</v>
      </c>
      <c r="D51" s="34" t="s">
        <v>43</v>
      </c>
      <c r="E51" s="68">
        <v>292.95</v>
      </c>
      <c r="F51" s="36"/>
      <c r="G51" s="36">
        <f t="shared" si="6"/>
        <v>292.95</v>
      </c>
      <c r="H51" s="37"/>
    </row>
    <row r="52">
      <c r="A52" s="60" t="s">
        <v>238</v>
      </c>
      <c r="B52" s="60" t="s">
        <v>239</v>
      </c>
      <c r="C52" s="34" t="s">
        <v>2505</v>
      </c>
      <c r="D52" s="34" t="s">
        <v>43</v>
      </c>
      <c r="E52" s="68">
        <v>1378.8</v>
      </c>
      <c r="F52" s="36"/>
      <c r="G52" s="36">
        <f t="shared" si="6"/>
        <v>1378.8</v>
      </c>
      <c r="H52" s="37"/>
    </row>
    <row r="53">
      <c r="A53" s="60" t="s">
        <v>240</v>
      </c>
      <c r="B53" s="60" t="s">
        <v>241</v>
      </c>
      <c r="C53" s="34" t="s">
        <v>2505</v>
      </c>
      <c r="D53" s="34" t="s">
        <v>43</v>
      </c>
      <c r="E53" s="68">
        <v>8786.52</v>
      </c>
      <c r="F53" s="36"/>
      <c r="G53" s="36">
        <f t="shared" si="6"/>
        <v>8786.52</v>
      </c>
      <c r="H53" s="37"/>
    </row>
    <row r="54">
      <c r="A54" s="60" t="s">
        <v>242</v>
      </c>
      <c r="B54" s="60" t="s">
        <v>243</v>
      </c>
      <c r="C54" s="34" t="s">
        <v>2505</v>
      </c>
      <c r="D54" s="34" t="s">
        <v>43</v>
      </c>
      <c r="E54" s="68">
        <v>23514.87</v>
      </c>
      <c r="F54" s="36"/>
      <c r="G54" s="36">
        <f t="shared" si="6"/>
        <v>23514.87</v>
      </c>
      <c r="H54" s="37"/>
    </row>
    <row r="55">
      <c r="A55" s="60" t="s">
        <v>244</v>
      </c>
      <c r="B55" s="60" t="s">
        <v>245</v>
      </c>
      <c r="C55" s="34" t="s">
        <v>2505</v>
      </c>
      <c r="D55" s="34" t="s">
        <v>43</v>
      </c>
      <c r="E55" s="68">
        <v>500.0</v>
      </c>
      <c r="F55" s="36"/>
      <c r="G55" s="36">
        <f t="shared" si="6"/>
        <v>500</v>
      </c>
      <c r="H55" s="37"/>
    </row>
    <row r="56">
      <c r="A56" s="60" t="s">
        <v>982</v>
      </c>
      <c r="B56" s="60" t="s">
        <v>983</v>
      </c>
      <c r="C56" s="34" t="s">
        <v>2505</v>
      </c>
      <c r="D56" s="34" t="s">
        <v>43</v>
      </c>
      <c r="E56" s="68">
        <v>1018.02</v>
      </c>
      <c r="F56" s="36"/>
      <c r="G56" s="36">
        <f t="shared" si="6"/>
        <v>1018.02</v>
      </c>
      <c r="H56" s="37"/>
    </row>
    <row r="57">
      <c r="A57" s="60" t="s">
        <v>248</v>
      </c>
      <c r="B57" s="60" t="s">
        <v>249</v>
      </c>
      <c r="C57" s="34" t="s">
        <v>2505</v>
      </c>
      <c r="D57" s="34" t="s">
        <v>43</v>
      </c>
      <c r="E57" s="68">
        <v>1.87</v>
      </c>
      <c r="F57" s="36"/>
      <c r="G57" s="36">
        <f t="shared" si="6"/>
        <v>1.87</v>
      </c>
      <c r="H57" s="37"/>
    </row>
    <row r="58">
      <c r="A58" s="60" t="s">
        <v>250</v>
      </c>
      <c r="B58" s="60" t="s">
        <v>251</v>
      </c>
      <c r="C58" s="34" t="s">
        <v>2505</v>
      </c>
      <c r="D58" s="34" t="s">
        <v>43</v>
      </c>
      <c r="E58" s="68">
        <v>1021.89</v>
      </c>
      <c r="F58" s="36"/>
      <c r="G58" s="36">
        <f t="shared" si="6"/>
        <v>1021.89</v>
      </c>
      <c r="H58" s="37"/>
    </row>
    <row r="59">
      <c r="A59" s="60" t="s">
        <v>252</v>
      </c>
      <c r="B59" s="60" t="s">
        <v>253</v>
      </c>
      <c r="C59" s="34" t="s">
        <v>2505</v>
      </c>
      <c r="D59" s="34" t="s">
        <v>43</v>
      </c>
      <c r="E59" s="68">
        <v>387.93</v>
      </c>
      <c r="F59" s="36"/>
      <c r="G59" s="36">
        <f t="shared" si="6"/>
        <v>387.93</v>
      </c>
      <c r="H59" s="37"/>
    </row>
    <row r="60">
      <c r="A60" s="60" t="s">
        <v>254</v>
      </c>
      <c r="B60" s="60" t="s">
        <v>2155</v>
      </c>
      <c r="C60" s="34" t="s">
        <v>2505</v>
      </c>
      <c r="D60" s="34" t="s">
        <v>43</v>
      </c>
      <c r="E60" s="68">
        <v>1027.88</v>
      </c>
      <c r="F60" s="36"/>
      <c r="G60" s="36">
        <f t="shared" si="6"/>
        <v>1027.88</v>
      </c>
      <c r="H60" s="37"/>
    </row>
    <row r="61">
      <c r="A61" s="60" t="s">
        <v>256</v>
      </c>
      <c r="B61" s="60" t="s">
        <v>257</v>
      </c>
      <c r="C61" s="34" t="s">
        <v>2505</v>
      </c>
      <c r="D61" s="34" t="s">
        <v>43</v>
      </c>
      <c r="E61" s="68">
        <v>745.84</v>
      </c>
      <c r="F61" s="36"/>
      <c r="G61" s="36">
        <f t="shared" si="6"/>
        <v>745.84</v>
      </c>
      <c r="H61" s="37"/>
    </row>
    <row r="62">
      <c r="A62" s="60" t="s">
        <v>258</v>
      </c>
      <c r="B62" s="60" t="s">
        <v>259</v>
      </c>
      <c r="C62" s="34" t="s">
        <v>2505</v>
      </c>
      <c r="D62" s="34" t="s">
        <v>43</v>
      </c>
      <c r="E62" s="68">
        <v>1379.83</v>
      </c>
      <c r="F62" s="36"/>
      <c r="G62" s="36">
        <f t="shared" si="6"/>
        <v>1379.83</v>
      </c>
      <c r="H62" s="37"/>
    </row>
    <row r="63">
      <c r="A63" s="60" t="s">
        <v>262</v>
      </c>
      <c r="B63" s="60" t="s">
        <v>263</v>
      </c>
      <c r="C63" s="34" t="s">
        <v>2505</v>
      </c>
      <c r="D63" s="34" t="s">
        <v>43</v>
      </c>
      <c r="E63" s="68">
        <v>700.0</v>
      </c>
      <c r="F63" s="36"/>
      <c r="G63" s="36">
        <f t="shared" si="6"/>
        <v>700</v>
      </c>
      <c r="H63" s="37"/>
    </row>
    <row r="64">
      <c r="A64" s="60" t="s">
        <v>266</v>
      </c>
      <c r="B64" s="60" t="s">
        <v>267</v>
      </c>
      <c r="C64" s="34" t="s">
        <v>2505</v>
      </c>
      <c r="D64" s="34" t="s">
        <v>43</v>
      </c>
      <c r="E64" s="68">
        <v>1047.85</v>
      </c>
      <c r="F64" s="36"/>
      <c r="G64" s="36">
        <f t="shared" si="6"/>
        <v>1047.85</v>
      </c>
      <c r="H64" s="37"/>
    </row>
    <row r="65">
      <c r="A65" s="60" t="s">
        <v>136</v>
      </c>
      <c r="B65" s="60" t="s">
        <v>137</v>
      </c>
      <c r="C65" s="34" t="s">
        <v>2506</v>
      </c>
      <c r="D65" s="34" t="s">
        <v>44</v>
      </c>
      <c r="E65" s="68">
        <v>1235.8</v>
      </c>
      <c r="F65" s="36"/>
      <c r="G65" s="36">
        <f t="shared" si="6"/>
        <v>1235.8</v>
      </c>
      <c r="H65" s="37"/>
    </row>
    <row r="66">
      <c r="A66" s="60" t="s">
        <v>138</v>
      </c>
      <c r="B66" s="60" t="s">
        <v>139</v>
      </c>
      <c r="C66" s="34" t="s">
        <v>2506</v>
      </c>
      <c r="D66" s="34" t="s">
        <v>44</v>
      </c>
      <c r="E66" s="68">
        <v>1939.7</v>
      </c>
      <c r="F66" s="36"/>
      <c r="G66" s="36">
        <f t="shared" si="6"/>
        <v>1939.7</v>
      </c>
      <c r="H66" s="37"/>
    </row>
    <row r="67">
      <c r="A67" s="60" t="s">
        <v>142</v>
      </c>
      <c r="B67" s="60" t="s">
        <v>143</v>
      </c>
      <c r="C67" s="34" t="s">
        <v>2506</v>
      </c>
      <c r="D67" s="34" t="s">
        <v>44</v>
      </c>
      <c r="E67" s="68">
        <v>1460.78</v>
      </c>
      <c r="F67" s="36"/>
      <c r="G67" s="36">
        <f t="shared" si="6"/>
        <v>1460.78</v>
      </c>
      <c r="H67" s="37"/>
    </row>
    <row r="68">
      <c r="A68" s="60" t="s">
        <v>1600</v>
      </c>
      <c r="B68" s="60" t="s">
        <v>1601</v>
      </c>
      <c r="C68" s="34" t="s">
        <v>2506</v>
      </c>
      <c r="D68" s="34" t="s">
        <v>44</v>
      </c>
      <c r="E68" s="68">
        <v>881.87</v>
      </c>
      <c r="F68" s="36"/>
      <c r="G68" s="36">
        <f t="shared" si="6"/>
        <v>881.87</v>
      </c>
      <c r="H68" s="37"/>
    </row>
    <row r="69">
      <c r="A69" s="60" t="s">
        <v>144</v>
      </c>
      <c r="B69" s="60" t="s">
        <v>145</v>
      </c>
      <c r="C69" s="34" t="s">
        <v>2506</v>
      </c>
      <c r="D69" s="34" t="s">
        <v>44</v>
      </c>
      <c r="E69" s="68">
        <v>284.96</v>
      </c>
      <c r="F69" s="36"/>
      <c r="G69" s="36">
        <f t="shared" si="6"/>
        <v>284.96</v>
      </c>
      <c r="H69" s="37"/>
    </row>
    <row r="70">
      <c r="A70" s="60" t="s">
        <v>1602</v>
      </c>
      <c r="B70" s="60" t="s">
        <v>1603</v>
      </c>
      <c r="C70" s="34" t="s">
        <v>2506</v>
      </c>
      <c r="D70" s="34" t="s">
        <v>44</v>
      </c>
      <c r="E70" s="68">
        <v>1007.86</v>
      </c>
      <c r="F70" s="36"/>
      <c r="G70" s="36">
        <f t="shared" si="6"/>
        <v>1007.86</v>
      </c>
      <c r="H70" s="37"/>
    </row>
    <row r="71">
      <c r="A71" s="60" t="s">
        <v>148</v>
      </c>
      <c r="B71" s="60" t="s">
        <v>149</v>
      </c>
      <c r="C71" s="34" t="s">
        <v>2506</v>
      </c>
      <c r="D71" s="34" t="s">
        <v>44</v>
      </c>
      <c r="E71" s="68">
        <v>875.84</v>
      </c>
      <c r="F71" s="36"/>
      <c r="G71" s="36">
        <f t="shared" si="6"/>
        <v>875.84</v>
      </c>
      <c r="H71" s="37"/>
    </row>
    <row r="72">
      <c r="A72" s="60" t="s">
        <v>2507</v>
      </c>
      <c r="B72" s="60" t="s">
        <v>2508</v>
      </c>
      <c r="C72" s="34" t="s">
        <v>2506</v>
      </c>
      <c r="D72" s="34" t="s">
        <v>44</v>
      </c>
      <c r="E72" s="68">
        <v>853.86</v>
      </c>
      <c r="F72" s="36"/>
      <c r="G72" s="36">
        <f t="shared" si="6"/>
        <v>853.86</v>
      </c>
      <c r="H72" s="37"/>
    </row>
    <row r="73">
      <c r="A73" s="60" t="s">
        <v>150</v>
      </c>
      <c r="B73" s="60" t="s">
        <v>151</v>
      </c>
      <c r="C73" s="34" t="s">
        <v>2506</v>
      </c>
      <c r="D73" s="34" t="s">
        <v>44</v>
      </c>
      <c r="E73" s="68">
        <v>1239.82</v>
      </c>
      <c r="F73" s="36"/>
      <c r="G73" s="36">
        <f t="shared" si="6"/>
        <v>1239.82</v>
      </c>
      <c r="H73" s="37"/>
    </row>
    <row r="74">
      <c r="A74" s="60" t="s">
        <v>152</v>
      </c>
      <c r="B74" s="60" t="s">
        <v>153</v>
      </c>
      <c r="C74" s="34" t="s">
        <v>2506</v>
      </c>
      <c r="D74" s="34" t="s">
        <v>44</v>
      </c>
      <c r="E74" s="68">
        <v>2909.63</v>
      </c>
      <c r="F74" s="36"/>
      <c r="G74" s="36">
        <f t="shared" si="6"/>
        <v>2909.63</v>
      </c>
      <c r="H74" s="37"/>
    </row>
    <row r="75">
      <c r="A75" s="60" t="s">
        <v>154</v>
      </c>
      <c r="B75" s="60" t="s">
        <v>155</v>
      </c>
      <c r="C75" s="34" t="s">
        <v>2506</v>
      </c>
      <c r="D75" s="34" t="s">
        <v>44</v>
      </c>
      <c r="E75" s="68">
        <v>527.93</v>
      </c>
      <c r="F75" s="36"/>
      <c r="G75" s="36">
        <f t="shared" si="6"/>
        <v>527.93</v>
      </c>
      <c r="H75" s="37"/>
    </row>
    <row r="76">
      <c r="A76" s="60" t="s">
        <v>156</v>
      </c>
      <c r="B76" s="60" t="s">
        <v>157</v>
      </c>
      <c r="C76" s="34" t="s">
        <v>2506</v>
      </c>
      <c r="D76" s="34" t="s">
        <v>44</v>
      </c>
      <c r="E76" s="68">
        <v>200.0</v>
      </c>
      <c r="F76" s="36"/>
      <c r="G76" s="36">
        <f t="shared" si="6"/>
        <v>200</v>
      </c>
      <c r="H76" s="37"/>
    </row>
    <row r="77">
      <c r="A77" s="60" t="s">
        <v>158</v>
      </c>
      <c r="B77" s="60" t="s">
        <v>159</v>
      </c>
      <c r="C77" s="34" t="s">
        <v>2506</v>
      </c>
      <c r="D77" s="34" t="s">
        <v>44</v>
      </c>
      <c r="E77" s="68">
        <v>1133.83</v>
      </c>
      <c r="F77" s="36"/>
      <c r="G77" s="36">
        <f t="shared" si="6"/>
        <v>1133.83</v>
      </c>
      <c r="H77" s="37"/>
    </row>
    <row r="78">
      <c r="A78" s="60" t="s">
        <v>160</v>
      </c>
      <c r="B78" s="60" t="s">
        <v>161</v>
      </c>
      <c r="C78" s="34" t="s">
        <v>2506</v>
      </c>
      <c r="D78" s="34" t="s">
        <v>44</v>
      </c>
      <c r="E78" s="68">
        <v>1025.89</v>
      </c>
      <c r="F78" s="36"/>
      <c r="G78" s="36">
        <f t="shared" si="6"/>
        <v>1025.89</v>
      </c>
      <c r="H78" s="37"/>
    </row>
    <row r="79">
      <c r="A79" s="60" t="s">
        <v>162</v>
      </c>
      <c r="B79" s="60" t="s">
        <v>163</v>
      </c>
      <c r="C79" s="34" t="s">
        <v>2506</v>
      </c>
      <c r="D79" s="34" t="s">
        <v>44</v>
      </c>
      <c r="E79" s="68">
        <v>677.9</v>
      </c>
      <c r="F79" s="36"/>
      <c r="G79" s="36">
        <f t="shared" si="6"/>
        <v>677.9</v>
      </c>
      <c r="H79" s="37"/>
    </row>
    <row r="80">
      <c r="A80" s="60" t="s">
        <v>278</v>
      </c>
      <c r="B80" s="60" t="s">
        <v>279</v>
      </c>
      <c r="C80" s="34" t="s">
        <v>2509</v>
      </c>
      <c r="D80" s="34" t="s">
        <v>45</v>
      </c>
      <c r="E80" s="68">
        <v>2817.58</v>
      </c>
      <c r="F80" s="36"/>
      <c r="G80" s="36">
        <f t="shared" si="6"/>
        <v>2817.58</v>
      </c>
      <c r="H80" s="37"/>
    </row>
    <row r="81">
      <c r="A81" s="60" t="s">
        <v>280</v>
      </c>
      <c r="B81" s="60" t="s">
        <v>281</v>
      </c>
      <c r="C81" s="34" t="s">
        <v>2509</v>
      </c>
      <c r="D81" s="34" t="s">
        <v>45</v>
      </c>
      <c r="E81" s="68">
        <v>1699.99</v>
      </c>
      <c r="F81" s="36"/>
      <c r="G81" s="36">
        <f t="shared" si="6"/>
        <v>1699.99</v>
      </c>
      <c r="H81" s="37"/>
    </row>
    <row r="82">
      <c r="A82" s="60" t="s">
        <v>282</v>
      </c>
      <c r="B82" s="60" t="s">
        <v>283</v>
      </c>
      <c r="C82" s="34" t="s">
        <v>2509</v>
      </c>
      <c r="D82" s="34" t="s">
        <v>45</v>
      </c>
      <c r="E82" s="68">
        <v>1089.88</v>
      </c>
      <c r="F82" s="36"/>
      <c r="G82" s="36">
        <f t="shared" si="6"/>
        <v>1089.88</v>
      </c>
      <c r="H82" s="37"/>
    </row>
    <row r="83">
      <c r="A83" s="60" t="s">
        <v>284</v>
      </c>
      <c r="B83" s="60" t="s">
        <v>285</v>
      </c>
      <c r="C83" s="34" t="s">
        <v>2509</v>
      </c>
      <c r="D83" s="34" t="s">
        <v>45</v>
      </c>
      <c r="E83" s="68">
        <v>1012.17</v>
      </c>
      <c r="F83" s="36"/>
      <c r="G83" s="36">
        <f t="shared" si="6"/>
        <v>1012.17</v>
      </c>
      <c r="H83" s="37"/>
    </row>
    <row r="84">
      <c r="A84" s="60" t="s">
        <v>1769</v>
      </c>
      <c r="B84" s="60" t="s">
        <v>1770</v>
      </c>
      <c r="C84" s="34" t="s">
        <v>2509</v>
      </c>
      <c r="D84" s="34" t="s">
        <v>45</v>
      </c>
      <c r="E84" s="68">
        <v>1021.88</v>
      </c>
      <c r="F84" s="36"/>
      <c r="G84" s="36">
        <f t="shared" si="6"/>
        <v>1021.88</v>
      </c>
      <c r="H84" s="37"/>
    </row>
    <row r="85">
      <c r="A85" s="60" t="s">
        <v>286</v>
      </c>
      <c r="B85" s="60" t="s">
        <v>287</v>
      </c>
      <c r="C85" s="34" t="s">
        <v>2509</v>
      </c>
      <c r="D85" s="34" t="s">
        <v>45</v>
      </c>
      <c r="E85" s="68">
        <v>1305.29</v>
      </c>
      <c r="F85" s="36"/>
      <c r="G85" s="36">
        <f t="shared" si="6"/>
        <v>1305.29</v>
      </c>
      <c r="H85" s="37"/>
    </row>
    <row r="86">
      <c r="A86" s="60" t="s">
        <v>288</v>
      </c>
      <c r="B86" s="60" t="s">
        <v>289</v>
      </c>
      <c r="C86" s="34" t="s">
        <v>2509</v>
      </c>
      <c r="D86" s="34" t="s">
        <v>45</v>
      </c>
      <c r="E86" s="68">
        <v>1007.87</v>
      </c>
      <c r="F86" s="36"/>
      <c r="G86" s="36">
        <f t="shared" si="6"/>
        <v>1007.87</v>
      </c>
      <c r="H86" s="37"/>
    </row>
    <row r="87">
      <c r="A87" s="60" t="s">
        <v>290</v>
      </c>
      <c r="B87" s="60" t="s">
        <v>291</v>
      </c>
      <c r="C87" s="34" t="s">
        <v>2509</v>
      </c>
      <c r="D87" s="34" t="s">
        <v>45</v>
      </c>
      <c r="E87" s="68">
        <v>2009.72</v>
      </c>
      <c r="F87" s="36"/>
      <c r="G87" s="36">
        <f t="shared" si="6"/>
        <v>2009.72</v>
      </c>
      <c r="H87" s="37"/>
    </row>
    <row r="88">
      <c r="A88" s="60" t="s">
        <v>292</v>
      </c>
      <c r="B88" s="60" t="s">
        <v>293</v>
      </c>
      <c r="C88" s="34" t="s">
        <v>2509</v>
      </c>
      <c r="D88" s="34" t="s">
        <v>45</v>
      </c>
      <c r="E88" s="68">
        <v>183.85</v>
      </c>
      <c r="F88" s="36"/>
      <c r="G88" s="36">
        <f t="shared" si="6"/>
        <v>183.85</v>
      </c>
      <c r="H88" s="37"/>
    </row>
    <row r="89">
      <c r="A89" s="60" t="s">
        <v>294</v>
      </c>
      <c r="B89" s="60" t="s">
        <v>295</v>
      </c>
      <c r="C89" s="34" t="s">
        <v>2509</v>
      </c>
      <c r="D89" s="34" t="s">
        <v>45</v>
      </c>
      <c r="E89" s="68">
        <v>1048.85</v>
      </c>
      <c r="F89" s="36"/>
      <c r="G89" s="36">
        <f t="shared" si="6"/>
        <v>1048.85</v>
      </c>
      <c r="H89" s="37"/>
    </row>
    <row r="90">
      <c r="A90" s="60" t="s">
        <v>1771</v>
      </c>
      <c r="B90" s="60" t="s">
        <v>1772</v>
      </c>
      <c r="C90" s="34" t="s">
        <v>2509</v>
      </c>
      <c r="D90" s="34" t="s">
        <v>45</v>
      </c>
      <c r="E90" s="68">
        <v>2111.69</v>
      </c>
      <c r="F90" s="36"/>
      <c r="G90" s="36">
        <f t="shared" si="6"/>
        <v>2111.69</v>
      </c>
      <c r="H90" s="37"/>
    </row>
    <row r="91">
      <c r="A91" s="60" t="s">
        <v>296</v>
      </c>
      <c r="B91" s="60" t="s">
        <v>297</v>
      </c>
      <c r="C91" s="34" t="s">
        <v>2509</v>
      </c>
      <c r="D91" s="34" t="s">
        <v>45</v>
      </c>
      <c r="E91" s="68">
        <v>1055.86</v>
      </c>
      <c r="F91" s="36"/>
      <c r="G91" s="36">
        <f t="shared" si="6"/>
        <v>1055.86</v>
      </c>
      <c r="H91" s="37"/>
    </row>
    <row r="92">
      <c r="A92" s="60" t="s">
        <v>2443</v>
      </c>
      <c r="B92" s="60" t="s">
        <v>2444</v>
      </c>
      <c r="C92" s="34" t="s">
        <v>2509</v>
      </c>
      <c r="D92" s="34" t="s">
        <v>45</v>
      </c>
      <c r="E92" s="68">
        <v>173.98</v>
      </c>
      <c r="F92" s="36"/>
      <c r="G92" s="36">
        <f t="shared" si="6"/>
        <v>173.98</v>
      </c>
      <c r="H92" s="37"/>
    </row>
    <row r="93">
      <c r="A93" s="60" t="s">
        <v>300</v>
      </c>
      <c r="B93" s="60" t="s">
        <v>301</v>
      </c>
      <c r="C93" s="34" t="s">
        <v>2509</v>
      </c>
      <c r="D93" s="34" t="s">
        <v>45</v>
      </c>
      <c r="E93" s="68">
        <v>343.95</v>
      </c>
      <c r="F93" s="36"/>
      <c r="G93" s="36">
        <f t="shared" si="6"/>
        <v>343.95</v>
      </c>
      <c r="H93" s="37"/>
    </row>
    <row r="94">
      <c r="A94" s="60" t="s">
        <v>1415</v>
      </c>
      <c r="B94" s="60" t="s">
        <v>1416</v>
      </c>
      <c r="C94" s="34" t="s">
        <v>2509</v>
      </c>
      <c r="D94" s="34" t="s">
        <v>45</v>
      </c>
      <c r="E94" s="68">
        <v>2454.11</v>
      </c>
      <c r="F94" s="36"/>
      <c r="G94" s="36">
        <f t="shared" si="6"/>
        <v>2454.11</v>
      </c>
      <c r="H94" s="37"/>
    </row>
    <row r="95">
      <c r="A95" s="60" t="s">
        <v>2510</v>
      </c>
      <c r="B95" s="60" t="s">
        <v>2511</v>
      </c>
      <c r="C95" s="34" t="s">
        <v>2509</v>
      </c>
      <c r="D95" s="34" t="s">
        <v>45</v>
      </c>
      <c r="E95" s="68">
        <v>1086.85</v>
      </c>
      <c r="F95" s="36"/>
      <c r="G95" s="36">
        <f t="shared" si="6"/>
        <v>1086.85</v>
      </c>
      <c r="H95" s="37"/>
    </row>
    <row r="96">
      <c r="A96" s="60" t="s">
        <v>2445</v>
      </c>
      <c r="B96" s="60" t="s">
        <v>2446</v>
      </c>
      <c r="C96" s="34" t="s">
        <v>2509</v>
      </c>
      <c r="D96" s="34" t="s">
        <v>45</v>
      </c>
      <c r="E96" s="68">
        <v>1151.83</v>
      </c>
      <c r="F96" s="36"/>
      <c r="G96" s="36">
        <f t="shared" si="6"/>
        <v>1151.83</v>
      </c>
      <c r="H96" s="37"/>
    </row>
    <row r="97">
      <c r="A97" s="60" t="s">
        <v>2160</v>
      </c>
      <c r="B97" s="60" t="s">
        <v>2161</v>
      </c>
      <c r="C97" s="34" t="s">
        <v>2509</v>
      </c>
      <c r="D97" s="34" t="s">
        <v>45</v>
      </c>
      <c r="E97" s="68">
        <v>997.87</v>
      </c>
      <c r="F97" s="36"/>
      <c r="G97" s="36">
        <f t="shared" si="6"/>
        <v>997.87</v>
      </c>
      <c r="H97" s="37"/>
    </row>
    <row r="98">
      <c r="A98" s="60" t="s">
        <v>308</v>
      </c>
      <c r="B98" s="60" t="s">
        <v>309</v>
      </c>
      <c r="C98" s="34" t="s">
        <v>73</v>
      </c>
      <c r="D98" s="34" t="s">
        <v>52</v>
      </c>
      <c r="E98" s="68">
        <v>24262.21</v>
      </c>
      <c r="F98" s="36"/>
      <c r="G98" s="36">
        <f t="shared" si="6"/>
        <v>24262.21</v>
      </c>
      <c r="H98" s="37"/>
    </row>
    <row r="99">
      <c r="A99" s="60" t="s">
        <v>310</v>
      </c>
      <c r="B99" s="60" t="s">
        <v>311</v>
      </c>
      <c r="C99" s="34" t="s">
        <v>73</v>
      </c>
      <c r="D99" s="34" t="s">
        <v>52</v>
      </c>
      <c r="E99" s="68">
        <v>19329.37</v>
      </c>
      <c r="F99" s="36"/>
      <c r="G99" s="36">
        <f t="shared" si="6"/>
        <v>19329.37</v>
      </c>
      <c r="H99" s="37"/>
    </row>
    <row r="100">
      <c r="A100" s="60" t="s">
        <v>312</v>
      </c>
      <c r="B100" s="60" t="s">
        <v>313</v>
      </c>
      <c r="C100" s="34" t="s">
        <v>73</v>
      </c>
      <c r="D100" s="34" t="s">
        <v>52</v>
      </c>
      <c r="E100" s="68">
        <v>10807.47</v>
      </c>
      <c r="F100" s="36"/>
      <c r="G100" s="36">
        <f t="shared" si="6"/>
        <v>10807.47</v>
      </c>
      <c r="H100" s="37"/>
    </row>
    <row r="101">
      <c r="A101" s="60" t="s">
        <v>314</v>
      </c>
      <c r="B101" s="60" t="s">
        <v>315</v>
      </c>
      <c r="C101" s="34" t="s">
        <v>73</v>
      </c>
      <c r="D101" s="34" t="s">
        <v>52</v>
      </c>
      <c r="E101" s="68">
        <v>14995.41</v>
      </c>
      <c r="F101" s="36"/>
      <c r="G101" s="36">
        <f t="shared" si="6"/>
        <v>14995.41</v>
      </c>
      <c r="H101" s="37"/>
    </row>
    <row r="102">
      <c r="A102" s="60" t="s">
        <v>316</v>
      </c>
      <c r="B102" s="60" t="s">
        <v>317</v>
      </c>
      <c r="C102" s="34" t="s">
        <v>73</v>
      </c>
      <c r="D102" s="34" t="s">
        <v>52</v>
      </c>
      <c r="E102" s="68">
        <v>3284.76</v>
      </c>
      <c r="F102" s="36"/>
      <c r="G102" s="36">
        <f t="shared" si="6"/>
        <v>3284.76</v>
      </c>
      <c r="H102" s="37"/>
    </row>
    <row r="103">
      <c r="A103" s="60" t="s">
        <v>318</v>
      </c>
      <c r="B103" s="60" t="s">
        <v>319</v>
      </c>
      <c r="C103" s="34" t="s">
        <v>73</v>
      </c>
      <c r="D103" s="34" t="s">
        <v>52</v>
      </c>
      <c r="E103" s="68">
        <v>12330.69</v>
      </c>
      <c r="F103" s="36"/>
      <c r="G103" s="36">
        <f t="shared" si="6"/>
        <v>12330.69</v>
      </c>
      <c r="H103" s="37"/>
    </row>
    <row r="104">
      <c r="A104" s="60" t="s">
        <v>320</v>
      </c>
      <c r="B104" s="60" t="s">
        <v>321</v>
      </c>
      <c r="C104" s="34" t="s">
        <v>73</v>
      </c>
      <c r="D104" s="34" t="s">
        <v>52</v>
      </c>
      <c r="E104" s="68">
        <v>3223.25</v>
      </c>
      <c r="F104" s="36"/>
      <c r="G104" s="36">
        <f t="shared" si="6"/>
        <v>3223.25</v>
      </c>
      <c r="H104" s="37"/>
    </row>
    <row r="105">
      <c r="A105" s="60" t="s">
        <v>322</v>
      </c>
      <c r="B105" s="60" t="s">
        <v>323</v>
      </c>
      <c r="C105" s="34" t="s">
        <v>73</v>
      </c>
      <c r="D105" s="34" t="s">
        <v>52</v>
      </c>
      <c r="E105" s="68">
        <v>2133.61</v>
      </c>
      <c r="F105" s="36"/>
      <c r="G105" s="36">
        <f t="shared" si="6"/>
        <v>2133.61</v>
      </c>
      <c r="H105" s="37"/>
    </row>
    <row r="106">
      <c r="A106" s="60" t="s">
        <v>326</v>
      </c>
      <c r="B106" s="60" t="s">
        <v>327</v>
      </c>
      <c r="C106" s="34" t="s">
        <v>73</v>
      </c>
      <c r="D106" s="34" t="s">
        <v>52</v>
      </c>
      <c r="E106" s="68">
        <v>1019.99</v>
      </c>
      <c r="F106" s="36"/>
      <c r="G106" s="36">
        <f t="shared" si="6"/>
        <v>1019.99</v>
      </c>
      <c r="H106" s="37"/>
    </row>
    <row r="107">
      <c r="A107" s="60" t="s">
        <v>328</v>
      </c>
      <c r="B107" s="60" t="s">
        <v>329</v>
      </c>
      <c r="C107" s="34" t="s">
        <v>73</v>
      </c>
      <c r="D107" s="34" t="s">
        <v>52</v>
      </c>
      <c r="E107" s="68">
        <v>11147.68</v>
      </c>
      <c r="F107" s="36"/>
      <c r="G107" s="36">
        <f t="shared" si="6"/>
        <v>11147.68</v>
      </c>
      <c r="H107" s="37"/>
    </row>
    <row r="108">
      <c r="A108" s="60" t="s">
        <v>330</v>
      </c>
      <c r="B108" s="60" t="s">
        <v>331</v>
      </c>
      <c r="C108" s="34" t="s">
        <v>73</v>
      </c>
      <c r="D108" s="34" t="s">
        <v>52</v>
      </c>
      <c r="E108" s="68">
        <v>3399.98</v>
      </c>
      <c r="F108" s="36"/>
      <c r="G108" s="36">
        <f t="shared" si="6"/>
        <v>3399.98</v>
      </c>
      <c r="H108" s="37"/>
    </row>
    <row r="109">
      <c r="A109" s="60" t="s">
        <v>332</v>
      </c>
      <c r="B109" s="60" t="s">
        <v>333</v>
      </c>
      <c r="C109" s="34" t="s">
        <v>73</v>
      </c>
      <c r="D109" s="34" t="s">
        <v>52</v>
      </c>
      <c r="E109" s="68">
        <v>550.75</v>
      </c>
      <c r="F109" s="36"/>
      <c r="G109" s="36">
        <f t="shared" si="6"/>
        <v>550.75</v>
      </c>
      <c r="H109" s="37"/>
    </row>
    <row r="110">
      <c r="A110" s="60" t="s">
        <v>334</v>
      </c>
      <c r="B110" s="60" t="s">
        <v>335</v>
      </c>
      <c r="C110" s="34" t="s">
        <v>73</v>
      </c>
      <c r="D110" s="34" t="s">
        <v>52</v>
      </c>
      <c r="E110" s="68">
        <v>113031.22</v>
      </c>
      <c r="F110" s="36"/>
      <c r="G110" s="36">
        <f t="shared" si="6"/>
        <v>113031.22</v>
      </c>
      <c r="H110" s="37"/>
    </row>
    <row r="111">
      <c r="A111" s="60" t="s">
        <v>336</v>
      </c>
      <c r="B111" s="60" t="s">
        <v>337</v>
      </c>
      <c r="C111" s="34" t="s">
        <v>73</v>
      </c>
      <c r="D111" s="34" t="s">
        <v>52</v>
      </c>
      <c r="E111" s="68">
        <v>1600.04</v>
      </c>
      <c r="F111" s="36"/>
      <c r="G111" s="36">
        <f t="shared" si="6"/>
        <v>1600.04</v>
      </c>
      <c r="H111" s="37"/>
    </row>
    <row r="112">
      <c r="A112" s="60" t="s">
        <v>340</v>
      </c>
      <c r="B112" s="60" t="s">
        <v>341</v>
      </c>
      <c r="C112" s="34" t="s">
        <v>73</v>
      </c>
      <c r="D112" s="34" t="s">
        <v>52</v>
      </c>
      <c r="E112" s="68">
        <v>1632.0</v>
      </c>
      <c r="F112" s="36"/>
      <c r="G112" s="36">
        <f t="shared" si="6"/>
        <v>1632</v>
      </c>
      <c r="H112" s="37"/>
    </row>
    <row r="113">
      <c r="A113" s="60" t="s">
        <v>342</v>
      </c>
      <c r="B113" s="60" t="s">
        <v>343</v>
      </c>
      <c r="C113" s="34" t="s">
        <v>73</v>
      </c>
      <c r="D113" s="34" t="s">
        <v>52</v>
      </c>
      <c r="E113" s="68">
        <v>6325.0</v>
      </c>
      <c r="F113" s="36"/>
      <c r="G113" s="36">
        <f t="shared" si="6"/>
        <v>6325</v>
      </c>
      <c r="H113" s="37"/>
    </row>
    <row r="114">
      <c r="A114" s="60" t="s">
        <v>424</v>
      </c>
      <c r="B114" s="60" t="s">
        <v>425</v>
      </c>
      <c r="C114" s="34" t="s">
        <v>2447</v>
      </c>
      <c r="D114" s="34" t="s">
        <v>2269</v>
      </c>
      <c r="E114" s="68">
        <v>285.96</v>
      </c>
      <c r="F114" s="36"/>
      <c r="G114" s="36">
        <f t="shared" si="6"/>
        <v>285.96</v>
      </c>
      <c r="H114" s="37"/>
    </row>
    <row r="115">
      <c r="A115" s="60" t="s">
        <v>426</v>
      </c>
      <c r="B115" s="60" t="s">
        <v>427</v>
      </c>
      <c r="C115" s="34" t="s">
        <v>2447</v>
      </c>
      <c r="D115" s="34" t="s">
        <v>2269</v>
      </c>
      <c r="E115" s="68">
        <v>234.97</v>
      </c>
      <c r="F115" s="36"/>
      <c r="G115" s="36">
        <f t="shared" si="6"/>
        <v>234.97</v>
      </c>
      <c r="H115" s="37"/>
    </row>
    <row r="116">
      <c r="A116" s="60" t="s">
        <v>432</v>
      </c>
      <c r="B116" s="60" t="s">
        <v>433</v>
      </c>
      <c r="C116" s="34" t="s">
        <v>2447</v>
      </c>
      <c r="D116" s="34" t="s">
        <v>2269</v>
      </c>
      <c r="E116" s="68">
        <v>460.03</v>
      </c>
      <c r="F116" s="36"/>
      <c r="G116" s="36">
        <f t="shared" si="6"/>
        <v>460.03</v>
      </c>
      <c r="H116" s="37"/>
    </row>
    <row r="117">
      <c r="A117" s="60" t="s">
        <v>434</v>
      </c>
      <c r="B117" s="60" t="s">
        <v>435</v>
      </c>
      <c r="C117" s="34" t="s">
        <v>2447</v>
      </c>
      <c r="D117" s="34" t="s">
        <v>2269</v>
      </c>
      <c r="E117" s="68">
        <v>178.95</v>
      </c>
      <c r="F117" s="36"/>
      <c r="G117" s="36">
        <f t="shared" si="6"/>
        <v>178.95</v>
      </c>
      <c r="H117" s="37"/>
    </row>
    <row r="118">
      <c r="A118" s="60" t="s">
        <v>436</v>
      </c>
      <c r="B118" s="60" t="s">
        <v>437</v>
      </c>
      <c r="C118" s="34" t="s">
        <v>2447</v>
      </c>
      <c r="D118" s="34" t="s">
        <v>2269</v>
      </c>
      <c r="E118" s="68">
        <v>67.99</v>
      </c>
      <c r="F118" s="36"/>
      <c r="G118" s="36">
        <f t="shared" si="6"/>
        <v>67.99</v>
      </c>
      <c r="H118" s="37"/>
    </row>
    <row r="119">
      <c r="A119" s="60" t="s">
        <v>438</v>
      </c>
      <c r="B119" s="60" t="s">
        <v>439</v>
      </c>
      <c r="C119" s="34" t="s">
        <v>2447</v>
      </c>
      <c r="D119" s="34" t="s">
        <v>2269</v>
      </c>
      <c r="E119" s="68">
        <v>1022.04</v>
      </c>
      <c r="F119" s="36"/>
      <c r="G119" s="36">
        <f t="shared" si="6"/>
        <v>1022.04</v>
      </c>
      <c r="H119" s="37"/>
    </row>
    <row r="120">
      <c r="A120" s="60" t="s">
        <v>442</v>
      </c>
      <c r="B120" s="60" t="s">
        <v>443</v>
      </c>
      <c r="C120" s="34" t="s">
        <v>2447</v>
      </c>
      <c r="D120" s="34" t="s">
        <v>2269</v>
      </c>
      <c r="E120" s="68">
        <v>8062.47</v>
      </c>
      <c r="F120" s="36"/>
      <c r="G120" s="36">
        <f t="shared" si="6"/>
        <v>8062.47</v>
      </c>
      <c r="H120" s="37"/>
    </row>
    <row r="121">
      <c r="A121" s="60" t="s">
        <v>446</v>
      </c>
      <c r="B121" s="60" t="s">
        <v>447</v>
      </c>
      <c r="C121" s="34" t="s">
        <v>2447</v>
      </c>
      <c r="D121" s="34" t="s">
        <v>2269</v>
      </c>
      <c r="E121" s="68">
        <v>1259.25</v>
      </c>
      <c r="F121" s="36"/>
      <c r="G121" s="36">
        <f t="shared" si="6"/>
        <v>1259.25</v>
      </c>
      <c r="H121" s="37"/>
    </row>
    <row r="122">
      <c r="A122" s="60" t="s">
        <v>448</v>
      </c>
      <c r="B122" s="60" t="s">
        <v>449</v>
      </c>
      <c r="C122" s="34" t="s">
        <v>2447</v>
      </c>
      <c r="D122" s="34" t="s">
        <v>2269</v>
      </c>
      <c r="E122" s="68">
        <v>107.98</v>
      </c>
      <c r="F122" s="36"/>
      <c r="G122" s="36">
        <f t="shared" si="6"/>
        <v>107.98</v>
      </c>
      <c r="H122" s="37"/>
    </row>
    <row r="123">
      <c r="A123" s="60" t="s">
        <v>450</v>
      </c>
      <c r="B123" s="60" t="s">
        <v>451</v>
      </c>
      <c r="C123" s="34" t="s">
        <v>2447</v>
      </c>
      <c r="D123" s="34" t="s">
        <v>2269</v>
      </c>
      <c r="E123" s="68">
        <v>1723.8</v>
      </c>
      <c r="F123" s="36"/>
      <c r="G123" s="36">
        <f t="shared" si="6"/>
        <v>1723.8</v>
      </c>
      <c r="H123" s="37"/>
    </row>
    <row r="124">
      <c r="A124" s="60" t="s">
        <v>458</v>
      </c>
      <c r="B124" s="60" t="s">
        <v>2448</v>
      </c>
      <c r="C124" s="34" t="s">
        <v>2447</v>
      </c>
      <c r="D124" s="34" t="s">
        <v>2269</v>
      </c>
      <c r="E124" s="68">
        <v>729.96</v>
      </c>
      <c r="F124" s="36"/>
      <c r="G124" s="36">
        <f t="shared" si="6"/>
        <v>729.96</v>
      </c>
      <c r="H124" s="37"/>
    </row>
    <row r="125">
      <c r="A125" s="60" t="s">
        <v>460</v>
      </c>
      <c r="B125" s="60" t="s">
        <v>461</v>
      </c>
      <c r="C125" s="34" t="s">
        <v>2447</v>
      </c>
      <c r="D125" s="34" t="s">
        <v>2269</v>
      </c>
      <c r="E125" s="68">
        <v>252.64</v>
      </c>
      <c r="F125" s="36"/>
      <c r="G125" s="36">
        <f t="shared" si="6"/>
        <v>252.64</v>
      </c>
      <c r="H125" s="37"/>
    </row>
    <row r="126">
      <c r="A126" s="60" t="s">
        <v>462</v>
      </c>
      <c r="B126" s="60" t="s">
        <v>463</v>
      </c>
      <c r="C126" s="34" t="s">
        <v>2447</v>
      </c>
      <c r="D126" s="34" t="s">
        <v>2269</v>
      </c>
      <c r="E126" s="68">
        <v>8742.89</v>
      </c>
      <c r="F126" s="36"/>
      <c r="G126" s="36">
        <f t="shared" si="6"/>
        <v>8742.89</v>
      </c>
      <c r="H126" s="37"/>
    </row>
    <row r="127">
      <c r="A127" s="60" t="s">
        <v>466</v>
      </c>
      <c r="B127" s="60" t="s">
        <v>467</v>
      </c>
      <c r="C127" s="34" t="s">
        <v>2447</v>
      </c>
      <c r="D127" s="34" t="s">
        <v>2269</v>
      </c>
      <c r="E127" s="68">
        <v>2282.02</v>
      </c>
      <c r="F127" s="36"/>
      <c r="G127" s="36">
        <f t="shared" si="6"/>
        <v>2282.02</v>
      </c>
      <c r="H127" s="37"/>
    </row>
    <row r="128">
      <c r="A128" s="60" t="s">
        <v>468</v>
      </c>
      <c r="B128" s="60" t="s">
        <v>469</v>
      </c>
      <c r="C128" s="34" t="s">
        <v>2447</v>
      </c>
      <c r="D128" s="34" t="s">
        <v>2269</v>
      </c>
      <c r="E128" s="68">
        <v>1566.81</v>
      </c>
      <c r="F128" s="36"/>
      <c r="G128" s="36">
        <f t="shared" si="6"/>
        <v>1566.81</v>
      </c>
      <c r="H128" s="37"/>
    </row>
    <row r="129">
      <c r="A129" s="60" t="s">
        <v>2512</v>
      </c>
      <c r="B129" s="60" t="s">
        <v>2513</v>
      </c>
      <c r="C129" s="34" t="s">
        <v>2447</v>
      </c>
      <c r="D129" s="34" t="s">
        <v>2269</v>
      </c>
      <c r="E129" s="68">
        <v>1690.55</v>
      </c>
      <c r="F129" s="36"/>
      <c r="G129" s="36">
        <f t="shared" si="6"/>
        <v>1690.55</v>
      </c>
      <c r="H129" s="37"/>
    </row>
    <row r="130">
      <c r="A130" s="60" t="s">
        <v>470</v>
      </c>
      <c r="B130" s="60" t="s">
        <v>471</v>
      </c>
      <c r="C130" s="34" t="s">
        <v>2447</v>
      </c>
      <c r="D130" s="34" t="s">
        <v>2269</v>
      </c>
      <c r="E130" s="68">
        <v>492.02</v>
      </c>
      <c r="F130" s="36"/>
      <c r="G130" s="36">
        <f t="shared" si="6"/>
        <v>492.02</v>
      </c>
      <c r="H130" s="37"/>
    </row>
    <row r="131">
      <c r="A131" s="60" t="s">
        <v>350</v>
      </c>
      <c r="B131" s="60" t="s">
        <v>351</v>
      </c>
      <c r="C131" s="34" t="s">
        <v>2447</v>
      </c>
      <c r="D131" s="34" t="s">
        <v>2269</v>
      </c>
      <c r="E131" s="68">
        <v>100.0</v>
      </c>
      <c r="F131" s="36"/>
      <c r="G131" s="36">
        <f t="shared" si="6"/>
        <v>100</v>
      </c>
      <c r="H131" s="37"/>
    </row>
    <row r="132">
      <c r="A132" s="60" t="s">
        <v>352</v>
      </c>
      <c r="B132" s="60" t="s">
        <v>353</v>
      </c>
      <c r="C132" s="34" t="s">
        <v>2447</v>
      </c>
      <c r="D132" s="34" t="s">
        <v>2269</v>
      </c>
      <c r="E132" s="68">
        <v>108.98</v>
      </c>
      <c r="F132" s="36"/>
      <c r="G132" s="36">
        <f t="shared" si="6"/>
        <v>108.98</v>
      </c>
      <c r="H132" s="37"/>
    </row>
    <row r="133">
      <c r="A133" s="60" t="s">
        <v>354</v>
      </c>
      <c r="B133" s="60" t="s">
        <v>355</v>
      </c>
      <c r="C133" s="34" t="s">
        <v>2447</v>
      </c>
      <c r="D133" s="34" t="s">
        <v>2269</v>
      </c>
      <c r="E133" s="68">
        <v>744.0</v>
      </c>
      <c r="F133" s="36"/>
      <c r="G133" s="36">
        <f t="shared" si="6"/>
        <v>744</v>
      </c>
      <c r="H133" s="37"/>
    </row>
    <row r="134">
      <c r="A134" s="60" t="s">
        <v>356</v>
      </c>
      <c r="B134" s="60" t="s">
        <v>357</v>
      </c>
      <c r="C134" s="34" t="s">
        <v>2447</v>
      </c>
      <c r="D134" s="34" t="s">
        <v>2269</v>
      </c>
      <c r="E134" s="68">
        <v>149.98</v>
      </c>
      <c r="F134" s="36"/>
      <c r="G134" s="36">
        <f t="shared" si="6"/>
        <v>149.98</v>
      </c>
      <c r="H134" s="37"/>
    </row>
    <row r="135">
      <c r="A135" s="60" t="s">
        <v>358</v>
      </c>
      <c r="B135" s="60" t="s">
        <v>359</v>
      </c>
      <c r="C135" s="34" t="s">
        <v>2447</v>
      </c>
      <c r="D135" s="34" t="s">
        <v>2269</v>
      </c>
      <c r="E135" s="68">
        <v>207.98</v>
      </c>
      <c r="F135" s="36"/>
      <c r="G135" s="36">
        <f t="shared" si="6"/>
        <v>207.98</v>
      </c>
      <c r="H135" s="37"/>
    </row>
    <row r="136">
      <c r="A136" s="60" t="s">
        <v>362</v>
      </c>
      <c r="B136" s="60" t="s">
        <v>363</v>
      </c>
      <c r="C136" s="34" t="s">
        <v>2447</v>
      </c>
      <c r="D136" s="34" t="s">
        <v>2269</v>
      </c>
      <c r="E136" s="68">
        <v>142.98</v>
      </c>
      <c r="F136" s="36"/>
      <c r="G136" s="36">
        <f t="shared" si="6"/>
        <v>142.98</v>
      </c>
      <c r="H136" s="37"/>
    </row>
    <row r="137">
      <c r="A137" s="60" t="s">
        <v>364</v>
      </c>
      <c r="B137" s="60" t="s">
        <v>365</v>
      </c>
      <c r="C137" s="34" t="s">
        <v>2447</v>
      </c>
      <c r="D137" s="34" t="s">
        <v>2269</v>
      </c>
      <c r="E137" s="68">
        <v>12575.47</v>
      </c>
      <c r="F137" s="36"/>
      <c r="G137" s="36">
        <f t="shared" si="6"/>
        <v>12575.47</v>
      </c>
      <c r="H137" s="37"/>
    </row>
    <row r="138">
      <c r="A138" s="60" t="s">
        <v>366</v>
      </c>
      <c r="B138" s="60" t="s">
        <v>367</v>
      </c>
      <c r="C138" s="34" t="s">
        <v>2447</v>
      </c>
      <c r="D138" s="34" t="s">
        <v>2269</v>
      </c>
      <c r="E138" s="68">
        <v>868.89</v>
      </c>
      <c r="F138" s="36"/>
      <c r="G138" s="36">
        <f t="shared" si="6"/>
        <v>868.89</v>
      </c>
      <c r="H138" s="37"/>
    </row>
    <row r="139">
      <c r="A139" s="60" t="s">
        <v>368</v>
      </c>
      <c r="B139" s="60" t="s">
        <v>1618</v>
      </c>
      <c r="C139" s="34" t="s">
        <v>2447</v>
      </c>
      <c r="D139" s="34" t="s">
        <v>2269</v>
      </c>
      <c r="E139" s="68">
        <v>8340.58</v>
      </c>
      <c r="F139" s="36"/>
      <c r="G139" s="36">
        <f t="shared" si="6"/>
        <v>8340.58</v>
      </c>
      <c r="H139" s="37"/>
    </row>
    <row r="140">
      <c r="A140" s="60" t="s">
        <v>1443</v>
      </c>
      <c r="B140" s="60" t="s">
        <v>1444</v>
      </c>
      <c r="C140" s="34" t="s">
        <v>2447</v>
      </c>
      <c r="D140" s="34" t="s">
        <v>2269</v>
      </c>
      <c r="E140" s="68">
        <v>1620.01</v>
      </c>
      <c r="F140" s="36"/>
      <c r="G140" s="36">
        <f t="shared" si="6"/>
        <v>1620.01</v>
      </c>
      <c r="H140" s="37"/>
    </row>
    <row r="141">
      <c r="A141" s="60" t="s">
        <v>716</v>
      </c>
      <c r="B141" s="60" t="s">
        <v>717</v>
      </c>
      <c r="C141" s="34" t="s">
        <v>2447</v>
      </c>
      <c r="D141" s="34" t="s">
        <v>2269</v>
      </c>
      <c r="E141" s="68">
        <v>1584.04</v>
      </c>
      <c r="F141" s="36"/>
      <c r="G141" s="36">
        <f t="shared" si="6"/>
        <v>1584.04</v>
      </c>
      <c r="H141" s="37"/>
    </row>
    <row r="142">
      <c r="A142" s="60" t="s">
        <v>1445</v>
      </c>
      <c r="B142" s="60" t="s">
        <v>1446</v>
      </c>
      <c r="C142" s="34" t="s">
        <v>2447</v>
      </c>
      <c r="D142" s="34" t="s">
        <v>2269</v>
      </c>
      <c r="E142" s="68">
        <v>388.0</v>
      </c>
      <c r="F142" s="36"/>
      <c r="G142" s="36">
        <f t="shared" si="6"/>
        <v>388</v>
      </c>
      <c r="H142" s="37"/>
    </row>
    <row r="143">
      <c r="A143" s="60" t="s">
        <v>370</v>
      </c>
      <c r="B143" s="60" t="s">
        <v>371</v>
      </c>
      <c r="C143" s="34" t="s">
        <v>2447</v>
      </c>
      <c r="D143" s="34" t="s">
        <v>2269</v>
      </c>
      <c r="E143" s="68">
        <v>3920.23</v>
      </c>
      <c r="F143" s="36"/>
      <c r="G143" s="36">
        <f t="shared" si="6"/>
        <v>3920.23</v>
      </c>
      <c r="H143" s="37"/>
    </row>
    <row r="144">
      <c r="A144" s="60" t="s">
        <v>384</v>
      </c>
      <c r="B144" s="60" t="s">
        <v>385</v>
      </c>
      <c r="C144" s="34" t="s">
        <v>2447</v>
      </c>
      <c r="D144" s="34" t="s">
        <v>2269</v>
      </c>
      <c r="E144" s="68">
        <v>2469.68</v>
      </c>
      <c r="F144" s="36"/>
      <c r="G144" s="36">
        <f t="shared" si="6"/>
        <v>2469.68</v>
      </c>
      <c r="H144" s="37"/>
    </row>
    <row r="145">
      <c r="A145" s="60" t="s">
        <v>386</v>
      </c>
      <c r="B145" s="60" t="s">
        <v>387</v>
      </c>
      <c r="C145" s="34" t="s">
        <v>2447</v>
      </c>
      <c r="D145" s="34" t="s">
        <v>2269</v>
      </c>
      <c r="E145" s="68">
        <v>333.96</v>
      </c>
      <c r="F145" s="36"/>
      <c r="G145" s="36">
        <f t="shared" si="6"/>
        <v>333.96</v>
      </c>
      <c r="H145" s="37"/>
    </row>
    <row r="146">
      <c r="A146" s="60" t="s">
        <v>388</v>
      </c>
      <c r="B146" s="60" t="s">
        <v>389</v>
      </c>
      <c r="C146" s="34" t="s">
        <v>2447</v>
      </c>
      <c r="D146" s="34" t="s">
        <v>2269</v>
      </c>
      <c r="E146" s="68">
        <v>1010.02</v>
      </c>
      <c r="F146" s="36"/>
      <c r="G146" s="36">
        <f t="shared" si="6"/>
        <v>1010.02</v>
      </c>
      <c r="H146" s="37"/>
    </row>
    <row r="147">
      <c r="A147" s="60" t="s">
        <v>746</v>
      </c>
      <c r="B147" s="60" t="s">
        <v>747</v>
      </c>
      <c r="C147" s="34" t="s">
        <v>2447</v>
      </c>
      <c r="D147" s="34" t="s">
        <v>2269</v>
      </c>
      <c r="E147" s="68">
        <v>3730.1</v>
      </c>
      <c r="F147" s="36"/>
      <c r="G147" s="36">
        <f t="shared" si="6"/>
        <v>3730.1</v>
      </c>
      <c r="H147" s="37"/>
    </row>
    <row r="148">
      <c r="A148" s="60" t="s">
        <v>390</v>
      </c>
      <c r="B148" s="60" t="s">
        <v>391</v>
      </c>
      <c r="C148" s="34" t="s">
        <v>2447</v>
      </c>
      <c r="D148" s="34" t="s">
        <v>2269</v>
      </c>
      <c r="E148" s="68">
        <v>500.0</v>
      </c>
      <c r="F148" s="36"/>
      <c r="G148" s="36">
        <f t="shared" si="6"/>
        <v>500</v>
      </c>
      <c r="H148" s="37"/>
    </row>
    <row r="149">
      <c r="A149" s="60" t="s">
        <v>392</v>
      </c>
      <c r="B149" s="60" t="s">
        <v>393</v>
      </c>
      <c r="C149" s="34" t="s">
        <v>2447</v>
      </c>
      <c r="D149" s="34" t="s">
        <v>2269</v>
      </c>
      <c r="E149" s="68">
        <v>493.93</v>
      </c>
      <c r="F149" s="36"/>
      <c r="G149" s="36">
        <f t="shared" si="6"/>
        <v>493.93</v>
      </c>
      <c r="H149" s="37"/>
    </row>
    <row r="150">
      <c r="A150" s="60" t="s">
        <v>396</v>
      </c>
      <c r="B150" s="60" t="s">
        <v>397</v>
      </c>
      <c r="C150" s="34" t="s">
        <v>2447</v>
      </c>
      <c r="D150" s="34" t="s">
        <v>2269</v>
      </c>
      <c r="E150" s="68">
        <v>518.99</v>
      </c>
      <c r="F150" s="36"/>
      <c r="G150" s="36">
        <f t="shared" si="6"/>
        <v>518.99</v>
      </c>
      <c r="H150" s="37"/>
    </row>
    <row r="151">
      <c r="A151" s="60" t="s">
        <v>748</v>
      </c>
      <c r="B151" s="60" t="s">
        <v>749</v>
      </c>
      <c r="C151" s="34" t="s">
        <v>2447</v>
      </c>
      <c r="D151" s="34" t="s">
        <v>2269</v>
      </c>
      <c r="E151" s="68">
        <v>183.98</v>
      </c>
      <c r="F151" s="36"/>
      <c r="G151" s="36">
        <f t="shared" si="6"/>
        <v>183.98</v>
      </c>
      <c r="H151" s="37"/>
    </row>
    <row r="152">
      <c r="A152" s="60" t="s">
        <v>400</v>
      </c>
      <c r="B152" s="60" t="s">
        <v>1621</v>
      </c>
      <c r="C152" s="34" t="s">
        <v>2447</v>
      </c>
      <c r="D152" s="34" t="s">
        <v>2269</v>
      </c>
      <c r="E152" s="68">
        <v>180.98</v>
      </c>
      <c r="F152" s="36"/>
      <c r="G152" s="36">
        <f t="shared" si="6"/>
        <v>180.98</v>
      </c>
      <c r="H152" s="37"/>
    </row>
    <row r="153">
      <c r="A153" s="60" t="s">
        <v>402</v>
      </c>
      <c r="B153" s="60" t="s">
        <v>403</v>
      </c>
      <c r="C153" s="34" t="s">
        <v>2447</v>
      </c>
      <c r="D153" s="34" t="s">
        <v>2269</v>
      </c>
      <c r="E153" s="68">
        <v>124.98</v>
      </c>
      <c r="F153" s="36"/>
      <c r="G153" s="36">
        <f t="shared" si="6"/>
        <v>124.98</v>
      </c>
      <c r="H153" s="37"/>
    </row>
    <row r="154">
      <c r="A154" s="60" t="s">
        <v>406</v>
      </c>
      <c r="B154" s="60" t="s">
        <v>407</v>
      </c>
      <c r="C154" s="34" t="s">
        <v>2447</v>
      </c>
      <c r="D154" s="34" t="s">
        <v>2269</v>
      </c>
      <c r="E154" s="68">
        <v>434.15</v>
      </c>
      <c r="F154" s="36"/>
      <c r="G154" s="36">
        <f t="shared" si="6"/>
        <v>434.15</v>
      </c>
      <c r="H154" s="37"/>
    </row>
    <row r="155">
      <c r="A155" s="60" t="s">
        <v>472</v>
      </c>
      <c r="B155" s="60" t="s">
        <v>473</v>
      </c>
      <c r="C155" s="34" t="s">
        <v>2447</v>
      </c>
      <c r="D155" s="34" t="s">
        <v>53</v>
      </c>
      <c r="E155" s="68">
        <v>218.01</v>
      </c>
      <c r="F155" s="36"/>
      <c r="G155" s="36">
        <f t="shared" si="6"/>
        <v>218.01</v>
      </c>
      <c r="H155" s="37"/>
    </row>
    <row r="156">
      <c r="A156" s="60" t="s">
        <v>474</v>
      </c>
      <c r="B156" s="60" t="s">
        <v>475</v>
      </c>
      <c r="C156" s="34" t="s">
        <v>2447</v>
      </c>
      <c r="D156" s="34" t="s">
        <v>53</v>
      </c>
      <c r="E156" s="68">
        <v>47.28</v>
      </c>
      <c r="F156" s="36"/>
      <c r="G156" s="36">
        <f t="shared" si="6"/>
        <v>47.28</v>
      </c>
      <c r="H156" s="37"/>
    </row>
    <row r="157">
      <c r="A157" s="60" t="s">
        <v>476</v>
      </c>
      <c r="B157" s="60" t="s">
        <v>477</v>
      </c>
      <c r="C157" s="34" t="s">
        <v>2447</v>
      </c>
      <c r="D157" s="34" t="s">
        <v>53</v>
      </c>
      <c r="E157" s="68">
        <v>101.98</v>
      </c>
      <c r="F157" s="36"/>
      <c r="G157" s="36">
        <f t="shared" si="6"/>
        <v>101.98</v>
      </c>
      <c r="H157" s="37"/>
    </row>
    <row r="158">
      <c r="A158" s="60" t="s">
        <v>478</v>
      </c>
      <c r="B158" s="60" t="s">
        <v>479</v>
      </c>
      <c r="C158" s="34" t="s">
        <v>2447</v>
      </c>
      <c r="D158" s="34" t="s">
        <v>53</v>
      </c>
      <c r="E158" s="68">
        <v>367.95</v>
      </c>
      <c r="F158" s="36"/>
      <c r="G158" s="36">
        <f t="shared" si="6"/>
        <v>367.95</v>
      </c>
      <c r="H158" s="37"/>
    </row>
    <row r="159">
      <c r="A159" s="60" t="s">
        <v>480</v>
      </c>
      <c r="B159" s="60" t="s">
        <v>481</v>
      </c>
      <c r="C159" s="34" t="s">
        <v>2447</v>
      </c>
      <c r="D159" s="34" t="s">
        <v>53</v>
      </c>
      <c r="E159" s="68">
        <v>200.98</v>
      </c>
      <c r="F159" s="36"/>
      <c r="G159" s="36">
        <f t="shared" si="6"/>
        <v>200.98</v>
      </c>
      <c r="H159" s="37"/>
    </row>
    <row r="160">
      <c r="A160" s="60" t="s">
        <v>482</v>
      </c>
      <c r="B160" s="60" t="s">
        <v>483</v>
      </c>
      <c r="C160" s="34" t="s">
        <v>2447</v>
      </c>
      <c r="D160" s="34" t="s">
        <v>53</v>
      </c>
      <c r="E160" s="68">
        <v>183.97</v>
      </c>
      <c r="F160" s="36"/>
      <c r="G160" s="36">
        <f t="shared" si="6"/>
        <v>183.97</v>
      </c>
      <c r="H160" s="37"/>
    </row>
    <row r="161">
      <c r="A161" s="60" t="s">
        <v>2164</v>
      </c>
      <c r="B161" s="60" t="s">
        <v>2165</v>
      </c>
      <c r="C161" s="34" t="s">
        <v>2447</v>
      </c>
      <c r="D161" s="34" t="s">
        <v>53</v>
      </c>
      <c r="E161" s="68">
        <v>217.97</v>
      </c>
      <c r="F161" s="36"/>
      <c r="G161" s="36">
        <f t="shared" si="6"/>
        <v>217.97</v>
      </c>
      <c r="H161" s="37"/>
    </row>
    <row r="162">
      <c r="A162" s="60" t="s">
        <v>484</v>
      </c>
      <c r="B162" s="60" t="s">
        <v>485</v>
      </c>
      <c r="C162" s="34" t="s">
        <v>2447</v>
      </c>
      <c r="D162" s="34" t="s">
        <v>53</v>
      </c>
      <c r="E162" s="68">
        <v>778.02</v>
      </c>
      <c r="F162" s="36"/>
      <c r="G162" s="36">
        <f t="shared" si="6"/>
        <v>778.02</v>
      </c>
      <c r="H162" s="37"/>
    </row>
    <row r="163">
      <c r="A163" s="60" t="s">
        <v>486</v>
      </c>
      <c r="B163" s="60" t="s">
        <v>487</v>
      </c>
      <c r="C163" s="34" t="s">
        <v>2447</v>
      </c>
      <c r="D163" s="34" t="s">
        <v>53</v>
      </c>
      <c r="E163" s="68">
        <v>468.98</v>
      </c>
      <c r="F163" s="36"/>
      <c r="G163" s="36">
        <f t="shared" si="6"/>
        <v>468.98</v>
      </c>
      <c r="H163" s="37"/>
    </row>
    <row r="164">
      <c r="A164" s="60" t="s">
        <v>488</v>
      </c>
      <c r="B164" s="60" t="s">
        <v>489</v>
      </c>
      <c r="C164" s="34" t="s">
        <v>2447</v>
      </c>
      <c r="D164" s="34" t="s">
        <v>53</v>
      </c>
      <c r="E164" s="68">
        <v>108.98</v>
      </c>
      <c r="F164" s="36"/>
      <c r="G164" s="36">
        <f t="shared" si="6"/>
        <v>108.98</v>
      </c>
      <c r="H164" s="37"/>
    </row>
    <row r="165">
      <c r="A165" s="60" t="s">
        <v>490</v>
      </c>
      <c r="B165" s="60" t="s">
        <v>491</v>
      </c>
      <c r="C165" s="34" t="s">
        <v>2447</v>
      </c>
      <c r="D165" s="34" t="s">
        <v>53</v>
      </c>
      <c r="E165" s="68">
        <v>285.96</v>
      </c>
      <c r="F165" s="36"/>
      <c r="G165" s="36">
        <f t="shared" si="6"/>
        <v>285.96</v>
      </c>
      <c r="H165" s="37"/>
    </row>
    <row r="166">
      <c r="A166" s="60" t="s">
        <v>492</v>
      </c>
      <c r="B166" s="60" t="s">
        <v>493</v>
      </c>
      <c r="C166" s="34" t="s">
        <v>2447</v>
      </c>
      <c r="D166" s="34" t="s">
        <v>53</v>
      </c>
      <c r="E166" s="68">
        <v>217.97</v>
      </c>
      <c r="F166" s="36"/>
      <c r="G166" s="36">
        <f t="shared" si="6"/>
        <v>217.97</v>
      </c>
      <c r="H166" s="37"/>
    </row>
    <row r="167">
      <c r="A167" s="60" t="s">
        <v>494</v>
      </c>
      <c r="B167" s="60" t="s">
        <v>495</v>
      </c>
      <c r="C167" s="34" t="s">
        <v>2447</v>
      </c>
      <c r="D167" s="34" t="s">
        <v>53</v>
      </c>
      <c r="E167" s="68">
        <v>115.99</v>
      </c>
      <c r="F167" s="36"/>
      <c r="G167" s="36">
        <f t="shared" si="6"/>
        <v>115.99</v>
      </c>
      <c r="H167" s="37"/>
    </row>
    <row r="168">
      <c r="A168" s="60" t="s">
        <v>496</v>
      </c>
      <c r="B168" s="60" t="s">
        <v>497</v>
      </c>
      <c r="C168" s="34" t="s">
        <v>2447</v>
      </c>
      <c r="D168" s="34" t="s">
        <v>53</v>
      </c>
      <c r="E168" s="68">
        <v>91.98</v>
      </c>
      <c r="F168" s="36"/>
      <c r="G168" s="36">
        <f t="shared" si="6"/>
        <v>91.98</v>
      </c>
      <c r="H168" s="37"/>
    </row>
    <row r="169">
      <c r="A169" s="60" t="s">
        <v>498</v>
      </c>
      <c r="B169" s="60" t="s">
        <v>499</v>
      </c>
      <c r="C169" s="34" t="s">
        <v>2447</v>
      </c>
      <c r="D169" s="34" t="s">
        <v>53</v>
      </c>
      <c r="E169" s="68">
        <v>367.95</v>
      </c>
      <c r="F169" s="36"/>
      <c r="G169" s="36">
        <f t="shared" si="6"/>
        <v>367.95</v>
      </c>
      <c r="H169" s="37"/>
    </row>
    <row r="170">
      <c r="A170" s="60" t="s">
        <v>500</v>
      </c>
      <c r="B170" s="60" t="s">
        <v>501</v>
      </c>
      <c r="C170" s="34" t="s">
        <v>2447</v>
      </c>
      <c r="D170" s="34" t="s">
        <v>53</v>
      </c>
      <c r="E170" s="68">
        <v>275.96</v>
      </c>
      <c r="F170" s="36"/>
      <c r="G170" s="36">
        <f t="shared" si="6"/>
        <v>275.96</v>
      </c>
      <c r="H170" s="37"/>
    </row>
    <row r="171">
      <c r="A171" s="60" t="s">
        <v>502</v>
      </c>
      <c r="B171" s="60" t="s">
        <v>503</v>
      </c>
      <c r="C171" s="34" t="s">
        <v>2447</v>
      </c>
      <c r="D171" s="34" t="s">
        <v>53</v>
      </c>
      <c r="E171" s="68">
        <v>53.98</v>
      </c>
      <c r="F171" s="36"/>
      <c r="G171" s="36">
        <f t="shared" si="6"/>
        <v>53.98</v>
      </c>
      <c r="H171" s="37"/>
    </row>
    <row r="172">
      <c r="A172" s="60" t="s">
        <v>504</v>
      </c>
      <c r="B172" s="60" t="s">
        <v>505</v>
      </c>
      <c r="C172" s="34" t="s">
        <v>2447</v>
      </c>
      <c r="D172" s="34" t="s">
        <v>53</v>
      </c>
      <c r="E172" s="68">
        <v>292.96</v>
      </c>
      <c r="F172" s="36"/>
      <c r="G172" s="36">
        <f t="shared" si="6"/>
        <v>292.96</v>
      </c>
      <c r="H172" s="37"/>
    </row>
    <row r="173">
      <c r="A173" s="60" t="s">
        <v>506</v>
      </c>
      <c r="B173" s="60" t="s">
        <v>507</v>
      </c>
      <c r="C173" s="34" t="s">
        <v>2447</v>
      </c>
      <c r="D173" s="34" t="s">
        <v>53</v>
      </c>
      <c r="E173" s="68">
        <v>1522.29</v>
      </c>
      <c r="F173" s="36"/>
      <c r="G173" s="36">
        <f t="shared" si="6"/>
        <v>1522.29</v>
      </c>
      <c r="H173" s="37"/>
    </row>
    <row r="174">
      <c r="A174" s="60" t="s">
        <v>508</v>
      </c>
      <c r="B174" s="60" t="s">
        <v>509</v>
      </c>
      <c r="C174" s="34" t="s">
        <v>2447</v>
      </c>
      <c r="D174" s="34" t="s">
        <v>53</v>
      </c>
      <c r="E174" s="68">
        <v>460.03</v>
      </c>
      <c r="F174" s="36"/>
      <c r="G174" s="36">
        <f t="shared" si="6"/>
        <v>460.03</v>
      </c>
      <c r="H174" s="37"/>
    </row>
    <row r="175">
      <c r="A175" s="60" t="s">
        <v>512</v>
      </c>
      <c r="B175" s="60" t="s">
        <v>513</v>
      </c>
      <c r="C175" s="34" t="s">
        <v>2447</v>
      </c>
      <c r="D175" s="34" t="s">
        <v>53</v>
      </c>
      <c r="E175" s="68">
        <v>276.0</v>
      </c>
      <c r="F175" s="36"/>
      <c r="G175" s="36">
        <f t="shared" si="6"/>
        <v>276</v>
      </c>
      <c r="H175" s="37"/>
    </row>
    <row r="176">
      <c r="A176" s="60" t="s">
        <v>514</v>
      </c>
      <c r="B176" s="60" t="s">
        <v>515</v>
      </c>
      <c r="C176" s="34" t="s">
        <v>2447</v>
      </c>
      <c r="D176" s="34" t="s">
        <v>53</v>
      </c>
      <c r="E176" s="68">
        <v>125.97</v>
      </c>
      <c r="F176" s="36"/>
      <c r="G176" s="36">
        <f t="shared" si="6"/>
        <v>125.97</v>
      </c>
      <c r="H176" s="37"/>
    </row>
    <row r="177">
      <c r="A177" s="60" t="s">
        <v>516</v>
      </c>
      <c r="B177" s="60" t="s">
        <v>517</v>
      </c>
      <c r="C177" s="34" t="s">
        <v>2447</v>
      </c>
      <c r="D177" s="34" t="s">
        <v>53</v>
      </c>
      <c r="E177" s="68">
        <v>265.97</v>
      </c>
      <c r="F177" s="36"/>
      <c r="G177" s="36">
        <f t="shared" si="6"/>
        <v>265.97</v>
      </c>
      <c r="H177" s="37"/>
    </row>
    <row r="178">
      <c r="A178" s="60" t="s">
        <v>518</v>
      </c>
      <c r="B178" s="60" t="s">
        <v>519</v>
      </c>
      <c r="C178" s="34" t="s">
        <v>2447</v>
      </c>
      <c r="D178" s="34" t="s">
        <v>53</v>
      </c>
      <c r="E178" s="68">
        <v>425.94</v>
      </c>
      <c r="F178" s="36"/>
      <c r="G178" s="36">
        <f t="shared" si="6"/>
        <v>425.94</v>
      </c>
      <c r="H178" s="37"/>
    </row>
    <row r="179">
      <c r="A179" s="60" t="s">
        <v>520</v>
      </c>
      <c r="B179" s="60" t="s">
        <v>521</v>
      </c>
      <c r="C179" s="34" t="s">
        <v>2447</v>
      </c>
      <c r="D179" s="34" t="s">
        <v>53</v>
      </c>
      <c r="E179" s="68">
        <v>220.96</v>
      </c>
      <c r="F179" s="36"/>
      <c r="G179" s="36">
        <f t="shared" si="6"/>
        <v>220.96</v>
      </c>
      <c r="H179" s="37"/>
    </row>
    <row r="180">
      <c r="A180" s="60" t="s">
        <v>522</v>
      </c>
      <c r="B180" s="60" t="s">
        <v>523</v>
      </c>
      <c r="C180" s="34" t="s">
        <v>2447</v>
      </c>
      <c r="D180" s="34" t="s">
        <v>53</v>
      </c>
      <c r="E180" s="68">
        <v>309.95</v>
      </c>
      <c r="F180" s="36"/>
      <c r="G180" s="36">
        <f t="shared" si="6"/>
        <v>309.95</v>
      </c>
      <c r="H180" s="37"/>
    </row>
    <row r="181">
      <c r="A181" s="60" t="s">
        <v>524</v>
      </c>
      <c r="B181" s="60" t="s">
        <v>525</v>
      </c>
      <c r="C181" s="34" t="s">
        <v>2447</v>
      </c>
      <c r="D181" s="34" t="s">
        <v>53</v>
      </c>
      <c r="E181" s="68">
        <v>8672.94</v>
      </c>
      <c r="F181" s="36"/>
      <c r="G181" s="36">
        <f t="shared" si="6"/>
        <v>8672.94</v>
      </c>
      <c r="H181" s="37"/>
    </row>
    <row r="182">
      <c r="A182" s="60" t="s">
        <v>1775</v>
      </c>
      <c r="B182" s="60" t="s">
        <v>1776</v>
      </c>
      <c r="C182" s="34" t="s">
        <v>2447</v>
      </c>
      <c r="D182" s="34" t="s">
        <v>53</v>
      </c>
      <c r="E182" s="68">
        <v>1610.0</v>
      </c>
      <c r="F182" s="36"/>
      <c r="G182" s="36">
        <f t="shared" si="6"/>
        <v>1610</v>
      </c>
      <c r="H182" s="37"/>
    </row>
    <row r="183">
      <c r="A183" s="60" t="s">
        <v>526</v>
      </c>
      <c r="B183" s="60" t="s">
        <v>527</v>
      </c>
      <c r="C183" s="34" t="s">
        <v>2447</v>
      </c>
      <c r="D183" s="34" t="s">
        <v>53</v>
      </c>
      <c r="E183" s="68">
        <v>108.98</v>
      </c>
      <c r="F183" s="36"/>
      <c r="G183" s="36">
        <f t="shared" si="6"/>
        <v>108.98</v>
      </c>
      <c r="H183" s="37"/>
    </row>
    <row r="184">
      <c r="A184" s="60" t="s">
        <v>528</v>
      </c>
      <c r="B184" s="60" t="s">
        <v>529</v>
      </c>
      <c r="C184" s="34" t="s">
        <v>2447</v>
      </c>
      <c r="D184" s="34" t="s">
        <v>53</v>
      </c>
      <c r="E184" s="68">
        <v>258.97</v>
      </c>
      <c r="F184" s="36"/>
      <c r="G184" s="36">
        <f t="shared" si="6"/>
        <v>258.97</v>
      </c>
      <c r="H184" s="37"/>
    </row>
    <row r="185">
      <c r="A185" s="60" t="s">
        <v>530</v>
      </c>
      <c r="B185" s="60" t="s">
        <v>531</v>
      </c>
      <c r="C185" s="34" t="s">
        <v>2447</v>
      </c>
      <c r="D185" s="34" t="s">
        <v>53</v>
      </c>
      <c r="E185" s="68">
        <v>511.02</v>
      </c>
      <c r="F185" s="36"/>
      <c r="G185" s="36">
        <f t="shared" si="6"/>
        <v>511.02</v>
      </c>
      <c r="H185" s="37"/>
    </row>
    <row r="186">
      <c r="A186" s="60" t="s">
        <v>532</v>
      </c>
      <c r="B186" s="60" t="s">
        <v>533</v>
      </c>
      <c r="C186" s="34" t="s">
        <v>2447</v>
      </c>
      <c r="D186" s="34" t="s">
        <v>53</v>
      </c>
      <c r="E186" s="68">
        <v>183.97</v>
      </c>
      <c r="F186" s="36"/>
      <c r="G186" s="36">
        <f t="shared" si="6"/>
        <v>183.97</v>
      </c>
      <c r="H186" s="37"/>
    </row>
    <row r="187">
      <c r="A187" s="60" t="s">
        <v>534</v>
      </c>
      <c r="B187" s="60" t="s">
        <v>535</v>
      </c>
      <c r="C187" s="34" t="s">
        <v>2447</v>
      </c>
      <c r="D187" s="34" t="s">
        <v>53</v>
      </c>
      <c r="E187" s="68">
        <v>50.99</v>
      </c>
      <c r="F187" s="36"/>
      <c r="G187" s="36">
        <f t="shared" si="6"/>
        <v>50.99</v>
      </c>
      <c r="H187" s="37"/>
    </row>
    <row r="188">
      <c r="A188" s="60" t="s">
        <v>536</v>
      </c>
      <c r="B188" s="60" t="s">
        <v>537</v>
      </c>
      <c r="C188" s="34" t="s">
        <v>2447</v>
      </c>
      <c r="D188" s="34" t="s">
        <v>53</v>
      </c>
      <c r="E188" s="68">
        <v>200.98</v>
      </c>
      <c r="F188" s="36"/>
      <c r="G188" s="36">
        <f t="shared" si="6"/>
        <v>200.98</v>
      </c>
      <c r="H188" s="37"/>
    </row>
    <row r="189">
      <c r="A189" s="60" t="s">
        <v>538</v>
      </c>
      <c r="B189" s="60" t="s">
        <v>539</v>
      </c>
      <c r="C189" s="34" t="s">
        <v>2447</v>
      </c>
      <c r="D189" s="34" t="s">
        <v>53</v>
      </c>
      <c r="E189" s="68">
        <v>340.96</v>
      </c>
      <c r="F189" s="36"/>
      <c r="G189" s="36">
        <f t="shared" si="6"/>
        <v>340.96</v>
      </c>
      <c r="H189" s="37"/>
    </row>
    <row r="190">
      <c r="A190" s="60" t="s">
        <v>540</v>
      </c>
      <c r="B190" s="60" t="s">
        <v>541</v>
      </c>
      <c r="C190" s="34" t="s">
        <v>2447</v>
      </c>
      <c r="D190" s="34" t="s">
        <v>53</v>
      </c>
      <c r="E190" s="68">
        <v>115.99</v>
      </c>
      <c r="F190" s="36"/>
      <c r="G190" s="36">
        <f t="shared" si="6"/>
        <v>115.99</v>
      </c>
      <c r="H190" s="37"/>
    </row>
    <row r="191">
      <c r="A191" s="60" t="s">
        <v>542</v>
      </c>
      <c r="B191" s="60" t="s">
        <v>543</v>
      </c>
      <c r="C191" s="34" t="s">
        <v>2447</v>
      </c>
      <c r="D191" s="34" t="s">
        <v>53</v>
      </c>
      <c r="E191" s="68">
        <v>1211.42</v>
      </c>
      <c r="F191" s="36"/>
      <c r="G191" s="36">
        <f t="shared" si="6"/>
        <v>1211.42</v>
      </c>
      <c r="H191" s="37"/>
    </row>
    <row r="192">
      <c r="A192" s="60" t="s">
        <v>544</v>
      </c>
      <c r="B192" s="60" t="s">
        <v>545</v>
      </c>
      <c r="C192" s="34" t="s">
        <v>2447</v>
      </c>
      <c r="D192" s="34" t="s">
        <v>53</v>
      </c>
      <c r="E192" s="68">
        <v>275.96</v>
      </c>
      <c r="F192" s="36"/>
      <c r="G192" s="36">
        <f t="shared" si="6"/>
        <v>275.96</v>
      </c>
      <c r="H192" s="37"/>
    </row>
    <row r="193">
      <c r="A193" s="60" t="s">
        <v>546</v>
      </c>
      <c r="B193" s="60" t="s">
        <v>547</v>
      </c>
      <c r="C193" s="34" t="s">
        <v>2447</v>
      </c>
      <c r="D193" s="34" t="s">
        <v>53</v>
      </c>
      <c r="E193" s="68">
        <v>251.96</v>
      </c>
      <c r="F193" s="36"/>
      <c r="G193" s="36">
        <f t="shared" si="6"/>
        <v>251.96</v>
      </c>
      <c r="H193" s="37"/>
    </row>
    <row r="194">
      <c r="A194" s="60" t="s">
        <v>1928</v>
      </c>
      <c r="B194" s="60" t="s">
        <v>1929</v>
      </c>
      <c r="C194" s="34" t="s">
        <v>2447</v>
      </c>
      <c r="D194" s="34" t="s">
        <v>53</v>
      </c>
      <c r="E194" s="68">
        <v>108.98</v>
      </c>
      <c r="F194" s="36"/>
      <c r="G194" s="36">
        <f t="shared" si="6"/>
        <v>108.98</v>
      </c>
      <c r="H194" s="37"/>
    </row>
    <row r="195">
      <c r="A195" s="60" t="s">
        <v>548</v>
      </c>
      <c r="B195" s="60" t="s">
        <v>549</v>
      </c>
      <c r="C195" s="34" t="s">
        <v>2447</v>
      </c>
      <c r="D195" s="34" t="s">
        <v>53</v>
      </c>
      <c r="E195" s="68">
        <v>200.98</v>
      </c>
      <c r="F195" s="36"/>
      <c r="G195" s="36">
        <f t="shared" si="6"/>
        <v>200.98</v>
      </c>
      <c r="H195" s="37"/>
    </row>
    <row r="196">
      <c r="A196" s="60" t="s">
        <v>550</v>
      </c>
      <c r="B196" s="60" t="s">
        <v>551</v>
      </c>
      <c r="C196" s="34" t="s">
        <v>2447</v>
      </c>
      <c r="D196" s="34" t="s">
        <v>53</v>
      </c>
      <c r="E196" s="68">
        <v>309.95</v>
      </c>
      <c r="F196" s="36"/>
      <c r="G196" s="36">
        <f t="shared" si="6"/>
        <v>309.95</v>
      </c>
      <c r="H196" s="37"/>
    </row>
    <row r="197">
      <c r="A197" s="60" t="s">
        <v>1425</v>
      </c>
      <c r="B197" s="60" t="s">
        <v>1426</v>
      </c>
      <c r="C197" s="34" t="s">
        <v>2447</v>
      </c>
      <c r="D197" s="34" t="s">
        <v>53</v>
      </c>
      <c r="E197" s="68">
        <v>0.26</v>
      </c>
      <c r="F197" s="36"/>
      <c r="G197" s="36">
        <f t="shared" si="6"/>
        <v>0.26</v>
      </c>
      <c r="H197" s="37"/>
    </row>
    <row r="198">
      <c r="A198" s="60" t="s">
        <v>552</v>
      </c>
      <c r="B198" s="60" t="s">
        <v>553</v>
      </c>
      <c r="C198" s="34" t="s">
        <v>2447</v>
      </c>
      <c r="D198" s="34" t="s">
        <v>53</v>
      </c>
      <c r="E198" s="68">
        <v>599.96</v>
      </c>
      <c r="F198" s="36"/>
      <c r="G198" s="36">
        <f t="shared" si="6"/>
        <v>599.96</v>
      </c>
      <c r="H198" s="37"/>
    </row>
    <row r="199">
      <c r="A199" s="60" t="s">
        <v>554</v>
      </c>
      <c r="B199" s="60" t="s">
        <v>555</v>
      </c>
      <c r="C199" s="34" t="s">
        <v>2447</v>
      </c>
      <c r="D199" s="34" t="s">
        <v>53</v>
      </c>
      <c r="E199" s="68">
        <v>3795.0</v>
      </c>
      <c r="F199" s="36"/>
      <c r="G199" s="36">
        <f t="shared" si="6"/>
        <v>3795</v>
      </c>
      <c r="H199" s="37"/>
    </row>
    <row r="200">
      <c r="A200" s="60" t="s">
        <v>556</v>
      </c>
      <c r="B200" s="60" t="s">
        <v>557</v>
      </c>
      <c r="C200" s="34" t="s">
        <v>2447</v>
      </c>
      <c r="D200" s="34" t="s">
        <v>53</v>
      </c>
      <c r="E200" s="68">
        <v>173.98</v>
      </c>
      <c r="F200" s="36"/>
      <c r="G200" s="36">
        <f t="shared" si="6"/>
        <v>173.98</v>
      </c>
      <c r="H200" s="37"/>
    </row>
    <row r="201">
      <c r="A201" s="60" t="s">
        <v>558</v>
      </c>
      <c r="B201" s="60" t="s">
        <v>559</v>
      </c>
      <c r="C201" s="34" t="s">
        <v>2447</v>
      </c>
      <c r="D201" s="34" t="s">
        <v>53</v>
      </c>
      <c r="E201" s="68">
        <v>391.95</v>
      </c>
      <c r="F201" s="36"/>
      <c r="G201" s="36">
        <f t="shared" si="6"/>
        <v>391.95</v>
      </c>
      <c r="H201" s="37"/>
    </row>
    <row r="202">
      <c r="A202" s="60" t="s">
        <v>560</v>
      </c>
      <c r="B202" s="60" t="s">
        <v>561</v>
      </c>
      <c r="C202" s="34" t="s">
        <v>2447</v>
      </c>
      <c r="D202" s="34" t="s">
        <v>53</v>
      </c>
      <c r="E202" s="68">
        <v>727.88</v>
      </c>
      <c r="F202" s="36"/>
      <c r="G202" s="36">
        <f t="shared" si="6"/>
        <v>727.88</v>
      </c>
      <c r="H202" s="37"/>
    </row>
    <row r="203">
      <c r="A203" s="60" t="s">
        <v>562</v>
      </c>
      <c r="B203" s="60" t="s">
        <v>563</v>
      </c>
      <c r="C203" s="34" t="s">
        <v>2447</v>
      </c>
      <c r="D203" s="34" t="s">
        <v>53</v>
      </c>
      <c r="E203" s="68">
        <v>84.99</v>
      </c>
      <c r="F203" s="36"/>
      <c r="G203" s="36">
        <f t="shared" si="6"/>
        <v>84.99</v>
      </c>
      <c r="H203" s="37"/>
    </row>
    <row r="204">
      <c r="A204" s="60" t="s">
        <v>564</v>
      </c>
      <c r="B204" s="60" t="s">
        <v>565</v>
      </c>
      <c r="C204" s="34" t="s">
        <v>2447</v>
      </c>
      <c r="D204" s="34" t="s">
        <v>53</v>
      </c>
      <c r="E204" s="68">
        <v>108.98</v>
      </c>
      <c r="F204" s="36"/>
      <c r="G204" s="36">
        <f t="shared" si="6"/>
        <v>108.98</v>
      </c>
      <c r="H204" s="37"/>
    </row>
    <row r="205">
      <c r="A205" s="60" t="s">
        <v>566</v>
      </c>
      <c r="B205" s="60" t="s">
        <v>567</v>
      </c>
      <c r="C205" s="34" t="s">
        <v>2447</v>
      </c>
      <c r="D205" s="34" t="s">
        <v>53</v>
      </c>
      <c r="E205" s="68">
        <v>275.96</v>
      </c>
      <c r="F205" s="36"/>
      <c r="G205" s="36">
        <f t="shared" si="6"/>
        <v>275.96</v>
      </c>
      <c r="H205" s="37"/>
    </row>
    <row r="206">
      <c r="A206" s="60" t="s">
        <v>1932</v>
      </c>
      <c r="B206" s="60" t="s">
        <v>1933</v>
      </c>
      <c r="C206" s="34" t="s">
        <v>2447</v>
      </c>
      <c r="D206" s="34" t="s">
        <v>53</v>
      </c>
      <c r="E206" s="68">
        <v>183.98</v>
      </c>
      <c r="F206" s="36"/>
      <c r="G206" s="36">
        <f t="shared" si="6"/>
        <v>183.98</v>
      </c>
      <c r="H206" s="37"/>
    </row>
    <row r="207">
      <c r="A207" s="60" t="s">
        <v>568</v>
      </c>
      <c r="B207" s="60" t="s">
        <v>569</v>
      </c>
      <c r="C207" s="34" t="s">
        <v>2447</v>
      </c>
      <c r="D207" s="34" t="s">
        <v>53</v>
      </c>
      <c r="E207" s="68">
        <v>1035.0</v>
      </c>
      <c r="F207" s="36"/>
      <c r="G207" s="36">
        <f t="shared" si="6"/>
        <v>1035</v>
      </c>
      <c r="H207" s="37"/>
    </row>
    <row r="208">
      <c r="A208" s="60" t="s">
        <v>570</v>
      </c>
      <c r="B208" s="60" t="s">
        <v>571</v>
      </c>
      <c r="C208" s="34" t="s">
        <v>2447</v>
      </c>
      <c r="D208" s="34" t="s">
        <v>53</v>
      </c>
      <c r="E208" s="68">
        <v>309.95</v>
      </c>
      <c r="F208" s="36"/>
      <c r="G208" s="36">
        <f t="shared" si="6"/>
        <v>309.95</v>
      </c>
      <c r="H208" s="37"/>
    </row>
    <row r="209">
      <c r="A209" s="60" t="s">
        <v>572</v>
      </c>
      <c r="B209" s="60" t="s">
        <v>573</v>
      </c>
      <c r="C209" s="34" t="s">
        <v>2447</v>
      </c>
      <c r="D209" s="34" t="s">
        <v>53</v>
      </c>
      <c r="E209" s="68">
        <v>217.97</v>
      </c>
      <c r="F209" s="36"/>
      <c r="G209" s="36">
        <f t="shared" si="6"/>
        <v>217.97</v>
      </c>
      <c r="H209" s="37"/>
    </row>
    <row r="210">
      <c r="A210" s="60" t="s">
        <v>2166</v>
      </c>
      <c r="B210" s="60" t="s">
        <v>2167</v>
      </c>
      <c r="C210" s="34" t="s">
        <v>2447</v>
      </c>
      <c r="D210" s="34" t="s">
        <v>53</v>
      </c>
      <c r="E210" s="68">
        <v>91.98</v>
      </c>
      <c r="F210" s="36"/>
      <c r="G210" s="36">
        <f t="shared" si="6"/>
        <v>91.98</v>
      </c>
      <c r="H210" s="37"/>
    </row>
    <row r="211">
      <c r="A211" s="60" t="s">
        <v>574</v>
      </c>
      <c r="B211" s="60" t="s">
        <v>575</v>
      </c>
      <c r="C211" s="34" t="s">
        <v>2447</v>
      </c>
      <c r="D211" s="34" t="s">
        <v>53</v>
      </c>
      <c r="E211" s="68">
        <v>108.98</v>
      </c>
      <c r="F211" s="36"/>
      <c r="G211" s="36">
        <f t="shared" si="6"/>
        <v>108.98</v>
      </c>
      <c r="H211" s="37"/>
    </row>
    <row r="212">
      <c r="A212" s="60" t="s">
        <v>576</v>
      </c>
      <c r="B212" s="60" t="s">
        <v>577</v>
      </c>
      <c r="C212" s="34" t="s">
        <v>2447</v>
      </c>
      <c r="D212" s="34" t="s">
        <v>53</v>
      </c>
      <c r="E212" s="68">
        <v>241.97</v>
      </c>
      <c r="F212" s="36"/>
      <c r="G212" s="36">
        <f t="shared" si="6"/>
        <v>241.97</v>
      </c>
      <c r="H212" s="37"/>
    </row>
    <row r="213">
      <c r="A213" s="60" t="s">
        <v>578</v>
      </c>
      <c r="B213" s="60" t="s">
        <v>579</v>
      </c>
      <c r="C213" s="34" t="s">
        <v>2447</v>
      </c>
      <c r="D213" s="34" t="s">
        <v>53</v>
      </c>
      <c r="E213" s="68">
        <v>183.97</v>
      </c>
      <c r="F213" s="36"/>
      <c r="G213" s="36">
        <f t="shared" si="6"/>
        <v>183.97</v>
      </c>
      <c r="H213" s="37"/>
    </row>
    <row r="214">
      <c r="A214" s="60" t="s">
        <v>580</v>
      </c>
      <c r="B214" s="60" t="s">
        <v>581</v>
      </c>
      <c r="C214" s="34" t="s">
        <v>2447</v>
      </c>
      <c r="D214" s="34" t="s">
        <v>53</v>
      </c>
      <c r="E214" s="68">
        <v>149.98</v>
      </c>
      <c r="F214" s="36"/>
      <c r="G214" s="36">
        <f t="shared" si="6"/>
        <v>149.98</v>
      </c>
      <c r="H214" s="37"/>
    </row>
    <row r="215">
      <c r="A215" s="60" t="s">
        <v>582</v>
      </c>
      <c r="B215" s="60" t="s">
        <v>583</v>
      </c>
      <c r="C215" s="34" t="s">
        <v>2447</v>
      </c>
      <c r="D215" s="34" t="s">
        <v>53</v>
      </c>
      <c r="E215" s="68">
        <v>217.97</v>
      </c>
      <c r="F215" s="36"/>
      <c r="G215" s="36">
        <f t="shared" si="6"/>
        <v>217.97</v>
      </c>
      <c r="H215" s="37"/>
    </row>
    <row r="216">
      <c r="A216" s="60" t="s">
        <v>586</v>
      </c>
      <c r="B216" s="60" t="s">
        <v>587</v>
      </c>
      <c r="C216" s="34" t="s">
        <v>2447</v>
      </c>
      <c r="D216" s="34" t="s">
        <v>53</v>
      </c>
      <c r="E216" s="68">
        <v>562.01</v>
      </c>
      <c r="F216" s="36"/>
      <c r="G216" s="36">
        <f t="shared" si="6"/>
        <v>562.01</v>
      </c>
      <c r="H216" s="37"/>
    </row>
    <row r="217">
      <c r="A217" s="60" t="s">
        <v>588</v>
      </c>
      <c r="B217" s="60" t="s">
        <v>589</v>
      </c>
      <c r="C217" s="34" t="s">
        <v>2447</v>
      </c>
      <c r="D217" s="34" t="s">
        <v>53</v>
      </c>
      <c r="E217" s="68">
        <v>527.93</v>
      </c>
      <c r="F217" s="36"/>
      <c r="G217" s="36">
        <f t="shared" si="6"/>
        <v>527.93</v>
      </c>
      <c r="H217" s="37"/>
    </row>
    <row r="218">
      <c r="A218" s="60" t="s">
        <v>1777</v>
      </c>
      <c r="B218" s="60" t="s">
        <v>1778</v>
      </c>
      <c r="C218" s="34" t="s">
        <v>2447</v>
      </c>
      <c r="D218" s="34" t="s">
        <v>53</v>
      </c>
      <c r="E218" s="68">
        <v>108.98</v>
      </c>
      <c r="F218" s="36"/>
      <c r="G218" s="36">
        <f t="shared" si="6"/>
        <v>108.98</v>
      </c>
      <c r="H218" s="37"/>
    </row>
    <row r="219">
      <c r="A219" s="60" t="s">
        <v>590</v>
      </c>
      <c r="B219" s="60" t="s">
        <v>591</v>
      </c>
      <c r="C219" s="34" t="s">
        <v>2447</v>
      </c>
      <c r="D219" s="34" t="s">
        <v>53</v>
      </c>
      <c r="E219" s="68">
        <v>108.98</v>
      </c>
      <c r="F219" s="36"/>
      <c r="G219" s="36">
        <f t="shared" si="6"/>
        <v>108.98</v>
      </c>
      <c r="H219" s="37"/>
    </row>
    <row r="220">
      <c r="A220" s="60" t="s">
        <v>592</v>
      </c>
      <c r="B220" s="60" t="s">
        <v>593</v>
      </c>
      <c r="C220" s="34" t="s">
        <v>2447</v>
      </c>
      <c r="D220" s="34" t="s">
        <v>53</v>
      </c>
      <c r="E220" s="68">
        <v>108.98</v>
      </c>
      <c r="F220" s="36"/>
      <c r="G220" s="36">
        <f t="shared" si="6"/>
        <v>108.98</v>
      </c>
      <c r="H220" s="37"/>
    </row>
    <row r="221">
      <c r="A221" s="60" t="s">
        <v>594</v>
      </c>
      <c r="B221" s="60" t="s">
        <v>595</v>
      </c>
      <c r="C221" s="34" t="s">
        <v>2447</v>
      </c>
      <c r="D221" s="34" t="s">
        <v>53</v>
      </c>
      <c r="E221" s="68">
        <v>183.98</v>
      </c>
      <c r="F221" s="36"/>
      <c r="G221" s="36">
        <f t="shared" si="6"/>
        <v>183.98</v>
      </c>
      <c r="H221" s="37"/>
    </row>
    <row r="222">
      <c r="A222" s="60" t="s">
        <v>596</v>
      </c>
      <c r="B222" s="60" t="s">
        <v>597</v>
      </c>
      <c r="C222" s="34" t="s">
        <v>2447</v>
      </c>
      <c r="D222" s="34" t="s">
        <v>53</v>
      </c>
      <c r="E222" s="68">
        <v>108.98</v>
      </c>
      <c r="F222" s="36"/>
      <c r="G222" s="36">
        <f t="shared" si="6"/>
        <v>108.98</v>
      </c>
      <c r="H222" s="37"/>
    </row>
    <row r="223">
      <c r="A223" s="60" t="s">
        <v>598</v>
      </c>
      <c r="B223" s="60" t="s">
        <v>599</v>
      </c>
      <c r="C223" s="34" t="s">
        <v>2447</v>
      </c>
      <c r="D223" s="34" t="s">
        <v>53</v>
      </c>
      <c r="E223" s="68">
        <v>789.86</v>
      </c>
      <c r="F223" s="36"/>
      <c r="G223" s="36">
        <f t="shared" si="6"/>
        <v>789.86</v>
      </c>
      <c r="H223" s="37"/>
    </row>
    <row r="224">
      <c r="A224" s="60" t="s">
        <v>600</v>
      </c>
      <c r="B224" s="60" t="s">
        <v>601</v>
      </c>
      <c r="C224" s="34" t="s">
        <v>2447</v>
      </c>
      <c r="D224" s="34" t="s">
        <v>53</v>
      </c>
      <c r="E224" s="68">
        <v>166.98</v>
      </c>
      <c r="F224" s="36"/>
      <c r="G224" s="36">
        <f t="shared" si="6"/>
        <v>166.98</v>
      </c>
      <c r="H224" s="37"/>
    </row>
    <row r="225">
      <c r="A225" s="60" t="s">
        <v>602</v>
      </c>
      <c r="B225" s="60" t="s">
        <v>603</v>
      </c>
      <c r="C225" s="34" t="s">
        <v>2447</v>
      </c>
      <c r="D225" s="34" t="s">
        <v>53</v>
      </c>
      <c r="E225" s="68">
        <v>4448.09</v>
      </c>
      <c r="F225" s="36"/>
      <c r="G225" s="36">
        <f t="shared" si="6"/>
        <v>4448.09</v>
      </c>
      <c r="H225" s="37"/>
    </row>
    <row r="226">
      <c r="A226" s="60" t="s">
        <v>604</v>
      </c>
      <c r="B226" s="60" t="s">
        <v>605</v>
      </c>
      <c r="C226" s="34" t="s">
        <v>2447</v>
      </c>
      <c r="D226" s="34" t="s">
        <v>53</v>
      </c>
      <c r="E226" s="68">
        <v>108.98</v>
      </c>
      <c r="F226" s="36"/>
      <c r="G226" s="36">
        <f t="shared" si="6"/>
        <v>108.98</v>
      </c>
      <c r="H226" s="37"/>
    </row>
    <row r="227">
      <c r="A227" s="60" t="s">
        <v>606</v>
      </c>
      <c r="B227" s="60" t="s">
        <v>1942</v>
      </c>
      <c r="C227" s="34" t="s">
        <v>2447</v>
      </c>
      <c r="D227" s="34" t="s">
        <v>53</v>
      </c>
      <c r="E227" s="68">
        <v>3253.54</v>
      </c>
      <c r="F227" s="36"/>
      <c r="G227" s="36">
        <f t="shared" si="6"/>
        <v>3253.54</v>
      </c>
      <c r="H227" s="37"/>
    </row>
    <row r="228">
      <c r="A228" s="60" t="s">
        <v>1943</v>
      </c>
      <c r="B228" s="60" t="s">
        <v>1944</v>
      </c>
      <c r="C228" s="34" t="s">
        <v>2447</v>
      </c>
      <c r="D228" s="34" t="s">
        <v>53</v>
      </c>
      <c r="E228" s="68">
        <v>149.98</v>
      </c>
      <c r="F228" s="36"/>
      <c r="G228" s="36">
        <f t="shared" si="6"/>
        <v>149.98</v>
      </c>
      <c r="H228" s="37"/>
    </row>
    <row r="229">
      <c r="A229" s="60" t="s">
        <v>608</v>
      </c>
      <c r="B229" s="60" t="s">
        <v>609</v>
      </c>
      <c r="C229" s="34" t="s">
        <v>2447</v>
      </c>
      <c r="D229" s="34" t="s">
        <v>53</v>
      </c>
      <c r="E229" s="68">
        <v>183.97</v>
      </c>
      <c r="F229" s="36"/>
      <c r="G229" s="36">
        <f t="shared" si="6"/>
        <v>183.97</v>
      </c>
      <c r="H229" s="37"/>
    </row>
    <row r="230">
      <c r="A230" s="60" t="s">
        <v>610</v>
      </c>
      <c r="B230" s="60" t="s">
        <v>611</v>
      </c>
      <c r="C230" s="34" t="s">
        <v>2447</v>
      </c>
      <c r="D230" s="34" t="s">
        <v>53</v>
      </c>
      <c r="E230" s="68">
        <v>387.98</v>
      </c>
      <c r="F230" s="36"/>
      <c r="G230" s="36">
        <f t="shared" si="6"/>
        <v>387.98</v>
      </c>
      <c r="H230" s="37"/>
    </row>
    <row r="231">
      <c r="A231" s="60" t="s">
        <v>612</v>
      </c>
      <c r="B231" s="60" t="s">
        <v>613</v>
      </c>
      <c r="C231" s="34" t="s">
        <v>2447</v>
      </c>
      <c r="D231" s="34" t="s">
        <v>53</v>
      </c>
      <c r="E231" s="68">
        <v>483.0</v>
      </c>
      <c r="F231" s="36"/>
      <c r="G231" s="36">
        <f t="shared" si="6"/>
        <v>483</v>
      </c>
      <c r="H231" s="37"/>
    </row>
    <row r="232">
      <c r="A232" s="60" t="s">
        <v>1947</v>
      </c>
      <c r="B232" s="60" t="s">
        <v>1948</v>
      </c>
      <c r="C232" s="34" t="s">
        <v>2447</v>
      </c>
      <c r="D232" s="34" t="s">
        <v>53</v>
      </c>
      <c r="E232" s="68">
        <v>217.97</v>
      </c>
      <c r="F232" s="36"/>
      <c r="G232" s="36">
        <f t="shared" si="6"/>
        <v>217.97</v>
      </c>
      <c r="H232" s="37"/>
    </row>
    <row r="233">
      <c r="A233" s="60" t="s">
        <v>614</v>
      </c>
      <c r="B233" s="60" t="s">
        <v>615</v>
      </c>
      <c r="C233" s="34" t="s">
        <v>2447</v>
      </c>
      <c r="D233" s="34" t="s">
        <v>53</v>
      </c>
      <c r="E233" s="68">
        <v>166.98</v>
      </c>
      <c r="F233" s="36"/>
      <c r="G233" s="36">
        <f t="shared" si="6"/>
        <v>166.98</v>
      </c>
      <c r="H233" s="37"/>
    </row>
    <row r="234">
      <c r="A234" s="60" t="s">
        <v>616</v>
      </c>
      <c r="B234" s="60" t="s">
        <v>617</v>
      </c>
      <c r="C234" s="34" t="s">
        <v>2447</v>
      </c>
      <c r="D234" s="34" t="s">
        <v>53</v>
      </c>
      <c r="E234" s="68">
        <v>108.98</v>
      </c>
      <c r="F234" s="36"/>
      <c r="G234" s="36">
        <f t="shared" si="6"/>
        <v>108.98</v>
      </c>
      <c r="H234" s="37"/>
    </row>
    <row r="235">
      <c r="A235" s="60" t="s">
        <v>618</v>
      </c>
      <c r="B235" s="60" t="s">
        <v>619</v>
      </c>
      <c r="C235" s="34" t="s">
        <v>2447</v>
      </c>
      <c r="D235" s="34" t="s">
        <v>53</v>
      </c>
      <c r="E235" s="68">
        <v>91.98</v>
      </c>
      <c r="F235" s="36"/>
      <c r="G235" s="36">
        <f t="shared" si="6"/>
        <v>91.98</v>
      </c>
      <c r="H235" s="37"/>
    </row>
    <row r="236">
      <c r="A236" s="60" t="s">
        <v>620</v>
      </c>
      <c r="B236" s="60" t="s">
        <v>621</v>
      </c>
      <c r="C236" s="34" t="s">
        <v>2447</v>
      </c>
      <c r="D236" s="34" t="s">
        <v>53</v>
      </c>
      <c r="E236" s="68">
        <v>367.95</v>
      </c>
      <c r="F236" s="36"/>
      <c r="G236" s="36">
        <f t="shared" si="6"/>
        <v>367.95</v>
      </c>
      <c r="H236" s="37"/>
    </row>
    <row r="237">
      <c r="A237" s="60" t="s">
        <v>622</v>
      </c>
      <c r="B237" s="60" t="s">
        <v>623</v>
      </c>
      <c r="C237" s="34" t="s">
        <v>2447</v>
      </c>
      <c r="D237" s="34" t="s">
        <v>53</v>
      </c>
      <c r="E237" s="68">
        <v>217.97</v>
      </c>
      <c r="F237" s="36"/>
      <c r="G237" s="36">
        <f t="shared" si="6"/>
        <v>217.97</v>
      </c>
      <c r="H237" s="37"/>
    </row>
    <row r="238">
      <c r="A238" s="60" t="s">
        <v>624</v>
      </c>
      <c r="B238" s="60" t="s">
        <v>625</v>
      </c>
      <c r="C238" s="34" t="s">
        <v>2447</v>
      </c>
      <c r="D238" s="34" t="s">
        <v>53</v>
      </c>
      <c r="E238" s="68">
        <v>1125.06</v>
      </c>
      <c r="F238" s="36"/>
      <c r="G238" s="36">
        <f t="shared" si="6"/>
        <v>1125.06</v>
      </c>
      <c r="H238" s="37"/>
    </row>
    <row r="239">
      <c r="A239" s="60" t="s">
        <v>626</v>
      </c>
      <c r="B239" s="60" t="s">
        <v>627</v>
      </c>
      <c r="C239" s="34" t="s">
        <v>2447</v>
      </c>
      <c r="D239" s="34" t="s">
        <v>53</v>
      </c>
      <c r="E239" s="68">
        <v>84.98</v>
      </c>
      <c r="F239" s="36"/>
      <c r="G239" s="36">
        <f t="shared" si="6"/>
        <v>84.98</v>
      </c>
      <c r="H239" s="37"/>
    </row>
    <row r="240">
      <c r="A240" s="60" t="s">
        <v>628</v>
      </c>
      <c r="B240" s="60" t="s">
        <v>629</v>
      </c>
      <c r="C240" s="34" t="s">
        <v>2447</v>
      </c>
      <c r="D240" s="34" t="s">
        <v>53</v>
      </c>
      <c r="E240" s="68">
        <v>149.98</v>
      </c>
      <c r="F240" s="36"/>
      <c r="G240" s="36">
        <f t="shared" si="6"/>
        <v>149.98</v>
      </c>
      <c r="H240" s="37"/>
    </row>
    <row r="241">
      <c r="A241" s="60" t="s">
        <v>630</v>
      </c>
      <c r="B241" s="60" t="s">
        <v>631</v>
      </c>
      <c r="C241" s="34" t="s">
        <v>2447</v>
      </c>
      <c r="D241" s="34" t="s">
        <v>53</v>
      </c>
      <c r="E241" s="68">
        <v>3839.82</v>
      </c>
      <c r="F241" s="36"/>
      <c r="G241" s="36">
        <f t="shared" si="6"/>
        <v>3839.82</v>
      </c>
      <c r="H241" s="37"/>
    </row>
    <row r="242">
      <c r="A242" s="60" t="s">
        <v>632</v>
      </c>
      <c r="B242" s="60" t="s">
        <v>633</v>
      </c>
      <c r="C242" s="34" t="s">
        <v>2447</v>
      </c>
      <c r="D242" s="34" t="s">
        <v>53</v>
      </c>
      <c r="E242" s="68">
        <v>3139.89</v>
      </c>
      <c r="F242" s="36"/>
      <c r="G242" s="36">
        <f t="shared" si="6"/>
        <v>3139.89</v>
      </c>
      <c r="H242" s="37"/>
    </row>
    <row r="243">
      <c r="A243" s="60" t="s">
        <v>634</v>
      </c>
      <c r="B243" s="60" t="s">
        <v>635</v>
      </c>
      <c r="C243" s="34" t="s">
        <v>2447</v>
      </c>
      <c r="D243" s="34" t="s">
        <v>53</v>
      </c>
      <c r="E243" s="68">
        <v>207.97</v>
      </c>
      <c r="F243" s="36"/>
      <c r="G243" s="36">
        <f t="shared" si="6"/>
        <v>207.97</v>
      </c>
      <c r="H243" s="37"/>
    </row>
    <row r="244">
      <c r="A244" s="60" t="s">
        <v>636</v>
      </c>
      <c r="B244" s="60" t="s">
        <v>637</v>
      </c>
      <c r="C244" s="34" t="s">
        <v>2447</v>
      </c>
      <c r="D244" s="34" t="s">
        <v>53</v>
      </c>
      <c r="E244" s="68">
        <v>511.02</v>
      </c>
      <c r="F244" s="36"/>
      <c r="G244" s="36">
        <f t="shared" si="6"/>
        <v>511.02</v>
      </c>
      <c r="H244" s="37"/>
    </row>
    <row r="245">
      <c r="A245" s="60" t="s">
        <v>638</v>
      </c>
      <c r="B245" s="60" t="s">
        <v>639</v>
      </c>
      <c r="C245" s="34" t="s">
        <v>2447</v>
      </c>
      <c r="D245" s="34" t="s">
        <v>53</v>
      </c>
      <c r="E245" s="68">
        <v>2914.2</v>
      </c>
      <c r="F245" s="36"/>
      <c r="G245" s="36">
        <f t="shared" si="6"/>
        <v>2914.2</v>
      </c>
      <c r="H245" s="37"/>
    </row>
    <row r="246">
      <c r="A246" s="60" t="s">
        <v>640</v>
      </c>
      <c r="B246" s="60" t="s">
        <v>641</v>
      </c>
      <c r="C246" s="34" t="s">
        <v>2447</v>
      </c>
      <c r="D246" s="34" t="s">
        <v>53</v>
      </c>
      <c r="E246" s="68">
        <v>5781.98</v>
      </c>
      <c r="F246" s="36"/>
      <c r="G246" s="36">
        <f t="shared" si="6"/>
        <v>5781.98</v>
      </c>
      <c r="H246" s="37"/>
    </row>
    <row r="247">
      <c r="A247" s="60" t="s">
        <v>642</v>
      </c>
      <c r="B247" s="60" t="s">
        <v>643</v>
      </c>
      <c r="C247" s="34" t="s">
        <v>2447</v>
      </c>
      <c r="D247" s="34" t="s">
        <v>53</v>
      </c>
      <c r="E247" s="68">
        <v>1166.22</v>
      </c>
      <c r="F247" s="36"/>
      <c r="G247" s="36">
        <f t="shared" si="6"/>
        <v>1166.22</v>
      </c>
      <c r="H247" s="37"/>
    </row>
    <row r="248">
      <c r="A248" s="60" t="s">
        <v>646</v>
      </c>
      <c r="B248" s="60" t="s">
        <v>647</v>
      </c>
      <c r="C248" s="34" t="s">
        <v>2447</v>
      </c>
      <c r="D248" s="34" t="s">
        <v>53</v>
      </c>
      <c r="E248" s="68">
        <v>200.98</v>
      </c>
      <c r="F248" s="36"/>
      <c r="G248" s="36">
        <f t="shared" si="6"/>
        <v>200.98</v>
      </c>
      <c r="H248" s="37"/>
    </row>
    <row r="249">
      <c r="A249" s="60" t="s">
        <v>648</v>
      </c>
      <c r="B249" s="60" t="s">
        <v>649</v>
      </c>
      <c r="C249" s="34" t="s">
        <v>2447</v>
      </c>
      <c r="D249" s="34" t="s">
        <v>53</v>
      </c>
      <c r="E249" s="68">
        <v>2537.3</v>
      </c>
      <c r="F249" s="36"/>
      <c r="G249" s="36">
        <f t="shared" si="6"/>
        <v>2537.3</v>
      </c>
      <c r="H249" s="37"/>
    </row>
    <row r="250">
      <c r="A250" s="60" t="s">
        <v>650</v>
      </c>
      <c r="B250" s="60" t="s">
        <v>651</v>
      </c>
      <c r="C250" s="34" t="s">
        <v>2447</v>
      </c>
      <c r="D250" s="34" t="s">
        <v>53</v>
      </c>
      <c r="E250" s="68">
        <v>463.96</v>
      </c>
      <c r="F250" s="36"/>
      <c r="G250" s="36">
        <f t="shared" si="6"/>
        <v>463.96</v>
      </c>
      <c r="H250" s="37"/>
    </row>
    <row r="251">
      <c r="A251" s="60" t="s">
        <v>652</v>
      </c>
      <c r="B251" s="60" t="s">
        <v>653</v>
      </c>
      <c r="C251" s="34" t="s">
        <v>2447</v>
      </c>
      <c r="D251" s="34" t="s">
        <v>53</v>
      </c>
      <c r="E251" s="68">
        <v>275.96</v>
      </c>
      <c r="F251" s="36"/>
      <c r="G251" s="36">
        <f t="shared" si="6"/>
        <v>275.96</v>
      </c>
      <c r="H251" s="37"/>
    </row>
    <row r="252">
      <c r="A252" s="60" t="s">
        <v>654</v>
      </c>
      <c r="B252" s="60" t="s">
        <v>655</v>
      </c>
      <c r="C252" s="34" t="s">
        <v>2447</v>
      </c>
      <c r="D252" s="34" t="s">
        <v>53</v>
      </c>
      <c r="E252" s="68">
        <v>91.98</v>
      </c>
      <c r="F252" s="36"/>
      <c r="G252" s="36">
        <f t="shared" si="6"/>
        <v>91.98</v>
      </c>
      <c r="H252" s="37"/>
    </row>
    <row r="253">
      <c r="A253" s="60" t="s">
        <v>656</v>
      </c>
      <c r="B253" s="60" t="s">
        <v>657</v>
      </c>
      <c r="C253" s="34" t="s">
        <v>2447</v>
      </c>
      <c r="D253" s="34" t="s">
        <v>53</v>
      </c>
      <c r="E253" s="68">
        <v>108.98</v>
      </c>
      <c r="F253" s="36"/>
      <c r="G253" s="36">
        <f t="shared" si="6"/>
        <v>108.98</v>
      </c>
      <c r="H253" s="37"/>
    </row>
    <row r="254">
      <c r="A254" s="60" t="s">
        <v>2275</v>
      </c>
      <c r="B254" s="60" t="s">
        <v>2276</v>
      </c>
      <c r="C254" s="34" t="s">
        <v>2447</v>
      </c>
      <c r="D254" s="34" t="s">
        <v>53</v>
      </c>
      <c r="E254" s="68">
        <v>2760.0</v>
      </c>
      <c r="F254" s="36"/>
      <c r="G254" s="36">
        <f t="shared" si="6"/>
        <v>2760</v>
      </c>
      <c r="H254" s="37"/>
    </row>
    <row r="255">
      <c r="A255" s="60" t="s">
        <v>658</v>
      </c>
      <c r="B255" s="60" t="s">
        <v>659</v>
      </c>
      <c r="C255" s="34" t="s">
        <v>2447</v>
      </c>
      <c r="D255" s="34" t="s">
        <v>53</v>
      </c>
      <c r="E255" s="68">
        <v>125.97</v>
      </c>
      <c r="F255" s="36"/>
      <c r="G255" s="36">
        <f t="shared" si="6"/>
        <v>125.97</v>
      </c>
      <c r="H255" s="37"/>
    </row>
    <row r="256">
      <c r="A256" s="60" t="s">
        <v>660</v>
      </c>
      <c r="B256" s="60" t="s">
        <v>661</v>
      </c>
      <c r="C256" s="34" t="s">
        <v>2447</v>
      </c>
      <c r="D256" s="34" t="s">
        <v>53</v>
      </c>
      <c r="E256" s="68">
        <v>964.6</v>
      </c>
      <c r="F256" s="36"/>
      <c r="G256" s="36">
        <f t="shared" si="6"/>
        <v>964.6</v>
      </c>
      <c r="H256" s="37"/>
    </row>
    <row r="257">
      <c r="A257" s="60" t="s">
        <v>2277</v>
      </c>
      <c r="B257" s="60" t="s">
        <v>2278</v>
      </c>
      <c r="C257" s="34" t="s">
        <v>2447</v>
      </c>
      <c r="D257" s="34" t="s">
        <v>53</v>
      </c>
      <c r="E257" s="68">
        <v>460.0</v>
      </c>
      <c r="F257" s="36"/>
      <c r="G257" s="36">
        <f t="shared" si="6"/>
        <v>460</v>
      </c>
      <c r="H257" s="37"/>
    </row>
    <row r="258">
      <c r="A258" s="60" t="s">
        <v>662</v>
      </c>
      <c r="B258" s="60" t="s">
        <v>663</v>
      </c>
      <c r="C258" s="34" t="s">
        <v>2447</v>
      </c>
      <c r="D258" s="34" t="s">
        <v>53</v>
      </c>
      <c r="E258" s="68">
        <v>108.98</v>
      </c>
      <c r="F258" s="36"/>
      <c r="G258" s="36">
        <f t="shared" si="6"/>
        <v>108.98</v>
      </c>
      <c r="H258" s="37"/>
    </row>
    <row r="259">
      <c r="A259" s="60" t="s">
        <v>664</v>
      </c>
      <c r="B259" s="60" t="s">
        <v>665</v>
      </c>
      <c r="C259" s="34" t="s">
        <v>2447</v>
      </c>
      <c r="D259" s="34" t="s">
        <v>53</v>
      </c>
      <c r="E259" s="68">
        <v>67.99</v>
      </c>
      <c r="F259" s="36"/>
      <c r="G259" s="36">
        <f t="shared" si="6"/>
        <v>67.99</v>
      </c>
      <c r="H259" s="37"/>
    </row>
    <row r="260">
      <c r="A260" s="60" t="s">
        <v>666</v>
      </c>
      <c r="B260" s="60" t="s">
        <v>667</v>
      </c>
      <c r="C260" s="34" t="s">
        <v>2447</v>
      </c>
      <c r="D260" s="34" t="s">
        <v>53</v>
      </c>
      <c r="E260" s="68">
        <v>192.86</v>
      </c>
      <c r="F260" s="36"/>
      <c r="G260" s="36">
        <f t="shared" si="6"/>
        <v>192.86</v>
      </c>
      <c r="H260" s="37"/>
    </row>
    <row r="261">
      <c r="A261" s="60" t="s">
        <v>668</v>
      </c>
      <c r="B261" s="60" t="s">
        <v>2281</v>
      </c>
      <c r="C261" s="34" t="s">
        <v>2447</v>
      </c>
      <c r="D261" s="34" t="s">
        <v>53</v>
      </c>
      <c r="E261" s="68">
        <v>199.88</v>
      </c>
      <c r="F261" s="36"/>
      <c r="G261" s="36">
        <f t="shared" si="6"/>
        <v>199.88</v>
      </c>
      <c r="H261" s="37"/>
    </row>
    <row r="262">
      <c r="A262" s="60" t="s">
        <v>670</v>
      </c>
      <c r="B262" s="60" t="s">
        <v>2449</v>
      </c>
      <c r="C262" s="34" t="s">
        <v>2447</v>
      </c>
      <c r="D262" s="34" t="s">
        <v>53</v>
      </c>
      <c r="E262" s="68">
        <v>578.92</v>
      </c>
      <c r="F262" s="36"/>
      <c r="G262" s="36">
        <f t="shared" si="6"/>
        <v>578.92</v>
      </c>
      <c r="H262" s="37"/>
    </row>
    <row r="263">
      <c r="A263" s="60" t="s">
        <v>672</v>
      </c>
      <c r="B263" s="60" t="s">
        <v>673</v>
      </c>
      <c r="C263" s="34" t="s">
        <v>2447</v>
      </c>
      <c r="D263" s="34" t="s">
        <v>53</v>
      </c>
      <c r="E263" s="68">
        <v>643.07</v>
      </c>
      <c r="F263" s="36"/>
      <c r="G263" s="36">
        <f t="shared" si="6"/>
        <v>643.07</v>
      </c>
      <c r="H263" s="37"/>
    </row>
    <row r="264">
      <c r="A264" s="60" t="s">
        <v>1429</v>
      </c>
      <c r="B264" s="60" t="s">
        <v>1430</v>
      </c>
      <c r="C264" s="34" t="s">
        <v>2447</v>
      </c>
      <c r="D264" s="34" t="s">
        <v>53</v>
      </c>
      <c r="E264" s="68">
        <v>2730.22</v>
      </c>
      <c r="F264" s="36"/>
      <c r="G264" s="36">
        <f t="shared" si="6"/>
        <v>2730.22</v>
      </c>
      <c r="H264" s="37"/>
    </row>
    <row r="265">
      <c r="A265" s="60" t="s">
        <v>678</v>
      </c>
      <c r="B265" s="60" t="s">
        <v>679</v>
      </c>
      <c r="C265" s="34" t="s">
        <v>2447</v>
      </c>
      <c r="D265" s="34" t="s">
        <v>53</v>
      </c>
      <c r="E265" s="68">
        <v>325.97</v>
      </c>
      <c r="F265" s="36"/>
      <c r="G265" s="36">
        <f t="shared" si="6"/>
        <v>325.97</v>
      </c>
      <c r="H265" s="37"/>
    </row>
    <row r="266">
      <c r="A266" s="60" t="s">
        <v>680</v>
      </c>
      <c r="B266" s="60" t="s">
        <v>681</v>
      </c>
      <c r="C266" s="34" t="s">
        <v>2447</v>
      </c>
      <c r="D266" s="34" t="s">
        <v>53</v>
      </c>
      <c r="E266" s="68">
        <v>241.97</v>
      </c>
      <c r="F266" s="36"/>
      <c r="G266" s="36">
        <f t="shared" si="6"/>
        <v>241.97</v>
      </c>
      <c r="H266" s="37"/>
    </row>
    <row r="267">
      <c r="A267" s="60" t="s">
        <v>682</v>
      </c>
      <c r="B267" s="60" t="s">
        <v>683</v>
      </c>
      <c r="C267" s="34" t="s">
        <v>2447</v>
      </c>
      <c r="D267" s="34" t="s">
        <v>53</v>
      </c>
      <c r="E267" s="68">
        <v>3290.89</v>
      </c>
      <c r="F267" s="36"/>
      <c r="G267" s="36">
        <f t="shared" si="6"/>
        <v>3290.89</v>
      </c>
      <c r="H267" s="37"/>
    </row>
    <row r="268">
      <c r="A268" s="60" t="s">
        <v>684</v>
      </c>
      <c r="B268" s="60" t="s">
        <v>685</v>
      </c>
      <c r="C268" s="34" t="s">
        <v>2447</v>
      </c>
      <c r="D268" s="34" t="s">
        <v>53</v>
      </c>
      <c r="E268" s="68">
        <v>944.93</v>
      </c>
      <c r="F268" s="36"/>
      <c r="G268" s="36">
        <f t="shared" si="6"/>
        <v>944.93</v>
      </c>
      <c r="H268" s="37"/>
    </row>
    <row r="269">
      <c r="A269" s="60" t="s">
        <v>686</v>
      </c>
      <c r="B269" s="60" t="s">
        <v>687</v>
      </c>
      <c r="C269" s="34" t="s">
        <v>2447</v>
      </c>
      <c r="D269" s="34" t="s">
        <v>53</v>
      </c>
      <c r="E269" s="68">
        <v>711.91</v>
      </c>
      <c r="F269" s="36"/>
      <c r="G269" s="36">
        <f t="shared" si="6"/>
        <v>711.91</v>
      </c>
      <c r="H269" s="37"/>
    </row>
    <row r="270">
      <c r="A270" s="109" t="s">
        <v>696</v>
      </c>
      <c r="B270" s="109" t="s">
        <v>2514</v>
      </c>
      <c r="C270" s="34" t="s">
        <v>84</v>
      </c>
      <c r="D270" s="34" t="s">
        <v>58</v>
      </c>
      <c r="E270" s="110">
        <v>765.0</v>
      </c>
      <c r="F270" s="36"/>
      <c r="G270" s="36">
        <f t="shared" si="6"/>
        <v>765</v>
      </c>
      <c r="H270" s="37"/>
    </row>
    <row r="271">
      <c r="A271" s="60" t="s">
        <v>698</v>
      </c>
      <c r="B271" s="60" t="s">
        <v>699</v>
      </c>
      <c r="C271" s="34" t="s">
        <v>84</v>
      </c>
      <c r="D271" s="34" t="s">
        <v>58</v>
      </c>
      <c r="E271" s="68">
        <v>222.0</v>
      </c>
      <c r="F271" s="36"/>
      <c r="G271" s="36">
        <f t="shared" si="6"/>
        <v>222</v>
      </c>
      <c r="H271" s="37"/>
    </row>
    <row r="272">
      <c r="A272" s="60" t="s">
        <v>704</v>
      </c>
      <c r="B272" s="60" t="s">
        <v>705</v>
      </c>
      <c r="C272" s="34" t="s">
        <v>84</v>
      </c>
      <c r="D272" s="34" t="s">
        <v>58</v>
      </c>
      <c r="E272" s="68">
        <v>630.0</v>
      </c>
      <c r="F272" s="36"/>
      <c r="G272" s="36">
        <f t="shared" si="6"/>
        <v>630</v>
      </c>
      <c r="H272" s="37"/>
    </row>
    <row r="273">
      <c r="A273" s="60" t="s">
        <v>1435</v>
      </c>
      <c r="B273" s="60" t="s">
        <v>1436</v>
      </c>
      <c r="C273" s="34" t="s">
        <v>84</v>
      </c>
      <c r="D273" s="34" t="s">
        <v>58</v>
      </c>
      <c r="E273" s="68">
        <v>607.0</v>
      </c>
      <c r="F273" s="36"/>
      <c r="G273" s="36">
        <f t="shared" si="6"/>
        <v>607</v>
      </c>
      <c r="H273" s="37"/>
    </row>
    <row r="274">
      <c r="A274" s="60" t="s">
        <v>708</v>
      </c>
      <c r="B274" s="60" t="s">
        <v>709</v>
      </c>
      <c r="C274" s="34" t="s">
        <v>84</v>
      </c>
      <c r="D274" s="34" t="s">
        <v>58</v>
      </c>
      <c r="E274" s="68">
        <v>822.0</v>
      </c>
      <c r="F274" s="36"/>
      <c r="G274" s="36">
        <f t="shared" si="6"/>
        <v>822</v>
      </c>
      <c r="H274" s="37"/>
    </row>
    <row r="275">
      <c r="A275" s="60" t="s">
        <v>718</v>
      </c>
      <c r="B275" s="60" t="s">
        <v>719</v>
      </c>
      <c r="C275" s="34" t="s">
        <v>2450</v>
      </c>
      <c r="D275" s="34" t="s">
        <v>51</v>
      </c>
      <c r="E275" s="68">
        <v>1410.49</v>
      </c>
      <c r="F275" s="36"/>
      <c r="G275" s="36">
        <f t="shared" si="6"/>
        <v>1410.49</v>
      </c>
      <c r="H275" s="37"/>
    </row>
    <row r="276">
      <c r="A276" s="60" t="s">
        <v>720</v>
      </c>
      <c r="B276" s="60" t="s">
        <v>721</v>
      </c>
      <c r="C276" s="34" t="s">
        <v>2450</v>
      </c>
      <c r="D276" s="34" t="s">
        <v>51</v>
      </c>
      <c r="E276" s="68">
        <v>1258.01</v>
      </c>
      <c r="F276" s="36"/>
      <c r="G276" s="36">
        <f t="shared" si="6"/>
        <v>1258.01</v>
      </c>
      <c r="H276" s="37"/>
    </row>
    <row r="277">
      <c r="A277" s="60" t="s">
        <v>722</v>
      </c>
      <c r="B277" s="60" t="s">
        <v>723</v>
      </c>
      <c r="C277" s="34" t="s">
        <v>2450</v>
      </c>
      <c r="D277" s="34" t="s">
        <v>51</v>
      </c>
      <c r="E277" s="68">
        <v>664.38</v>
      </c>
      <c r="F277" s="36"/>
      <c r="G277" s="36">
        <f t="shared" si="6"/>
        <v>664.38</v>
      </c>
      <c r="H277" s="37"/>
    </row>
    <row r="278">
      <c r="A278" s="60" t="s">
        <v>724</v>
      </c>
      <c r="B278" s="60" t="s">
        <v>725</v>
      </c>
      <c r="C278" s="34" t="s">
        <v>2450</v>
      </c>
      <c r="D278" s="34" t="s">
        <v>51</v>
      </c>
      <c r="E278" s="68">
        <v>142.98</v>
      </c>
      <c r="F278" s="36"/>
      <c r="G278" s="36">
        <f t="shared" si="6"/>
        <v>142.98</v>
      </c>
      <c r="H278" s="37"/>
    </row>
    <row r="279">
      <c r="A279" s="60" t="s">
        <v>728</v>
      </c>
      <c r="B279" s="60" t="s">
        <v>729</v>
      </c>
      <c r="C279" s="34" t="s">
        <v>2450</v>
      </c>
      <c r="D279" s="34" t="s">
        <v>51</v>
      </c>
      <c r="E279" s="68">
        <v>183.02</v>
      </c>
      <c r="F279" s="36"/>
      <c r="G279" s="36">
        <f t="shared" si="6"/>
        <v>183.02</v>
      </c>
      <c r="H279" s="37"/>
    </row>
    <row r="280">
      <c r="A280" s="60" t="s">
        <v>730</v>
      </c>
      <c r="B280" s="60" t="s">
        <v>731</v>
      </c>
      <c r="C280" s="34" t="s">
        <v>2450</v>
      </c>
      <c r="D280" s="34" t="s">
        <v>51</v>
      </c>
      <c r="E280" s="68">
        <v>101.98</v>
      </c>
      <c r="F280" s="36"/>
      <c r="G280" s="36">
        <f t="shared" si="6"/>
        <v>101.98</v>
      </c>
      <c r="H280" s="37"/>
    </row>
    <row r="281">
      <c r="A281" s="60" t="s">
        <v>732</v>
      </c>
      <c r="B281" s="60" t="s">
        <v>733</v>
      </c>
      <c r="C281" s="34" t="s">
        <v>2450</v>
      </c>
      <c r="D281" s="34" t="s">
        <v>51</v>
      </c>
      <c r="E281" s="68">
        <v>190.96</v>
      </c>
      <c r="F281" s="36"/>
      <c r="G281" s="36">
        <f t="shared" si="6"/>
        <v>190.96</v>
      </c>
      <c r="H281" s="37"/>
    </row>
    <row r="282">
      <c r="A282" s="60" t="s">
        <v>734</v>
      </c>
      <c r="B282" s="60" t="s">
        <v>735</v>
      </c>
      <c r="C282" s="34" t="s">
        <v>2450</v>
      </c>
      <c r="D282" s="34" t="s">
        <v>51</v>
      </c>
      <c r="E282" s="68">
        <v>334.96</v>
      </c>
      <c r="F282" s="36"/>
      <c r="G282" s="36">
        <f t="shared" si="6"/>
        <v>334.96</v>
      </c>
      <c r="H282" s="37"/>
    </row>
    <row r="283">
      <c r="A283" s="60" t="s">
        <v>736</v>
      </c>
      <c r="B283" s="60" t="s">
        <v>737</v>
      </c>
      <c r="C283" s="34" t="s">
        <v>2450</v>
      </c>
      <c r="D283" s="34" t="s">
        <v>51</v>
      </c>
      <c r="E283" s="68">
        <v>735.35</v>
      </c>
      <c r="F283" s="36"/>
      <c r="G283" s="36">
        <f t="shared" si="6"/>
        <v>735.35</v>
      </c>
      <c r="H283" s="37"/>
    </row>
    <row r="284">
      <c r="A284" s="60" t="s">
        <v>738</v>
      </c>
      <c r="B284" s="60" t="s">
        <v>739</v>
      </c>
      <c r="C284" s="34" t="s">
        <v>2450</v>
      </c>
      <c r="D284" s="34" t="s">
        <v>51</v>
      </c>
      <c r="E284" s="68">
        <v>91.98</v>
      </c>
      <c r="F284" s="36"/>
      <c r="G284" s="36">
        <f t="shared" si="6"/>
        <v>91.98</v>
      </c>
      <c r="H284" s="37"/>
    </row>
    <row r="285">
      <c r="A285" s="60" t="s">
        <v>740</v>
      </c>
      <c r="B285" s="60" t="s">
        <v>741</v>
      </c>
      <c r="C285" s="34" t="s">
        <v>2450</v>
      </c>
      <c r="D285" s="34" t="s">
        <v>51</v>
      </c>
      <c r="E285" s="68">
        <v>868.04</v>
      </c>
      <c r="F285" s="36"/>
      <c r="G285" s="36">
        <f t="shared" si="6"/>
        <v>868.04</v>
      </c>
      <c r="H285" s="37"/>
    </row>
    <row r="286">
      <c r="A286" s="60" t="s">
        <v>744</v>
      </c>
      <c r="B286" s="60" t="s">
        <v>745</v>
      </c>
      <c r="C286" s="34" t="s">
        <v>2450</v>
      </c>
      <c r="D286" s="34" t="s">
        <v>51</v>
      </c>
      <c r="E286" s="68">
        <v>499.03</v>
      </c>
      <c r="F286" s="36"/>
      <c r="G286" s="36">
        <f t="shared" si="6"/>
        <v>499.03</v>
      </c>
      <c r="H286" s="37"/>
    </row>
    <row r="287">
      <c r="A287" s="60" t="s">
        <v>2453</v>
      </c>
      <c r="B287" s="60" t="s">
        <v>2454</v>
      </c>
      <c r="C287" s="34" t="s">
        <v>2450</v>
      </c>
      <c r="D287" s="34" t="s">
        <v>51</v>
      </c>
      <c r="E287" s="68">
        <v>2505.39</v>
      </c>
      <c r="F287" s="36"/>
      <c r="G287" s="36">
        <f t="shared" si="6"/>
        <v>2505.39</v>
      </c>
      <c r="H287" s="37"/>
    </row>
    <row r="288">
      <c r="A288" s="60" t="s">
        <v>1786</v>
      </c>
      <c r="B288" s="60" t="s">
        <v>1787</v>
      </c>
      <c r="C288" s="34" t="s">
        <v>2450</v>
      </c>
      <c r="D288" s="34" t="s">
        <v>51</v>
      </c>
      <c r="E288" s="68">
        <v>882.0</v>
      </c>
      <c r="F288" s="36"/>
      <c r="G288" s="36">
        <f t="shared" si="6"/>
        <v>882</v>
      </c>
      <c r="H288" s="37"/>
    </row>
    <row r="289">
      <c r="A289" s="60" t="s">
        <v>2455</v>
      </c>
      <c r="B289" s="60" t="s">
        <v>2456</v>
      </c>
      <c r="C289" s="34" t="s">
        <v>2450</v>
      </c>
      <c r="D289" s="34" t="s">
        <v>51</v>
      </c>
      <c r="E289" s="68">
        <v>460.03</v>
      </c>
      <c r="F289" s="36"/>
      <c r="G289" s="36">
        <f t="shared" si="6"/>
        <v>460.03</v>
      </c>
      <c r="H289" s="37"/>
    </row>
    <row r="290">
      <c r="A290" s="60" t="s">
        <v>750</v>
      </c>
      <c r="B290" s="60" t="s">
        <v>751</v>
      </c>
      <c r="C290" s="34" t="s">
        <v>2450</v>
      </c>
      <c r="D290" s="34" t="s">
        <v>51</v>
      </c>
      <c r="E290" s="68">
        <v>159.97</v>
      </c>
      <c r="F290" s="36"/>
      <c r="G290" s="36">
        <f t="shared" si="6"/>
        <v>159.97</v>
      </c>
      <c r="H290" s="37"/>
    </row>
    <row r="291">
      <c r="A291" s="60" t="s">
        <v>752</v>
      </c>
      <c r="B291" s="60" t="s">
        <v>753</v>
      </c>
      <c r="C291" s="34" t="s">
        <v>2450</v>
      </c>
      <c r="D291" s="34" t="s">
        <v>51</v>
      </c>
      <c r="E291" s="68">
        <v>2730.22</v>
      </c>
      <c r="F291" s="36"/>
      <c r="G291" s="36">
        <f t="shared" si="6"/>
        <v>2730.22</v>
      </c>
      <c r="H291" s="37"/>
    </row>
    <row r="292">
      <c r="A292" s="60" t="s">
        <v>754</v>
      </c>
      <c r="B292" s="60" t="s">
        <v>755</v>
      </c>
      <c r="C292" s="34" t="s">
        <v>2450</v>
      </c>
      <c r="D292" s="34" t="s">
        <v>51</v>
      </c>
      <c r="E292" s="68">
        <v>732.0</v>
      </c>
      <c r="F292" s="36"/>
      <c r="G292" s="36">
        <f t="shared" si="6"/>
        <v>732</v>
      </c>
      <c r="H292" s="37"/>
    </row>
    <row r="293">
      <c r="A293" s="60" t="s">
        <v>796</v>
      </c>
      <c r="B293" s="60" t="s">
        <v>797</v>
      </c>
      <c r="C293" s="34" t="s">
        <v>77</v>
      </c>
      <c r="D293" s="34" t="s">
        <v>47</v>
      </c>
      <c r="E293" s="68">
        <v>5680.33</v>
      </c>
      <c r="F293" s="36"/>
      <c r="G293" s="36">
        <f t="shared" si="6"/>
        <v>5680.33</v>
      </c>
      <c r="H293" s="37"/>
    </row>
    <row r="294">
      <c r="A294" s="60" t="s">
        <v>798</v>
      </c>
      <c r="B294" s="60" t="s">
        <v>799</v>
      </c>
      <c r="C294" s="34" t="s">
        <v>77</v>
      </c>
      <c r="D294" s="34" t="s">
        <v>47</v>
      </c>
      <c r="E294" s="68">
        <v>20140.94</v>
      </c>
      <c r="F294" s="36"/>
      <c r="G294" s="36">
        <f t="shared" si="6"/>
        <v>20140.94</v>
      </c>
      <c r="H294" s="37"/>
    </row>
    <row r="295">
      <c r="A295" s="60" t="s">
        <v>800</v>
      </c>
      <c r="B295" s="60" t="s">
        <v>801</v>
      </c>
      <c r="C295" s="34" t="s">
        <v>77</v>
      </c>
      <c r="D295" s="34" t="s">
        <v>47</v>
      </c>
      <c r="E295" s="68">
        <v>5221.67</v>
      </c>
      <c r="F295" s="36"/>
      <c r="G295" s="36">
        <f t="shared" si="6"/>
        <v>5221.67</v>
      </c>
      <c r="H295" s="37"/>
    </row>
    <row r="296">
      <c r="A296" s="60" t="s">
        <v>804</v>
      </c>
      <c r="B296" s="60" t="s">
        <v>805</v>
      </c>
      <c r="C296" s="34" t="s">
        <v>77</v>
      </c>
      <c r="D296" s="34" t="s">
        <v>47</v>
      </c>
      <c r="E296" s="68">
        <v>8994.32</v>
      </c>
      <c r="F296" s="36"/>
      <c r="G296" s="36">
        <f t="shared" si="6"/>
        <v>8994.32</v>
      </c>
      <c r="H296" s="37"/>
    </row>
    <row r="297">
      <c r="A297" s="60" t="s">
        <v>806</v>
      </c>
      <c r="B297" s="60" t="s">
        <v>807</v>
      </c>
      <c r="C297" s="34" t="s">
        <v>77</v>
      </c>
      <c r="D297" s="34" t="s">
        <v>47</v>
      </c>
      <c r="E297" s="68">
        <v>4323.0</v>
      </c>
      <c r="F297" s="36"/>
      <c r="G297" s="36">
        <f t="shared" si="6"/>
        <v>4323</v>
      </c>
      <c r="H297" s="37"/>
    </row>
    <row r="298">
      <c r="A298" s="60" t="s">
        <v>808</v>
      </c>
      <c r="B298" s="60" t="s">
        <v>809</v>
      </c>
      <c r="C298" s="34" t="s">
        <v>77</v>
      </c>
      <c r="D298" s="34" t="s">
        <v>47</v>
      </c>
      <c r="E298" s="68">
        <v>40655.99</v>
      </c>
      <c r="F298" s="36"/>
      <c r="G298" s="36">
        <f t="shared" si="6"/>
        <v>40655.99</v>
      </c>
      <c r="H298" s="37"/>
    </row>
    <row r="299">
      <c r="A299" s="60" t="s">
        <v>810</v>
      </c>
      <c r="B299" s="60" t="s">
        <v>811</v>
      </c>
      <c r="C299" s="34" t="s">
        <v>77</v>
      </c>
      <c r="D299" s="34" t="s">
        <v>47</v>
      </c>
      <c r="E299" s="68">
        <v>12882.9</v>
      </c>
      <c r="F299" s="36"/>
      <c r="G299" s="36">
        <f t="shared" si="6"/>
        <v>12882.9</v>
      </c>
      <c r="H299" s="37"/>
    </row>
    <row r="300">
      <c r="A300" s="60" t="s">
        <v>812</v>
      </c>
      <c r="B300" s="60" t="s">
        <v>813</v>
      </c>
      <c r="C300" s="34" t="s">
        <v>77</v>
      </c>
      <c r="D300" s="34" t="s">
        <v>47</v>
      </c>
      <c r="E300" s="68">
        <v>19436.01</v>
      </c>
      <c r="F300" s="36"/>
      <c r="G300" s="36">
        <f t="shared" si="6"/>
        <v>19436.01</v>
      </c>
      <c r="H300" s="37"/>
    </row>
    <row r="301">
      <c r="A301" s="60" t="s">
        <v>816</v>
      </c>
      <c r="B301" s="60" t="s">
        <v>817</v>
      </c>
      <c r="C301" s="34" t="s">
        <v>77</v>
      </c>
      <c r="D301" s="34" t="s">
        <v>47</v>
      </c>
      <c r="E301" s="68">
        <v>2701.0</v>
      </c>
      <c r="F301" s="36"/>
      <c r="G301" s="36">
        <f t="shared" si="6"/>
        <v>2701</v>
      </c>
      <c r="H301" s="37"/>
    </row>
    <row r="302">
      <c r="A302" s="60" t="s">
        <v>818</v>
      </c>
      <c r="B302" s="60" t="s">
        <v>819</v>
      </c>
      <c r="C302" s="34" t="s">
        <v>77</v>
      </c>
      <c r="D302" s="34" t="s">
        <v>47</v>
      </c>
      <c r="E302" s="68">
        <v>164772.94</v>
      </c>
      <c r="F302" s="36"/>
      <c r="G302" s="36">
        <f t="shared" si="6"/>
        <v>164772.94</v>
      </c>
      <c r="H302" s="37"/>
    </row>
    <row r="303">
      <c r="A303" s="60" t="s">
        <v>822</v>
      </c>
      <c r="B303" s="60" t="s">
        <v>823</v>
      </c>
      <c r="C303" s="34" t="s">
        <v>77</v>
      </c>
      <c r="D303" s="34" t="s">
        <v>47</v>
      </c>
      <c r="E303" s="68">
        <v>540.0</v>
      </c>
      <c r="F303" s="36"/>
      <c r="G303" s="36">
        <f t="shared" si="6"/>
        <v>540</v>
      </c>
      <c r="H303" s="37"/>
    </row>
    <row r="304">
      <c r="A304" s="60" t="s">
        <v>824</v>
      </c>
      <c r="B304" s="60" t="s">
        <v>825</v>
      </c>
      <c r="C304" s="34" t="s">
        <v>77</v>
      </c>
      <c r="D304" s="34" t="s">
        <v>47</v>
      </c>
      <c r="E304" s="68">
        <v>117.04</v>
      </c>
      <c r="F304" s="36"/>
      <c r="G304" s="36">
        <f t="shared" si="6"/>
        <v>117.04</v>
      </c>
      <c r="H304" s="37"/>
    </row>
    <row r="305">
      <c r="A305" s="60" t="s">
        <v>826</v>
      </c>
      <c r="B305" s="60" t="s">
        <v>827</v>
      </c>
      <c r="C305" s="34" t="s">
        <v>77</v>
      </c>
      <c r="D305" s="34" t="s">
        <v>47</v>
      </c>
      <c r="E305" s="68">
        <v>18000.0</v>
      </c>
      <c r="F305" s="36"/>
      <c r="G305" s="36">
        <f t="shared" si="6"/>
        <v>18000</v>
      </c>
      <c r="H305" s="37"/>
    </row>
    <row r="306">
      <c r="A306" s="60" t="s">
        <v>828</v>
      </c>
      <c r="B306" s="60" t="s">
        <v>829</v>
      </c>
      <c r="C306" s="34" t="s">
        <v>77</v>
      </c>
      <c r="D306" s="34" t="s">
        <v>47</v>
      </c>
      <c r="E306" s="68">
        <v>9384.79</v>
      </c>
      <c r="F306" s="36"/>
      <c r="G306" s="36">
        <f t="shared" si="6"/>
        <v>9384.79</v>
      </c>
      <c r="H306" s="37"/>
    </row>
    <row r="307">
      <c r="A307" s="60" t="s">
        <v>1783</v>
      </c>
      <c r="B307" s="60" t="s">
        <v>1784</v>
      </c>
      <c r="C307" s="34" t="s">
        <v>77</v>
      </c>
      <c r="D307" s="34" t="s">
        <v>47</v>
      </c>
      <c r="E307" s="68">
        <v>2800.0</v>
      </c>
      <c r="F307" s="36"/>
      <c r="G307" s="36">
        <f t="shared" si="6"/>
        <v>2800</v>
      </c>
      <c r="H307" s="37"/>
    </row>
    <row r="308">
      <c r="A308" s="60" t="s">
        <v>830</v>
      </c>
      <c r="B308" s="60" t="s">
        <v>831</v>
      </c>
      <c r="C308" s="34" t="s">
        <v>77</v>
      </c>
      <c r="D308" s="34" t="s">
        <v>47</v>
      </c>
      <c r="E308" s="68">
        <v>3155.0</v>
      </c>
      <c r="F308" s="36"/>
      <c r="G308" s="36">
        <f t="shared" si="6"/>
        <v>3155</v>
      </c>
      <c r="H308" s="37"/>
    </row>
    <row r="309">
      <c r="A309" s="60" t="s">
        <v>832</v>
      </c>
      <c r="B309" s="60" t="s">
        <v>833</v>
      </c>
      <c r="C309" s="34" t="s">
        <v>77</v>
      </c>
      <c r="D309" s="34" t="s">
        <v>47</v>
      </c>
      <c r="E309" s="68">
        <v>4121.9</v>
      </c>
      <c r="F309" s="36"/>
      <c r="G309" s="36">
        <f t="shared" si="6"/>
        <v>4121.9</v>
      </c>
      <c r="H309" s="37"/>
    </row>
    <row r="310">
      <c r="A310" s="60" t="s">
        <v>834</v>
      </c>
      <c r="B310" s="60" t="s">
        <v>835</v>
      </c>
      <c r="C310" s="34" t="s">
        <v>77</v>
      </c>
      <c r="D310" s="34" t="s">
        <v>47</v>
      </c>
      <c r="E310" s="68">
        <v>1838.0</v>
      </c>
      <c r="F310" s="36"/>
      <c r="G310" s="36">
        <f t="shared" si="6"/>
        <v>1838</v>
      </c>
      <c r="H310" s="37"/>
    </row>
    <row r="311">
      <c r="A311" s="60" t="s">
        <v>836</v>
      </c>
      <c r="B311" s="60" t="s">
        <v>837</v>
      </c>
      <c r="C311" s="34" t="s">
        <v>77</v>
      </c>
      <c r="D311" s="34" t="s">
        <v>47</v>
      </c>
      <c r="E311" s="68">
        <v>8048.0</v>
      </c>
      <c r="F311" s="36"/>
      <c r="G311" s="36">
        <f t="shared" si="6"/>
        <v>8048</v>
      </c>
      <c r="H311" s="37"/>
    </row>
    <row r="312">
      <c r="A312" s="60" t="s">
        <v>838</v>
      </c>
      <c r="B312" s="60" t="s">
        <v>839</v>
      </c>
      <c r="C312" s="34" t="s">
        <v>77</v>
      </c>
      <c r="D312" s="34" t="s">
        <v>47</v>
      </c>
      <c r="E312" s="68">
        <v>6206.0</v>
      </c>
      <c r="F312" s="36"/>
      <c r="G312" s="36">
        <f t="shared" si="6"/>
        <v>6206</v>
      </c>
      <c r="H312" s="37"/>
    </row>
    <row r="313">
      <c r="A313" s="60" t="s">
        <v>840</v>
      </c>
      <c r="B313" s="60" t="s">
        <v>1785</v>
      </c>
      <c r="C313" s="34" t="s">
        <v>77</v>
      </c>
      <c r="D313" s="34" t="s">
        <v>47</v>
      </c>
      <c r="E313" s="68">
        <v>4368.0</v>
      </c>
      <c r="F313" s="36"/>
      <c r="G313" s="36">
        <f t="shared" si="6"/>
        <v>4368</v>
      </c>
      <c r="H313" s="37"/>
    </row>
    <row r="314">
      <c r="A314" s="60" t="s">
        <v>842</v>
      </c>
      <c r="B314" s="60" t="s">
        <v>843</v>
      </c>
      <c r="C314" s="34" t="s">
        <v>77</v>
      </c>
      <c r="D314" s="34" t="s">
        <v>47</v>
      </c>
      <c r="E314" s="68">
        <v>1092.0</v>
      </c>
      <c r="F314" s="36"/>
      <c r="G314" s="36">
        <f t="shared" si="6"/>
        <v>1092</v>
      </c>
      <c r="H314" s="37"/>
    </row>
    <row r="315">
      <c r="A315" s="60" t="s">
        <v>844</v>
      </c>
      <c r="B315" s="60" t="s">
        <v>845</v>
      </c>
      <c r="C315" s="34" t="s">
        <v>77</v>
      </c>
      <c r="D315" s="34" t="s">
        <v>47</v>
      </c>
      <c r="E315" s="68">
        <v>51701.87</v>
      </c>
      <c r="F315" s="36"/>
      <c r="G315" s="36">
        <f t="shared" si="6"/>
        <v>51701.87</v>
      </c>
      <c r="H315" s="37"/>
    </row>
    <row r="316">
      <c r="A316" s="60" t="s">
        <v>766</v>
      </c>
      <c r="B316" s="60" t="s">
        <v>767</v>
      </c>
      <c r="C316" s="34" t="s">
        <v>79</v>
      </c>
      <c r="D316" s="34" t="s">
        <v>49</v>
      </c>
      <c r="E316" s="68">
        <v>634.0</v>
      </c>
      <c r="F316" s="36"/>
      <c r="G316" s="36">
        <f t="shared" si="6"/>
        <v>634</v>
      </c>
      <c r="H316" s="37"/>
    </row>
    <row r="317">
      <c r="A317" s="60" t="s">
        <v>768</v>
      </c>
      <c r="B317" s="60" t="s">
        <v>769</v>
      </c>
      <c r="C317" s="34" t="s">
        <v>79</v>
      </c>
      <c r="D317" s="34" t="s">
        <v>49</v>
      </c>
      <c r="E317" s="68">
        <v>127254.3</v>
      </c>
      <c r="F317" s="36"/>
      <c r="G317" s="36">
        <f t="shared" si="6"/>
        <v>127254.3</v>
      </c>
      <c r="H317" s="37"/>
    </row>
    <row r="318">
      <c r="A318" s="60" t="s">
        <v>770</v>
      </c>
      <c r="B318" s="60" t="s">
        <v>771</v>
      </c>
      <c r="C318" s="34" t="s">
        <v>79</v>
      </c>
      <c r="D318" s="34" t="s">
        <v>49</v>
      </c>
      <c r="E318" s="68">
        <v>54510.0</v>
      </c>
      <c r="F318" s="36"/>
      <c r="G318" s="36">
        <f t="shared" si="6"/>
        <v>54510</v>
      </c>
      <c r="H318" s="37"/>
    </row>
    <row r="319">
      <c r="A319" s="60" t="s">
        <v>772</v>
      </c>
      <c r="B319" s="60" t="s">
        <v>773</v>
      </c>
      <c r="C319" s="34" t="s">
        <v>79</v>
      </c>
      <c r="D319" s="34" t="s">
        <v>49</v>
      </c>
      <c r="E319" s="68">
        <v>79536.07</v>
      </c>
      <c r="F319" s="36"/>
      <c r="G319" s="36">
        <f t="shared" si="6"/>
        <v>79536.07</v>
      </c>
      <c r="H319" s="37"/>
    </row>
    <row r="320">
      <c r="A320" s="60" t="s">
        <v>774</v>
      </c>
      <c r="B320" s="60" t="s">
        <v>775</v>
      </c>
      <c r="C320" s="34" t="s">
        <v>79</v>
      </c>
      <c r="D320" s="34" t="s">
        <v>49</v>
      </c>
      <c r="E320" s="68">
        <v>458283.25</v>
      </c>
      <c r="F320" s="36"/>
      <c r="G320" s="36">
        <f t="shared" si="6"/>
        <v>458283.25</v>
      </c>
      <c r="H320" s="37"/>
    </row>
    <row r="321">
      <c r="A321" s="60" t="s">
        <v>780</v>
      </c>
      <c r="B321" s="60" t="s">
        <v>781</v>
      </c>
      <c r="C321" s="34" t="s">
        <v>79</v>
      </c>
      <c r="D321" s="34" t="s">
        <v>49</v>
      </c>
      <c r="E321" s="68">
        <v>195.5</v>
      </c>
      <c r="F321" s="36"/>
      <c r="G321" s="36">
        <f t="shared" si="6"/>
        <v>195.5</v>
      </c>
      <c r="H321" s="37"/>
    </row>
    <row r="322">
      <c r="A322" s="60" t="s">
        <v>782</v>
      </c>
      <c r="B322" s="60" t="s">
        <v>783</v>
      </c>
      <c r="C322" s="34" t="s">
        <v>79</v>
      </c>
      <c r="D322" s="34" t="s">
        <v>49</v>
      </c>
      <c r="E322" s="68">
        <v>97.75</v>
      </c>
      <c r="F322" s="36"/>
      <c r="G322" s="36">
        <f t="shared" si="6"/>
        <v>97.75</v>
      </c>
      <c r="H322" s="37"/>
    </row>
    <row r="323">
      <c r="A323" s="60" t="s">
        <v>784</v>
      </c>
      <c r="B323" s="60" t="s">
        <v>785</v>
      </c>
      <c r="C323" s="34" t="s">
        <v>79</v>
      </c>
      <c r="D323" s="34" t="s">
        <v>49</v>
      </c>
      <c r="E323" s="68">
        <v>38209.01</v>
      </c>
      <c r="F323" s="36"/>
      <c r="G323" s="36">
        <f t="shared" si="6"/>
        <v>38209.01</v>
      </c>
      <c r="H323" s="37"/>
    </row>
    <row r="324">
      <c r="A324" s="60" t="s">
        <v>786</v>
      </c>
      <c r="B324" s="60" t="s">
        <v>787</v>
      </c>
      <c r="C324" s="34" t="s">
        <v>79</v>
      </c>
      <c r="D324" s="34" t="s">
        <v>49</v>
      </c>
      <c r="E324" s="68">
        <v>920.0</v>
      </c>
      <c r="F324" s="36"/>
      <c r="G324" s="36">
        <f t="shared" si="6"/>
        <v>920</v>
      </c>
      <c r="H324" s="37"/>
    </row>
    <row r="325">
      <c r="A325" s="60" t="s">
        <v>788</v>
      </c>
      <c r="B325" s="60" t="s">
        <v>789</v>
      </c>
      <c r="C325" s="34" t="s">
        <v>79</v>
      </c>
      <c r="D325" s="34" t="s">
        <v>49</v>
      </c>
      <c r="E325" s="68">
        <v>84496.25</v>
      </c>
      <c r="F325" s="36"/>
      <c r="G325" s="36">
        <f t="shared" si="6"/>
        <v>84496.25</v>
      </c>
      <c r="H325" s="37"/>
    </row>
    <row r="326">
      <c r="A326" s="60" t="s">
        <v>790</v>
      </c>
      <c r="B326" s="60" t="s">
        <v>791</v>
      </c>
      <c r="C326" s="34" t="s">
        <v>79</v>
      </c>
      <c r="D326" s="34" t="s">
        <v>49</v>
      </c>
      <c r="E326" s="68">
        <v>120.0</v>
      </c>
      <c r="F326" s="36"/>
      <c r="G326" s="36">
        <f t="shared" si="6"/>
        <v>120</v>
      </c>
      <c r="H326" s="37"/>
    </row>
    <row r="327">
      <c r="A327" s="60" t="s">
        <v>792</v>
      </c>
      <c r="B327" s="60" t="s">
        <v>793</v>
      </c>
      <c r="C327" s="34" t="s">
        <v>79</v>
      </c>
      <c r="D327" s="34" t="s">
        <v>49</v>
      </c>
      <c r="E327" s="68">
        <v>6237.5</v>
      </c>
      <c r="F327" s="36"/>
      <c r="G327" s="36">
        <f t="shared" si="6"/>
        <v>6237.5</v>
      </c>
      <c r="H327" s="37"/>
    </row>
    <row r="328">
      <c r="A328" s="60" t="s">
        <v>1781</v>
      </c>
      <c r="B328" s="60" t="s">
        <v>1782</v>
      </c>
      <c r="C328" s="34" t="s">
        <v>79</v>
      </c>
      <c r="D328" s="34" t="s">
        <v>49</v>
      </c>
      <c r="E328" s="68">
        <v>149319.25</v>
      </c>
      <c r="F328" s="36"/>
      <c r="G328" s="36">
        <f t="shared" si="6"/>
        <v>149319.25</v>
      </c>
      <c r="H328" s="37"/>
    </row>
    <row r="329">
      <c r="A329" s="82" t="s">
        <v>344</v>
      </c>
      <c r="B329" s="82" t="s">
        <v>345</v>
      </c>
      <c r="C329" s="34" t="s">
        <v>79</v>
      </c>
      <c r="D329" s="34" t="s">
        <v>49</v>
      </c>
      <c r="E329" s="86">
        <v>12397.5</v>
      </c>
      <c r="F329" s="36"/>
      <c r="G329" s="36">
        <f t="shared" si="6"/>
        <v>12397.5</v>
      </c>
      <c r="H329" s="37"/>
    </row>
    <row r="330">
      <c r="A330" s="82" t="s">
        <v>794</v>
      </c>
      <c r="B330" s="82" t="s">
        <v>795</v>
      </c>
      <c r="C330" s="34" t="s">
        <v>79</v>
      </c>
      <c r="D330" s="34" t="s">
        <v>49</v>
      </c>
      <c r="E330" s="86">
        <v>237995.64</v>
      </c>
      <c r="F330" s="36"/>
      <c r="G330" s="36">
        <f t="shared" si="6"/>
        <v>237995.64</v>
      </c>
      <c r="H330" s="37"/>
    </row>
    <row r="331">
      <c r="A331" s="60" t="s">
        <v>850</v>
      </c>
      <c r="B331" s="60" t="s">
        <v>851</v>
      </c>
      <c r="C331" s="34" t="s">
        <v>75</v>
      </c>
      <c r="D331" s="34" t="s">
        <v>50</v>
      </c>
      <c r="E331" s="68">
        <v>466.02</v>
      </c>
      <c r="F331" s="36"/>
      <c r="G331" s="36">
        <f t="shared" si="6"/>
        <v>466.02</v>
      </c>
      <c r="H331" s="37"/>
    </row>
    <row r="332">
      <c r="A332" s="60" t="s">
        <v>852</v>
      </c>
      <c r="B332" s="60" t="s">
        <v>853</v>
      </c>
      <c r="C332" s="34" t="s">
        <v>75</v>
      </c>
      <c r="D332" s="34" t="s">
        <v>50</v>
      </c>
      <c r="E332" s="68">
        <v>626.02</v>
      </c>
      <c r="F332" s="36"/>
      <c r="G332" s="36">
        <f t="shared" si="6"/>
        <v>626.02</v>
      </c>
      <c r="H332" s="37"/>
    </row>
    <row r="333">
      <c r="A333" s="60" t="s">
        <v>854</v>
      </c>
      <c r="B333" s="60" t="s">
        <v>855</v>
      </c>
      <c r="C333" s="34" t="s">
        <v>75</v>
      </c>
      <c r="D333" s="34" t="s">
        <v>50</v>
      </c>
      <c r="E333" s="68">
        <v>500.0</v>
      </c>
      <c r="F333" s="36"/>
      <c r="G333" s="36">
        <f t="shared" si="6"/>
        <v>500</v>
      </c>
      <c r="H333" s="37"/>
    </row>
    <row r="334">
      <c r="A334" s="60" t="s">
        <v>856</v>
      </c>
      <c r="B334" s="60" t="s">
        <v>857</v>
      </c>
      <c r="C334" s="34" t="s">
        <v>75</v>
      </c>
      <c r="D334" s="34" t="s">
        <v>50</v>
      </c>
      <c r="E334" s="68">
        <v>300.02</v>
      </c>
      <c r="F334" s="36"/>
      <c r="G334" s="36">
        <f t="shared" si="6"/>
        <v>300.02</v>
      </c>
      <c r="H334" s="37"/>
    </row>
    <row r="335">
      <c r="A335" s="60" t="s">
        <v>858</v>
      </c>
      <c r="B335" s="60" t="s">
        <v>859</v>
      </c>
      <c r="C335" s="34" t="s">
        <v>75</v>
      </c>
      <c r="D335" s="34" t="s">
        <v>50</v>
      </c>
      <c r="E335" s="68">
        <v>170.03</v>
      </c>
      <c r="F335" s="36"/>
      <c r="G335" s="36">
        <f t="shared" si="6"/>
        <v>170.03</v>
      </c>
      <c r="H335" s="37"/>
    </row>
    <row r="336">
      <c r="A336" s="60" t="s">
        <v>860</v>
      </c>
      <c r="B336" s="60" t="s">
        <v>861</v>
      </c>
      <c r="C336" s="34" t="s">
        <v>75</v>
      </c>
      <c r="D336" s="34" t="s">
        <v>50</v>
      </c>
      <c r="E336" s="68">
        <v>197.84</v>
      </c>
      <c r="F336" s="36"/>
      <c r="G336" s="36">
        <f t="shared" si="6"/>
        <v>197.84</v>
      </c>
      <c r="H336" s="37"/>
    </row>
    <row r="337">
      <c r="A337" s="60" t="s">
        <v>862</v>
      </c>
      <c r="B337" s="60" t="s">
        <v>863</v>
      </c>
      <c r="C337" s="34" t="s">
        <v>75</v>
      </c>
      <c r="D337" s="34" t="s">
        <v>50</v>
      </c>
      <c r="E337" s="68">
        <v>159.97</v>
      </c>
      <c r="F337" s="36"/>
      <c r="G337" s="36">
        <f t="shared" si="6"/>
        <v>159.97</v>
      </c>
      <c r="H337" s="37"/>
    </row>
    <row r="338">
      <c r="A338" s="60" t="s">
        <v>1788</v>
      </c>
      <c r="B338" s="60" t="s">
        <v>1789</v>
      </c>
      <c r="C338" s="34" t="s">
        <v>75</v>
      </c>
      <c r="D338" s="34" t="s">
        <v>50</v>
      </c>
      <c r="E338" s="68">
        <v>196.99</v>
      </c>
      <c r="F338" s="36"/>
      <c r="G338" s="36">
        <f t="shared" si="6"/>
        <v>196.99</v>
      </c>
      <c r="H338" s="37"/>
    </row>
    <row r="339">
      <c r="A339" s="60" t="s">
        <v>864</v>
      </c>
      <c r="B339" s="60" t="s">
        <v>865</v>
      </c>
      <c r="C339" s="34" t="s">
        <v>75</v>
      </c>
      <c r="D339" s="34" t="s">
        <v>50</v>
      </c>
      <c r="E339" s="68">
        <v>199.91</v>
      </c>
      <c r="F339" s="36"/>
      <c r="G339" s="36">
        <f t="shared" si="6"/>
        <v>199.91</v>
      </c>
      <c r="H339" s="37"/>
    </row>
    <row r="340">
      <c r="A340" s="60" t="s">
        <v>866</v>
      </c>
      <c r="B340" s="60" t="s">
        <v>867</v>
      </c>
      <c r="C340" s="34" t="s">
        <v>75</v>
      </c>
      <c r="D340" s="34" t="s">
        <v>50</v>
      </c>
      <c r="E340" s="68">
        <v>199.91</v>
      </c>
      <c r="F340" s="36"/>
      <c r="G340" s="36">
        <f t="shared" si="6"/>
        <v>199.91</v>
      </c>
      <c r="H340" s="37"/>
    </row>
    <row r="341">
      <c r="A341" s="60" t="s">
        <v>868</v>
      </c>
      <c r="B341" s="60" t="s">
        <v>869</v>
      </c>
      <c r="C341" s="34" t="s">
        <v>75</v>
      </c>
      <c r="D341" s="34" t="s">
        <v>50</v>
      </c>
      <c r="E341" s="68">
        <v>482.3</v>
      </c>
      <c r="F341" s="36"/>
      <c r="G341" s="36">
        <f t="shared" si="6"/>
        <v>482.3</v>
      </c>
      <c r="H341" s="37"/>
    </row>
    <row r="342">
      <c r="A342" s="60" t="s">
        <v>870</v>
      </c>
      <c r="B342" s="60" t="s">
        <v>871</v>
      </c>
      <c r="C342" s="34" t="s">
        <v>75</v>
      </c>
      <c r="D342" s="34" t="s">
        <v>50</v>
      </c>
      <c r="E342" s="68">
        <v>482.3</v>
      </c>
      <c r="F342" s="36"/>
      <c r="G342" s="36">
        <f t="shared" si="6"/>
        <v>482.3</v>
      </c>
      <c r="H342" s="37"/>
    </row>
    <row r="343">
      <c r="A343" s="60" t="s">
        <v>872</v>
      </c>
      <c r="B343" s="60" t="s">
        <v>873</v>
      </c>
      <c r="C343" s="34" t="s">
        <v>75</v>
      </c>
      <c r="D343" s="34" t="s">
        <v>50</v>
      </c>
      <c r="E343" s="68">
        <v>562.02</v>
      </c>
      <c r="F343" s="36"/>
      <c r="G343" s="36">
        <f t="shared" si="6"/>
        <v>562.02</v>
      </c>
      <c r="H343" s="37"/>
    </row>
    <row r="344">
      <c r="A344" s="60" t="s">
        <v>2459</v>
      </c>
      <c r="B344" s="60" t="s">
        <v>2460</v>
      </c>
      <c r="C344" s="34" t="s">
        <v>75</v>
      </c>
      <c r="D344" s="34" t="s">
        <v>50</v>
      </c>
      <c r="E344" s="68">
        <v>272.01</v>
      </c>
      <c r="F344" s="36"/>
      <c r="G344" s="36">
        <f t="shared" si="6"/>
        <v>272.01</v>
      </c>
      <c r="H344" s="37"/>
    </row>
    <row r="345">
      <c r="A345" s="60" t="s">
        <v>874</v>
      </c>
      <c r="B345" s="60" t="s">
        <v>875</v>
      </c>
      <c r="C345" s="34" t="s">
        <v>75</v>
      </c>
      <c r="D345" s="34" t="s">
        <v>50</v>
      </c>
      <c r="E345" s="68">
        <v>183.98</v>
      </c>
      <c r="F345" s="36"/>
      <c r="G345" s="36">
        <f t="shared" si="6"/>
        <v>183.98</v>
      </c>
      <c r="H345" s="37"/>
    </row>
    <row r="346">
      <c r="A346" s="60" t="s">
        <v>876</v>
      </c>
      <c r="B346" s="60" t="s">
        <v>877</v>
      </c>
      <c r="C346" s="34" t="s">
        <v>75</v>
      </c>
      <c r="D346" s="34" t="s">
        <v>50</v>
      </c>
      <c r="E346" s="68">
        <v>460.03</v>
      </c>
      <c r="F346" s="36"/>
      <c r="G346" s="36">
        <f t="shared" si="6"/>
        <v>460.03</v>
      </c>
      <c r="H346" s="37"/>
    </row>
    <row r="347">
      <c r="A347" s="60" t="s">
        <v>878</v>
      </c>
      <c r="B347" s="60" t="s">
        <v>879</v>
      </c>
      <c r="C347" s="34" t="s">
        <v>75</v>
      </c>
      <c r="D347" s="34" t="s">
        <v>50</v>
      </c>
      <c r="E347" s="68">
        <v>482.3</v>
      </c>
      <c r="F347" s="36"/>
      <c r="G347" s="36">
        <f t="shared" si="6"/>
        <v>482.3</v>
      </c>
      <c r="H347" s="37"/>
    </row>
    <row r="348">
      <c r="A348" s="60" t="s">
        <v>880</v>
      </c>
      <c r="B348" s="60" t="s">
        <v>881</v>
      </c>
      <c r="C348" s="34" t="s">
        <v>75</v>
      </c>
      <c r="D348" s="34" t="s">
        <v>50</v>
      </c>
      <c r="E348" s="68">
        <v>546.04</v>
      </c>
      <c r="F348" s="36"/>
      <c r="G348" s="36">
        <f t="shared" si="6"/>
        <v>546.04</v>
      </c>
      <c r="H348" s="37"/>
    </row>
    <row r="349">
      <c r="A349" s="60" t="s">
        <v>884</v>
      </c>
      <c r="B349" s="60" t="s">
        <v>885</v>
      </c>
      <c r="C349" s="34" t="s">
        <v>75</v>
      </c>
      <c r="D349" s="34" t="s">
        <v>50</v>
      </c>
      <c r="E349" s="68">
        <v>192.86</v>
      </c>
      <c r="F349" s="36"/>
      <c r="G349" s="36">
        <f t="shared" si="6"/>
        <v>192.86</v>
      </c>
      <c r="H349" s="37"/>
    </row>
    <row r="350">
      <c r="A350" s="60" t="s">
        <v>886</v>
      </c>
      <c r="B350" s="60" t="s">
        <v>887</v>
      </c>
      <c r="C350" s="34" t="s">
        <v>75</v>
      </c>
      <c r="D350" s="34" t="s">
        <v>50</v>
      </c>
      <c r="E350" s="68">
        <v>300.0</v>
      </c>
      <c r="F350" s="36"/>
      <c r="G350" s="36">
        <f t="shared" si="6"/>
        <v>300</v>
      </c>
      <c r="H350" s="37"/>
    </row>
    <row r="351">
      <c r="A351" s="60" t="s">
        <v>2461</v>
      </c>
      <c r="B351" s="60" t="s">
        <v>2462</v>
      </c>
      <c r="C351" s="34" t="s">
        <v>75</v>
      </c>
      <c r="D351" s="34" t="s">
        <v>50</v>
      </c>
      <c r="E351" s="68">
        <v>250.0</v>
      </c>
      <c r="F351" s="36"/>
      <c r="G351" s="36">
        <f t="shared" si="6"/>
        <v>250</v>
      </c>
      <c r="H351" s="37"/>
    </row>
    <row r="352">
      <c r="A352" s="60" t="s">
        <v>918</v>
      </c>
      <c r="B352" s="60" t="s">
        <v>919</v>
      </c>
      <c r="C352" s="34" t="s">
        <v>75</v>
      </c>
      <c r="D352" s="34" t="s">
        <v>57</v>
      </c>
      <c r="E352" s="68">
        <v>50.99</v>
      </c>
      <c r="F352" s="36"/>
      <c r="G352" s="36">
        <f t="shared" si="6"/>
        <v>50.99</v>
      </c>
      <c r="H352" s="37"/>
    </row>
    <row r="353">
      <c r="A353" s="60" t="s">
        <v>920</v>
      </c>
      <c r="B353" s="60" t="s">
        <v>921</v>
      </c>
      <c r="C353" s="34" t="s">
        <v>75</v>
      </c>
      <c r="D353" s="34" t="s">
        <v>57</v>
      </c>
      <c r="E353" s="68">
        <v>125.97</v>
      </c>
      <c r="F353" s="36"/>
      <c r="G353" s="36">
        <f t="shared" si="6"/>
        <v>125.97</v>
      </c>
      <c r="H353" s="37"/>
    </row>
    <row r="354">
      <c r="A354" s="60" t="s">
        <v>922</v>
      </c>
      <c r="B354" s="60" t="s">
        <v>923</v>
      </c>
      <c r="C354" s="34" t="s">
        <v>75</v>
      </c>
      <c r="D354" s="34" t="s">
        <v>57</v>
      </c>
      <c r="E354" s="68">
        <v>217.97</v>
      </c>
      <c r="F354" s="36"/>
      <c r="G354" s="36">
        <f t="shared" si="6"/>
        <v>217.97</v>
      </c>
      <c r="H354" s="37"/>
    </row>
    <row r="355">
      <c r="A355" s="60" t="s">
        <v>924</v>
      </c>
      <c r="B355" s="60" t="s">
        <v>925</v>
      </c>
      <c r="C355" s="34" t="s">
        <v>75</v>
      </c>
      <c r="D355" s="34" t="s">
        <v>57</v>
      </c>
      <c r="E355" s="68">
        <v>108.98</v>
      </c>
      <c r="F355" s="36"/>
      <c r="G355" s="36">
        <f t="shared" si="6"/>
        <v>108.98</v>
      </c>
      <c r="H355" s="37"/>
    </row>
    <row r="356">
      <c r="A356" s="60" t="s">
        <v>926</v>
      </c>
      <c r="B356" s="60" t="s">
        <v>927</v>
      </c>
      <c r="C356" s="34" t="s">
        <v>75</v>
      </c>
      <c r="D356" s="34" t="s">
        <v>57</v>
      </c>
      <c r="E356" s="68">
        <v>108.98</v>
      </c>
      <c r="F356" s="36"/>
      <c r="G356" s="36">
        <f t="shared" si="6"/>
        <v>108.98</v>
      </c>
      <c r="H356" s="37"/>
    </row>
    <row r="357">
      <c r="A357" s="60" t="s">
        <v>928</v>
      </c>
      <c r="B357" s="60" t="s">
        <v>929</v>
      </c>
      <c r="C357" s="34" t="s">
        <v>75</v>
      </c>
      <c r="D357" s="34" t="s">
        <v>57</v>
      </c>
      <c r="E357" s="68">
        <v>108.98</v>
      </c>
      <c r="F357" s="36"/>
      <c r="G357" s="36">
        <f t="shared" si="6"/>
        <v>108.98</v>
      </c>
      <c r="H357" s="37"/>
    </row>
    <row r="358">
      <c r="A358" s="60" t="s">
        <v>930</v>
      </c>
      <c r="B358" s="60" t="s">
        <v>931</v>
      </c>
      <c r="C358" s="34" t="s">
        <v>75</v>
      </c>
      <c r="D358" s="34" t="s">
        <v>57</v>
      </c>
      <c r="E358" s="68">
        <v>108.98</v>
      </c>
      <c r="F358" s="36"/>
      <c r="G358" s="36">
        <f t="shared" si="6"/>
        <v>108.98</v>
      </c>
      <c r="H358" s="37"/>
    </row>
    <row r="359">
      <c r="A359" s="60" t="s">
        <v>932</v>
      </c>
      <c r="B359" s="60" t="s">
        <v>933</v>
      </c>
      <c r="C359" s="34" t="s">
        <v>75</v>
      </c>
      <c r="D359" s="34" t="s">
        <v>57</v>
      </c>
      <c r="E359" s="68">
        <v>108.98</v>
      </c>
      <c r="F359" s="36"/>
      <c r="G359" s="36">
        <f t="shared" si="6"/>
        <v>108.98</v>
      </c>
      <c r="H359" s="37"/>
    </row>
    <row r="360">
      <c r="A360" s="60" t="s">
        <v>934</v>
      </c>
      <c r="B360" s="60" t="s">
        <v>935</v>
      </c>
      <c r="C360" s="34" t="s">
        <v>75</v>
      </c>
      <c r="D360" s="34" t="s">
        <v>57</v>
      </c>
      <c r="E360" s="68">
        <v>522.0</v>
      </c>
      <c r="F360" s="36"/>
      <c r="G360" s="36">
        <f t="shared" si="6"/>
        <v>522</v>
      </c>
      <c r="H360" s="37"/>
    </row>
    <row r="361">
      <c r="A361" s="60" t="s">
        <v>936</v>
      </c>
      <c r="B361" s="60" t="s">
        <v>937</v>
      </c>
      <c r="C361" s="34" t="s">
        <v>75</v>
      </c>
      <c r="D361" s="34" t="s">
        <v>57</v>
      </c>
      <c r="E361" s="68">
        <v>108.98</v>
      </c>
      <c r="F361" s="36"/>
      <c r="G361" s="36">
        <f t="shared" si="6"/>
        <v>108.98</v>
      </c>
      <c r="H361" s="37"/>
    </row>
    <row r="362">
      <c r="A362" s="60" t="s">
        <v>938</v>
      </c>
      <c r="B362" s="60" t="s">
        <v>939</v>
      </c>
      <c r="C362" s="34" t="s">
        <v>75</v>
      </c>
      <c r="D362" s="34" t="s">
        <v>57</v>
      </c>
      <c r="E362" s="68">
        <v>429.93</v>
      </c>
      <c r="F362" s="36"/>
      <c r="G362" s="36">
        <f t="shared" si="6"/>
        <v>429.93</v>
      </c>
      <c r="H362" s="37"/>
    </row>
    <row r="363">
      <c r="A363" s="60" t="s">
        <v>940</v>
      </c>
      <c r="B363" s="60" t="s">
        <v>941</v>
      </c>
      <c r="C363" s="34" t="s">
        <v>75</v>
      </c>
      <c r="D363" s="34" t="s">
        <v>57</v>
      </c>
      <c r="E363" s="68">
        <v>1529.91</v>
      </c>
      <c r="F363" s="36"/>
      <c r="G363" s="36">
        <f t="shared" si="6"/>
        <v>1529.91</v>
      </c>
      <c r="H363" s="37"/>
    </row>
    <row r="364">
      <c r="A364" s="60" t="s">
        <v>942</v>
      </c>
      <c r="B364" s="60" t="s">
        <v>943</v>
      </c>
      <c r="C364" s="34" t="s">
        <v>75</v>
      </c>
      <c r="D364" s="34" t="s">
        <v>57</v>
      </c>
      <c r="E364" s="68">
        <v>86.96</v>
      </c>
      <c r="F364" s="36"/>
      <c r="G364" s="36">
        <f t="shared" si="6"/>
        <v>86.96</v>
      </c>
      <c r="H364" s="37"/>
    </row>
    <row r="365">
      <c r="A365" s="60" t="s">
        <v>944</v>
      </c>
      <c r="B365" s="60" t="s">
        <v>945</v>
      </c>
      <c r="C365" s="34" t="s">
        <v>75</v>
      </c>
      <c r="D365" s="34" t="s">
        <v>57</v>
      </c>
      <c r="E365" s="68">
        <v>176.97</v>
      </c>
      <c r="F365" s="36"/>
      <c r="G365" s="36">
        <f t="shared" si="6"/>
        <v>176.97</v>
      </c>
      <c r="H365" s="37"/>
    </row>
    <row r="366">
      <c r="A366" s="60" t="s">
        <v>946</v>
      </c>
      <c r="B366" s="60" t="s">
        <v>947</v>
      </c>
      <c r="C366" s="34" t="s">
        <v>75</v>
      </c>
      <c r="D366" s="34" t="s">
        <v>57</v>
      </c>
      <c r="E366" s="68">
        <v>159.97</v>
      </c>
      <c r="F366" s="36"/>
      <c r="G366" s="36">
        <f t="shared" si="6"/>
        <v>159.97</v>
      </c>
      <c r="H366" s="37"/>
    </row>
    <row r="367">
      <c r="A367" s="60" t="s">
        <v>2463</v>
      </c>
      <c r="B367" s="60" t="s">
        <v>2464</v>
      </c>
      <c r="C367" s="34" t="s">
        <v>75</v>
      </c>
      <c r="D367" s="34" t="s">
        <v>57</v>
      </c>
      <c r="E367" s="68">
        <v>108.98</v>
      </c>
      <c r="F367" s="36"/>
      <c r="G367" s="36">
        <f t="shared" si="6"/>
        <v>108.98</v>
      </c>
      <c r="H367" s="37"/>
    </row>
    <row r="368">
      <c r="A368" s="60" t="s">
        <v>948</v>
      </c>
      <c r="B368" s="60" t="s">
        <v>949</v>
      </c>
      <c r="C368" s="34" t="s">
        <v>75</v>
      </c>
      <c r="D368" s="34" t="s">
        <v>57</v>
      </c>
      <c r="E368" s="68">
        <v>159.97</v>
      </c>
      <c r="F368" s="36"/>
      <c r="G368" s="36">
        <f t="shared" si="6"/>
        <v>159.97</v>
      </c>
      <c r="H368" s="37"/>
    </row>
    <row r="369">
      <c r="A369" s="60" t="s">
        <v>950</v>
      </c>
      <c r="B369" s="60" t="s">
        <v>951</v>
      </c>
      <c r="C369" s="34" t="s">
        <v>75</v>
      </c>
      <c r="D369" s="34" t="s">
        <v>57</v>
      </c>
      <c r="E369" s="68">
        <v>142.98</v>
      </c>
      <c r="F369" s="36"/>
      <c r="G369" s="36">
        <f t="shared" si="6"/>
        <v>142.98</v>
      </c>
      <c r="H369" s="37"/>
    </row>
    <row r="370">
      <c r="A370" s="111" t="s">
        <v>952</v>
      </c>
      <c r="B370" s="111" t="s">
        <v>953</v>
      </c>
      <c r="C370" s="34" t="s">
        <v>80</v>
      </c>
      <c r="D370" s="34" t="s">
        <v>46</v>
      </c>
      <c r="E370" s="112">
        <v>562.02</v>
      </c>
      <c r="F370" s="36"/>
      <c r="G370" s="36">
        <f t="shared" si="6"/>
        <v>562.02</v>
      </c>
      <c r="H370" s="37"/>
    </row>
    <row r="371">
      <c r="A371" s="111" t="s">
        <v>954</v>
      </c>
      <c r="B371" s="111" t="s">
        <v>1634</v>
      </c>
      <c r="C371" s="34" t="s">
        <v>80</v>
      </c>
      <c r="D371" s="34" t="s">
        <v>46</v>
      </c>
      <c r="E371" s="112">
        <v>4991.96</v>
      </c>
      <c r="F371" s="36"/>
      <c r="G371" s="36">
        <f t="shared" si="6"/>
        <v>4991.96</v>
      </c>
      <c r="H371" s="37"/>
    </row>
    <row r="372">
      <c r="A372" s="111" t="s">
        <v>956</v>
      </c>
      <c r="B372" s="111" t="s">
        <v>957</v>
      </c>
      <c r="C372" s="34" t="s">
        <v>80</v>
      </c>
      <c r="D372" s="34" t="s">
        <v>46</v>
      </c>
      <c r="E372" s="112">
        <v>1016.01</v>
      </c>
      <c r="F372" s="36"/>
      <c r="G372" s="36">
        <f t="shared" si="6"/>
        <v>1016.01</v>
      </c>
      <c r="H372" s="37"/>
    </row>
    <row r="373">
      <c r="A373" s="111" t="s">
        <v>1453</v>
      </c>
      <c r="B373" s="111" t="s">
        <v>1454</v>
      </c>
      <c r="C373" s="34" t="s">
        <v>80</v>
      </c>
      <c r="D373" s="34" t="s">
        <v>46</v>
      </c>
      <c r="E373" s="112">
        <v>3025.04</v>
      </c>
      <c r="F373" s="36"/>
      <c r="G373" s="36">
        <f t="shared" si="6"/>
        <v>3025.04</v>
      </c>
      <c r="H373" s="37"/>
    </row>
    <row r="374">
      <c r="A374" s="111" t="s">
        <v>962</v>
      </c>
      <c r="B374" s="111" t="s">
        <v>963</v>
      </c>
      <c r="C374" s="34" t="s">
        <v>80</v>
      </c>
      <c r="D374" s="34" t="s">
        <v>46</v>
      </c>
      <c r="E374" s="112">
        <v>5857.0</v>
      </c>
      <c r="F374" s="36"/>
      <c r="G374" s="36">
        <f t="shared" si="6"/>
        <v>5857</v>
      </c>
      <c r="H374" s="37"/>
    </row>
    <row r="375">
      <c r="A375" s="111" t="s">
        <v>964</v>
      </c>
      <c r="B375" s="111" t="s">
        <v>965</v>
      </c>
      <c r="C375" s="34" t="s">
        <v>80</v>
      </c>
      <c r="D375" s="34" t="s">
        <v>46</v>
      </c>
      <c r="E375" s="112">
        <v>83.98</v>
      </c>
      <c r="F375" s="36"/>
      <c r="G375" s="36">
        <f t="shared" si="6"/>
        <v>83.98</v>
      </c>
      <c r="H375" s="37"/>
    </row>
    <row r="376">
      <c r="A376" s="111" t="s">
        <v>1002</v>
      </c>
      <c r="B376" s="111" t="s">
        <v>1003</v>
      </c>
      <c r="C376" s="34" t="s">
        <v>80</v>
      </c>
      <c r="D376" s="34" t="s">
        <v>46</v>
      </c>
      <c r="E376" s="112">
        <v>378.97</v>
      </c>
      <c r="F376" s="36"/>
      <c r="G376" s="36">
        <f t="shared" si="6"/>
        <v>378.97</v>
      </c>
      <c r="H376" s="37"/>
    </row>
    <row r="377">
      <c r="A377" s="111" t="s">
        <v>966</v>
      </c>
      <c r="B377" s="111" t="s">
        <v>967</v>
      </c>
      <c r="C377" s="34" t="s">
        <v>80</v>
      </c>
      <c r="D377" s="34" t="s">
        <v>46</v>
      </c>
      <c r="E377" s="112">
        <v>1436.17</v>
      </c>
      <c r="F377" s="36"/>
      <c r="G377" s="36">
        <f t="shared" si="6"/>
        <v>1436.17</v>
      </c>
      <c r="H377" s="37"/>
    </row>
    <row r="378">
      <c r="A378" s="111" t="s">
        <v>1635</v>
      </c>
      <c r="B378" s="111" t="s">
        <v>1636</v>
      </c>
      <c r="C378" s="34" t="s">
        <v>80</v>
      </c>
      <c r="D378" s="34" t="s">
        <v>46</v>
      </c>
      <c r="E378" s="112">
        <v>899.99</v>
      </c>
      <c r="F378" s="36"/>
      <c r="G378" s="36">
        <f t="shared" si="6"/>
        <v>899.99</v>
      </c>
      <c r="H378" s="37"/>
    </row>
    <row r="379">
      <c r="A379" s="111" t="s">
        <v>710</v>
      </c>
      <c r="B379" s="111" t="s">
        <v>711</v>
      </c>
      <c r="C379" s="34" t="s">
        <v>80</v>
      </c>
      <c r="D379" s="34" t="s">
        <v>46</v>
      </c>
      <c r="E379" s="112">
        <v>1194.91</v>
      </c>
      <c r="F379" s="36"/>
      <c r="G379" s="36">
        <f t="shared" si="6"/>
        <v>1194.91</v>
      </c>
      <c r="H379" s="37"/>
    </row>
    <row r="380">
      <c r="A380" s="111" t="s">
        <v>1792</v>
      </c>
      <c r="B380" s="111" t="s">
        <v>1793</v>
      </c>
      <c r="C380" s="34" t="s">
        <v>80</v>
      </c>
      <c r="D380" s="34" t="s">
        <v>46</v>
      </c>
      <c r="E380" s="112">
        <v>470.0</v>
      </c>
      <c r="F380" s="36"/>
      <c r="G380" s="36">
        <f t="shared" si="6"/>
        <v>470</v>
      </c>
      <c r="H380" s="37"/>
    </row>
    <row r="381">
      <c r="A381" s="111" t="s">
        <v>1006</v>
      </c>
      <c r="B381" s="111" t="s">
        <v>1007</v>
      </c>
      <c r="C381" s="34" t="s">
        <v>80</v>
      </c>
      <c r="D381" s="34" t="s">
        <v>46</v>
      </c>
      <c r="E381" s="112">
        <v>537.02</v>
      </c>
      <c r="F381" s="36"/>
      <c r="G381" s="36">
        <f t="shared" si="6"/>
        <v>537.02</v>
      </c>
      <c r="H381" s="37"/>
    </row>
    <row r="382">
      <c r="A382" s="111" t="s">
        <v>2515</v>
      </c>
      <c r="B382" s="111" t="s">
        <v>2516</v>
      </c>
      <c r="C382" s="34" t="s">
        <v>80</v>
      </c>
      <c r="D382" s="34" t="s">
        <v>46</v>
      </c>
      <c r="E382" s="112">
        <v>763.0</v>
      </c>
      <c r="F382" s="36"/>
      <c r="G382" s="36">
        <f t="shared" si="6"/>
        <v>763</v>
      </c>
      <c r="H382" s="37"/>
    </row>
    <row r="383">
      <c r="A383" s="37"/>
      <c r="B383" s="37"/>
      <c r="C383" s="34"/>
      <c r="D383" s="37"/>
      <c r="E383" s="36"/>
      <c r="F383" s="36"/>
      <c r="G383" s="36" t="str">
        <f t="shared" si="6"/>
        <v/>
      </c>
      <c r="H383" s="37"/>
    </row>
    <row r="384">
      <c r="A384" s="37"/>
      <c r="B384" s="37"/>
      <c r="C384" s="37"/>
      <c r="D384" s="37"/>
      <c r="E384" s="36"/>
      <c r="F384" s="36"/>
      <c r="G384" s="36" t="str">
        <f t="shared" si="6"/>
        <v/>
      </c>
      <c r="H384" s="37"/>
    </row>
    <row r="385">
      <c r="A385" s="37"/>
      <c r="B385" s="37"/>
      <c r="C385" s="37"/>
      <c r="D385" s="37"/>
      <c r="E385" s="36"/>
      <c r="F385" s="36"/>
      <c r="G385" s="36" t="str">
        <f t="shared" si="6"/>
        <v/>
      </c>
      <c r="H385" s="37"/>
    </row>
    <row r="386">
      <c r="A386" s="37"/>
      <c r="B386" s="37"/>
      <c r="C386" s="37"/>
      <c r="D386" s="37"/>
      <c r="E386" s="36"/>
      <c r="F386" s="36"/>
      <c r="G386" s="36" t="str">
        <f t="shared" si="6"/>
        <v/>
      </c>
      <c r="H386" s="37"/>
    </row>
    <row r="387">
      <c r="A387" s="37"/>
      <c r="B387" s="37"/>
      <c r="C387" s="37"/>
      <c r="D387" s="37"/>
      <c r="E387" s="36"/>
      <c r="F387" s="36"/>
      <c r="G387" s="36" t="str">
        <f t="shared" si="6"/>
        <v/>
      </c>
      <c r="H387" s="37"/>
    </row>
    <row r="388">
      <c r="A388" s="37"/>
      <c r="B388" s="37"/>
      <c r="C388" s="37"/>
      <c r="D388" s="37"/>
      <c r="E388" s="36"/>
      <c r="F388" s="36"/>
      <c r="G388" s="36" t="str">
        <f t="shared" si="6"/>
        <v/>
      </c>
      <c r="H388" s="37"/>
    </row>
    <row r="389">
      <c r="A389" s="37"/>
      <c r="B389" s="37"/>
      <c r="C389" s="37"/>
      <c r="D389" s="37"/>
      <c r="E389" s="36"/>
      <c r="F389" s="36"/>
      <c r="G389" s="36" t="str">
        <f t="shared" si="6"/>
        <v/>
      </c>
      <c r="H389" s="37"/>
    </row>
    <row r="390">
      <c r="A390" s="37"/>
      <c r="B390" s="37"/>
      <c r="C390" s="37"/>
      <c r="D390" s="37"/>
      <c r="E390" s="36"/>
      <c r="F390" s="36"/>
      <c r="G390" s="36" t="str">
        <f t="shared" si="6"/>
        <v/>
      </c>
      <c r="H390" s="37"/>
    </row>
    <row r="391">
      <c r="A391" s="37"/>
      <c r="B391" s="37"/>
      <c r="C391" s="37"/>
      <c r="D391" s="37"/>
      <c r="E391" s="36"/>
      <c r="F391" s="36"/>
      <c r="G391" s="36" t="str">
        <f t="shared" si="6"/>
        <v/>
      </c>
      <c r="H391" s="37"/>
    </row>
    <row r="392">
      <c r="A392" s="37"/>
      <c r="B392" s="37"/>
      <c r="C392" s="37"/>
      <c r="D392" s="37"/>
      <c r="E392" s="36"/>
      <c r="F392" s="36"/>
      <c r="G392" s="36" t="str">
        <f t="shared" si="6"/>
        <v/>
      </c>
      <c r="H392" s="37"/>
    </row>
    <row r="393">
      <c r="A393" s="37"/>
      <c r="B393" s="37"/>
      <c r="C393" s="37"/>
      <c r="D393" s="37"/>
      <c r="E393" s="36"/>
      <c r="F393" s="36"/>
      <c r="G393" s="36" t="str">
        <f t="shared" si="6"/>
        <v/>
      </c>
      <c r="H393" s="37"/>
    </row>
    <row r="394">
      <c r="A394" s="37"/>
      <c r="B394" s="37"/>
      <c r="C394" s="37"/>
      <c r="D394" s="37"/>
      <c r="E394" s="36"/>
      <c r="F394" s="36"/>
      <c r="G394" s="36" t="str">
        <f t="shared" si="6"/>
        <v/>
      </c>
      <c r="H394" s="37"/>
    </row>
    <row r="395">
      <c r="A395" s="37"/>
      <c r="B395" s="37"/>
      <c r="C395" s="37"/>
      <c r="D395" s="37"/>
      <c r="E395" s="36"/>
      <c r="F395" s="36"/>
      <c r="G395" s="36" t="str">
        <f t="shared" si="6"/>
        <v/>
      </c>
      <c r="H395" s="37"/>
    </row>
    <row r="396">
      <c r="A396" s="37"/>
      <c r="B396" s="37"/>
      <c r="C396" s="37"/>
      <c r="D396" s="37"/>
      <c r="E396" s="36"/>
      <c r="F396" s="36"/>
      <c r="G396" s="36" t="str">
        <f t="shared" si="6"/>
        <v/>
      </c>
      <c r="H396" s="37"/>
    </row>
    <row r="397">
      <c r="A397" s="37"/>
      <c r="B397" s="37"/>
      <c r="C397" s="37"/>
      <c r="D397" s="37"/>
      <c r="E397" s="36"/>
      <c r="F397" s="36"/>
      <c r="G397" s="36" t="str">
        <f t="shared" si="6"/>
        <v/>
      </c>
      <c r="H397" s="37"/>
    </row>
    <row r="398">
      <c r="A398" s="37"/>
      <c r="B398" s="37"/>
      <c r="C398" s="37"/>
      <c r="D398" s="37"/>
      <c r="E398" s="36"/>
      <c r="F398" s="36"/>
      <c r="G398" s="36" t="str">
        <f t="shared" si="6"/>
        <v/>
      </c>
      <c r="H398" s="37"/>
    </row>
    <row r="399">
      <c r="A399" s="37"/>
      <c r="B399" s="37"/>
      <c r="C399" s="37"/>
      <c r="D399" s="37"/>
      <c r="E399" s="36"/>
      <c r="F399" s="36"/>
      <c r="G399" s="36" t="str">
        <f t="shared" si="6"/>
        <v/>
      </c>
      <c r="H399" s="37"/>
    </row>
    <row r="400">
      <c r="A400" s="37"/>
      <c r="B400" s="37"/>
      <c r="C400" s="37"/>
      <c r="D400" s="37"/>
      <c r="E400" s="36"/>
      <c r="F400" s="36"/>
      <c r="G400" s="36" t="str">
        <f t="shared" si="6"/>
        <v/>
      </c>
      <c r="H400" s="37"/>
    </row>
    <row r="401">
      <c r="A401" s="37"/>
      <c r="B401" s="37"/>
      <c r="C401" s="37"/>
      <c r="D401" s="37"/>
      <c r="E401" s="36"/>
      <c r="F401" s="36"/>
      <c r="G401" s="36" t="str">
        <f t="shared" si="6"/>
        <v/>
      </c>
      <c r="H401" s="37"/>
    </row>
    <row r="402">
      <c r="A402" s="37"/>
      <c r="B402" s="37"/>
      <c r="C402" s="37"/>
      <c r="D402" s="37"/>
      <c r="E402" s="36"/>
      <c r="F402" s="36"/>
      <c r="G402" s="36" t="str">
        <f t="shared" si="6"/>
        <v/>
      </c>
      <c r="H402" s="37"/>
    </row>
    <row r="403">
      <c r="A403" s="37"/>
      <c r="B403" s="37"/>
      <c r="C403" s="37"/>
      <c r="D403" s="37"/>
      <c r="E403" s="36"/>
      <c r="F403" s="36"/>
      <c r="G403" s="36" t="str">
        <f t="shared" si="6"/>
        <v/>
      </c>
      <c r="H403" s="37"/>
    </row>
    <row r="404">
      <c r="A404" s="37"/>
      <c r="B404" s="37"/>
      <c r="C404" s="37"/>
      <c r="D404" s="37"/>
      <c r="E404" s="36"/>
      <c r="F404" s="36"/>
      <c r="G404" s="36" t="str">
        <f t="shared" si="6"/>
        <v/>
      </c>
      <c r="H404" s="37"/>
    </row>
    <row r="405">
      <c r="A405" s="37"/>
      <c r="B405" s="37"/>
      <c r="C405" s="37"/>
      <c r="D405" s="37"/>
      <c r="E405" s="36"/>
      <c r="F405" s="36"/>
      <c r="G405" s="36" t="str">
        <f t="shared" si="6"/>
        <v/>
      </c>
      <c r="H405" s="37"/>
    </row>
    <row r="406">
      <c r="A406" s="37"/>
      <c r="B406" s="37"/>
      <c r="C406" s="37"/>
      <c r="D406" s="37"/>
      <c r="E406" s="36"/>
      <c r="F406" s="36"/>
      <c r="G406" s="36" t="str">
        <f t="shared" si="6"/>
        <v/>
      </c>
      <c r="H406" s="37"/>
    </row>
    <row r="407">
      <c r="A407" s="37"/>
      <c r="B407" s="37"/>
      <c r="C407" s="37"/>
      <c r="D407" s="37"/>
      <c r="E407" s="36"/>
      <c r="F407" s="36"/>
      <c r="G407" s="36" t="str">
        <f t="shared" si="6"/>
        <v/>
      </c>
      <c r="H407" s="37"/>
    </row>
    <row r="408">
      <c r="A408" s="37"/>
      <c r="B408" s="37"/>
      <c r="C408" s="37"/>
      <c r="D408" s="37"/>
      <c r="E408" s="36"/>
      <c r="F408" s="36"/>
      <c r="G408" s="36" t="str">
        <f t="shared" si="6"/>
        <v/>
      </c>
      <c r="H408" s="37"/>
    </row>
    <row r="409">
      <c r="A409" s="37"/>
      <c r="B409" s="37"/>
      <c r="C409" s="37"/>
      <c r="D409" s="37"/>
      <c r="E409" s="36"/>
      <c r="F409" s="36"/>
      <c r="G409" s="36" t="str">
        <f t="shared" si="6"/>
        <v/>
      </c>
      <c r="H409" s="37"/>
    </row>
    <row r="410">
      <c r="A410" s="37"/>
      <c r="B410" s="37"/>
      <c r="C410" s="37"/>
      <c r="D410" s="37"/>
      <c r="E410" s="36"/>
      <c r="F410" s="36"/>
      <c r="G410" s="36" t="str">
        <f t="shared" si="6"/>
        <v/>
      </c>
      <c r="H410" s="37"/>
    </row>
    <row r="411">
      <c r="A411" s="37"/>
      <c r="B411" s="37"/>
      <c r="C411" s="37"/>
      <c r="D411" s="37"/>
      <c r="E411" s="36"/>
      <c r="F411" s="36"/>
      <c r="G411" s="36" t="str">
        <f t="shared" si="6"/>
        <v/>
      </c>
      <c r="H411" s="37"/>
    </row>
    <row r="412">
      <c r="A412" s="37"/>
      <c r="B412" s="37"/>
      <c r="C412" s="37"/>
      <c r="D412" s="37"/>
      <c r="E412" s="36"/>
      <c r="F412" s="36"/>
      <c r="G412" s="36" t="str">
        <f t="shared" si="6"/>
        <v/>
      </c>
      <c r="H412" s="37"/>
    </row>
    <row r="413">
      <c r="A413" s="37"/>
      <c r="B413" s="37"/>
      <c r="C413" s="37"/>
      <c r="D413" s="37"/>
      <c r="E413" s="36"/>
      <c r="F413" s="36"/>
      <c r="G413" s="36" t="str">
        <f t="shared" si="6"/>
        <v/>
      </c>
      <c r="H413" s="37"/>
    </row>
    <row r="414">
      <c r="A414" s="37"/>
      <c r="B414" s="37"/>
      <c r="C414" s="37"/>
      <c r="D414" s="37"/>
      <c r="E414" s="36"/>
      <c r="F414" s="36"/>
      <c r="G414" s="36" t="str">
        <f t="shared" si="6"/>
        <v/>
      </c>
      <c r="H414" s="37"/>
    </row>
    <row r="415">
      <c r="A415" s="37"/>
      <c r="B415" s="37"/>
      <c r="C415" s="37"/>
      <c r="D415" s="37"/>
      <c r="E415" s="36"/>
      <c r="F415" s="36"/>
      <c r="G415" s="36" t="str">
        <f t="shared" si="6"/>
        <v/>
      </c>
      <c r="H415" s="37"/>
    </row>
    <row r="416">
      <c r="A416" s="37"/>
      <c r="B416" s="37"/>
      <c r="C416" s="37"/>
      <c r="D416" s="37"/>
      <c r="E416" s="36"/>
      <c r="F416" s="36"/>
      <c r="G416" s="36" t="str">
        <f t="shared" si="6"/>
        <v/>
      </c>
      <c r="H416" s="37"/>
    </row>
    <row r="417">
      <c r="A417" s="37"/>
      <c r="B417" s="37"/>
      <c r="C417" s="37"/>
      <c r="D417" s="37"/>
      <c r="E417" s="36"/>
      <c r="F417" s="36"/>
      <c r="G417" s="36" t="str">
        <f t="shared" si="6"/>
        <v/>
      </c>
      <c r="H417" s="37"/>
    </row>
    <row r="418">
      <c r="A418" s="37"/>
      <c r="B418" s="37"/>
      <c r="C418" s="37"/>
      <c r="D418" s="37"/>
      <c r="E418" s="36"/>
      <c r="F418" s="36"/>
      <c r="G418" s="36" t="str">
        <f t="shared" si="6"/>
        <v/>
      </c>
      <c r="H418" s="37"/>
    </row>
    <row r="419">
      <c r="A419" s="37"/>
      <c r="B419" s="37"/>
      <c r="C419" s="37"/>
      <c r="D419" s="37"/>
      <c r="E419" s="36"/>
      <c r="F419" s="36"/>
      <c r="G419" s="36" t="str">
        <f t="shared" si="6"/>
        <v/>
      </c>
      <c r="H419" s="37"/>
    </row>
    <row r="420">
      <c r="A420" s="37"/>
      <c r="B420" s="37"/>
      <c r="C420" s="37"/>
      <c r="D420" s="37"/>
      <c r="E420" s="36"/>
      <c r="F420" s="36"/>
      <c r="G420" s="36" t="str">
        <f t="shared" si="6"/>
        <v/>
      </c>
      <c r="H420" s="37"/>
    </row>
    <row r="421">
      <c r="A421" s="37"/>
      <c r="B421" s="37"/>
      <c r="C421" s="37"/>
      <c r="D421" s="37"/>
      <c r="E421" s="36"/>
      <c r="F421" s="36"/>
      <c r="G421" s="36" t="str">
        <f t="shared" si="6"/>
        <v/>
      </c>
      <c r="H421" s="37"/>
    </row>
    <row r="422">
      <c r="A422" s="37"/>
      <c r="B422" s="37"/>
      <c r="C422" s="37"/>
      <c r="D422" s="37"/>
      <c r="E422" s="36"/>
      <c r="F422" s="36"/>
      <c r="G422" s="36" t="str">
        <f t="shared" si="6"/>
        <v/>
      </c>
      <c r="H422" s="37"/>
    </row>
    <row r="423">
      <c r="A423" s="37"/>
      <c r="B423" s="37"/>
      <c r="C423" s="37"/>
      <c r="D423" s="37"/>
      <c r="E423" s="36"/>
      <c r="F423" s="36"/>
      <c r="G423" s="36" t="str">
        <f t="shared" si="6"/>
        <v/>
      </c>
      <c r="H423" s="37"/>
    </row>
    <row r="424">
      <c r="A424" s="37"/>
      <c r="B424" s="37"/>
      <c r="C424" s="37"/>
      <c r="D424" s="37"/>
      <c r="E424" s="36"/>
      <c r="F424" s="36"/>
      <c r="G424" s="36" t="str">
        <f t="shared" si="6"/>
        <v/>
      </c>
      <c r="H424" s="37"/>
    </row>
    <row r="425">
      <c r="A425" s="37"/>
      <c r="B425" s="37"/>
      <c r="C425" s="37"/>
      <c r="D425" s="37"/>
      <c r="E425" s="36"/>
      <c r="F425" s="36"/>
      <c r="G425" s="36" t="str">
        <f t="shared" si="6"/>
        <v/>
      </c>
      <c r="H425" s="37"/>
    </row>
    <row r="426">
      <c r="A426" s="37"/>
      <c r="B426" s="37"/>
      <c r="C426" s="37"/>
      <c r="D426" s="37"/>
      <c r="E426" s="36"/>
      <c r="F426" s="36"/>
      <c r="G426" s="36" t="str">
        <f t="shared" si="6"/>
        <v/>
      </c>
      <c r="H426" s="37"/>
    </row>
    <row r="427">
      <c r="A427" s="37"/>
      <c r="B427" s="37"/>
      <c r="C427" s="37"/>
      <c r="D427" s="37"/>
      <c r="E427" s="36"/>
      <c r="F427" s="36"/>
      <c r="G427" s="36" t="str">
        <f t="shared" si="6"/>
        <v/>
      </c>
      <c r="H427" s="37"/>
    </row>
    <row r="428">
      <c r="A428" s="37"/>
      <c r="B428" s="37"/>
      <c r="C428" s="37"/>
      <c r="D428" s="37"/>
      <c r="E428" s="36"/>
      <c r="F428" s="36"/>
      <c r="G428" s="36" t="str">
        <f t="shared" si="6"/>
        <v/>
      </c>
      <c r="H428" s="37"/>
    </row>
    <row r="429">
      <c r="A429" s="37"/>
      <c r="B429" s="37"/>
      <c r="C429" s="37"/>
      <c r="D429" s="37"/>
      <c r="E429" s="36"/>
      <c r="F429" s="36"/>
      <c r="G429" s="36" t="str">
        <f t="shared" si="6"/>
        <v/>
      </c>
      <c r="H429" s="37"/>
    </row>
    <row r="430">
      <c r="A430" s="37"/>
      <c r="B430" s="37"/>
      <c r="C430" s="37"/>
      <c r="D430" s="37"/>
      <c r="E430" s="36"/>
      <c r="F430" s="36"/>
      <c r="G430" s="36" t="str">
        <f t="shared" si="6"/>
        <v/>
      </c>
      <c r="H430" s="37"/>
    </row>
    <row r="431">
      <c r="A431" s="37"/>
      <c r="B431" s="37"/>
      <c r="C431" s="37"/>
      <c r="D431" s="37"/>
      <c r="E431" s="36"/>
      <c r="F431" s="36"/>
      <c r="G431" s="36" t="str">
        <f t="shared" si="6"/>
        <v/>
      </c>
      <c r="H431" s="37"/>
    </row>
    <row r="432">
      <c r="A432" s="37"/>
      <c r="B432" s="37"/>
      <c r="C432" s="37"/>
      <c r="D432" s="37"/>
      <c r="E432" s="36"/>
      <c r="F432" s="36"/>
      <c r="G432" s="36" t="str">
        <f t="shared" si="6"/>
        <v/>
      </c>
      <c r="H432" s="37"/>
    </row>
    <row r="433">
      <c r="A433" s="37"/>
      <c r="B433" s="37"/>
      <c r="C433" s="37"/>
      <c r="D433" s="37"/>
      <c r="E433" s="36"/>
      <c r="F433" s="36"/>
      <c r="G433" s="36" t="str">
        <f t="shared" si="6"/>
        <v/>
      </c>
      <c r="H433" s="37"/>
    </row>
    <row r="434">
      <c r="A434" s="37"/>
      <c r="B434" s="37"/>
      <c r="C434" s="37"/>
      <c r="D434" s="37"/>
      <c r="E434" s="36"/>
      <c r="F434" s="36"/>
      <c r="G434" s="36" t="str">
        <f t="shared" si="6"/>
        <v/>
      </c>
      <c r="H434" s="37"/>
    </row>
    <row r="435">
      <c r="A435" s="37"/>
      <c r="B435" s="37"/>
      <c r="C435" s="37"/>
      <c r="D435" s="37"/>
      <c r="E435" s="36"/>
      <c r="F435" s="36"/>
      <c r="G435" s="36" t="str">
        <f t="shared" si="6"/>
        <v/>
      </c>
      <c r="H435" s="37"/>
    </row>
    <row r="436">
      <c r="A436" s="37"/>
      <c r="B436" s="37"/>
      <c r="C436" s="37"/>
      <c r="D436" s="37"/>
      <c r="E436" s="36"/>
      <c r="F436" s="36"/>
      <c r="G436" s="36" t="str">
        <f t="shared" si="6"/>
        <v/>
      </c>
      <c r="H436" s="37"/>
    </row>
    <row r="437">
      <c r="A437" s="37"/>
      <c r="B437" s="37"/>
      <c r="C437" s="37"/>
      <c r="D437" s="37"/>
      <c r="E437" s="36"/>
      <c r="F437" s="36"/>
      <c r="G437" s="36" t="str">
        <f t="shared" si="6"/>
        <v/>
      </c>
      <c r="H437" s="37"/>
    </row>
    <row r="438">
      <c r="A438" s="37"/>
      <c r="B438" s="37"/>
      <c r="C438" s="37"/>
      <c r="D438" s="37"/>
      <c r="E438" s="36"/>
      <c r="F438" s="36"/>
      <c r="G438" s="36" t="str">
        <f t="shared" si="6"/>
        <v/>
      </c>
      <c r="H438" s="37"/>
    </row>
    <row r="439">
      <c r="A439" s="37"/>
      <c r="B439" s="37"/>
      <c r="C439" s="37"/>
      <c r="D439" s="37"/>
      <c r="E439" s="36"/>
      <c r="F439" s="36"/>
      <c r="G439" s="36" t="str">
        <f t="shared" si="6"/>
        <v/>
      </c>
      <c r="H439" s="37"/>
    </row>
    <row r="440">
      <c r="A440" s="37"/>
      <c r="B440" s="37"/>
      <c r="C440" s="37"/>
      <c r="D440" s="37"/>
      <c r="E440" s="36"/>
      <c r="F440" s="36"/>
      <c r="G440" s="36" t="str">
        <f t="shared" si="6"/>
        <v/>
      </c>
      <c r="H440" s="37"/>
    </row>
    <row r="441">
      <c r="A441" s="37"/>
      <c r="B441" s="37"/>
      <c r="C441" s="37"/>
      <c r="D441" s="37"/>
      <c r="E441" s="36"/>
      <c r="F441" s="36"/>
      <c r="G441" s="36" t="str">
        <f t="shared" si="6"/>
        <v/>
      </c>
      <c r="H441" s="37"/>
    </row>
    <row r="442">
      <c r="A442" s="37"/>
      <c r="B442" s="37"/>
      <c r="C442" s="37"/>
      <c r="D442" s="37"/>
      <c r="E442" s="36"/>
      <c r="F442" s="36"/>
      <c r="G442" s="36" t="str">
        <f t="shared" si="6"/>
        <v/>
      </c>
      <c r="H442" s="37"/>
    </row>
    <row r="443">
      <c r="A443" s="37"/>
      <c r="B443" s="37"/>
      <c r="C443" s="37"/>
      <c r="D443" s="37"/>
      <c r="E443" s="36"/>
      <c r="F443" s="36"/>
      <c r="G443" s="36" t="str">
        <f t="shared" si="6"/>
        <v/>
      </c>
      <c r="H443" s="37"/>
    </row>
    <row r="444">
      <c r="A444" s="37"/>
      <c r="B444" s="37"/>
      <c r="C444" s="37"/>
      <c r="D444" s="37"/>
      <c r="E444" s="36"/>
      <c r="F444" s="36"/>
      <c r="G444" s="36" t="str">
        <f t="shared" si="6"/>
        <v/>
      </c>
      <c r="H444" s="37"/>
    </row>
    <row r="445">
      <c r="A445" s="37"/>
      <c r="B445" s="37"/>
      <c r="C445" s="37"/>
      <c r="D445" s="37"/>
      <c r="E445" s="36"/>
      <c r="F445" s="36"/>
      <c r="G445" s="36" t="str">
        <f t="shared" si="6"/>
        <v/>
      </c>
      <c r="H445" s="37"/>
    </row>
    <row r="446">
      <c r="A446" s="37"/>
      <c r="B446" s="37"/>
      <c r="C446" s="37"/>
      <c r="D446" s="37"/>
      <c r="E446" s="36"/>
      <c r="F446" s="36"/>
      <c r="G446" s="36" t="str">
        <f t="shared" si="6"/>
        <v/>
      </c>
      <c r="H446" s="37"/>
    </row>
    <row r="447">
      <c r="A447" s="37"/>
      <c r="B447" s="37"/>
      <c r="C447" s="37"/>
      <c r="D447" s="37"/>
      <c r="E447" s="36"/>
      <c r="F447" s="36"/>
      <c r="G447" s="36" t="str">
        <f t="shared" si="6"/>
        <v/>
      </c>
      <c r="H447" s="37"/>
    </row>
    <row r="448">
      <c r="A448" s="37"/>
      <c r="B448" s="37"/>
      <c r="C448" s="37"/>
      <c r="D448" s="37"/>
      <c r="E448" s="36"/>
      <c r="F448" s="36"/>
      <c r="G448" s="36" t="str">
        <f t="shared" si="6"/>
        <v/>
      </c>
      <c r="H448" s="37"/>
    </row>
    <row r="449">
      <c r="A449" s="37"/>
      <c r="B449" s="37"/>
      <c r="C449" s="37"/>
      <c r="D449" s="37"/>
      <c r="E449" s="36"/>
      <c r="F449" s="36"/>
      <c r="G449" s="36" t="str">
        <f t="shared" si="6"/>
        <v/>
      </c>
      <c r="H449" s="37"/>
    </row>
    <row r="450">
      <c r="A450" s="37"/>
      <c r="B450" s="37"/>
      <c r="C450" s="37"/>
      <c r="D450" s="37"/>
      <c r="E450" s="36"/>
      <c r="F450" s="36"/>
      <c r="G450" s="36" t="str">
        <f t="shared" si="6"/>
        <v/>
      </c>
      <c r="H450" s="37"/>
    </row>
    <row r="451">
      <c r="A451" s="37"/>
      <c r="B451" s="37"/>
      <c r="C451" s="37"/>
      <c r="D451" s="37"/>
      <c r="E451" s="36"/>
      <c r="F451" s="36"/>
      <c r="G451" s="36" t="str">
        <f t="shared" si="6"/>
        <v/>
      </c>
      <c r="H451" s="37"/>
    </row>
    <row r="452">
      <c r="A452" s="37"/>
      <c r="B452" s="37"/>
      <c r="C452" s="37"/>
      <c r="D452" s="37"/>
      <c r="E452" s="36"/>
      <c r="F452" s="36"/>
      <c r="G452" s="36" t="str">
        <f t="shared" si="6"/>
        <v/>
      </c>
      <c r="H452" s="37"/>
    </row>
    <row r="453">
      <c r="A453" s="37"/>
      <c r="B453" s="37"/>
      <c r="C453" s="37"/>
      <c r="D453" s="37"/>
      <c r="E453" s="36"/>
      <c r="F453" s="36"/>
      <c r="G453" s="36" t="str">
        <f t="shared" si="6"/>
        <v/>
      </c>
      <c r="H453" s="37"/>
    </row>
    <row r="454">
      <c r="A454" s="37"/>
      <c r="B454" s="37"/>
      <c r="C454" s="37"/>
      <c r="D454" s="37"/>
      <c r="E454" s="36"/>
      <c r="F454" s="36"/>
      <c r="G454" s="36" t="str">
        <f t="shared" si="6"/>
        <v/>
      </c>
      <c r="H454" s="37"/>
    </row>
    <row r="455">
      <c r="A455" s="37"/>
      <c r="B455" s="37"/>
      <c r="C455" s="37"/>
      <c r="D455" s="37"/>
      <c r="E455" s="36"/>
      <c r="F455" s="36"/>
      <c r="G455" s="36" t="str">
        <f t="shared" si="6"/>
        <v/>
      </c>
      <c r="H455" s="37"/>
    </row>
    <row r="456">
      <c r="A456" s="37"/>
      <c r="B456" s="37"/>
      <c r="C456" s="37"/>
      <c r="D456" s="37"/>
      <c r="E456" s="36"/>
      <c r="F456" s="36"/>
      <c r="G456" s="36" t="str">
        <f t="shared" si="6"/>
        <v/>
      </c>
      <c r="H456" s="37"/>
    </row>
    <row r="457">
      <c r="A457" s="37"/>
      <c r="B457" s="37"/>
      <c r="C457" s="37"/>
      <c r="D457" s="37"/>
      <c r="E457" s="36"/>
      <c r="F457" s="36"/>
      <c r="G457" s="36" t="str">
        <f t="shared" si="6"/>
        <v/>
      </c>
      <c r="H457" s="37"/>
    </row>
    <row r="458">
      <c r="A458" s="37"/>
      <c r="B458" s="37"/>
      <c r="C458" s="37"/>
      <c r="D458" s="37"/>
      <c r="E458" s="36"/>
      <c r="F458" s="36"/>
      <c r="G458" s="36" t="str">
        <f t="shared" si="6"/>
        <v/>
      </c>
      <c r="H458" s="37"/>
    </row>
    <row r="459">
      <c r="A459" s="37"/>
      <c r="B459" s="37"/>
      <c r="C459" s="37"/>
      <c r="D459" s="37"/>
      <c r="E459" s="36"/>
      <c r="F459" s="36"/>
      <c r="G459" s="36" t="str">
        <f t="shared" si="6"/>
        <v/>
      </c>
      <c r="H459" s="37"/>
    </row>
    <row r="460">
      <c r="A460" s="37"/>
      <c r="B460" s="37"/>
      <c r="C460" s="37"/>
      <c r="D460" s="37"/>
      <c r="E460" s="36"/>
      <c r="F460" s="36"/>
      <c r="G460" s="36" t="str">
        <f t="shared" si="6"/>
        <v/>
      </c>
      <c r="H460" s="37"/>
    </row>
    <row r="461">
      <c r="A461" s="37"/>
      <c r="B461" s="37"/>
      <c r="C461" s="37"/>
      <c r="D461" s="37"/>
      <c r="E461" s="36"/>
      <c r="F461" s="36"/>
      <c r="G461" s="36" t="str">
        <f t="shared" si="6"/>
        <v/>
      </c>
      <c r="H461" s="37"/>
    </row>
    <row r="462">
      <c r="A462" s="37"/>
      <c r="B462" s="37"/>
      <c r="C462" s="37"/>
      <c r="D462" s="37"/>
      <c r="E462" s="36"/>
      <c r="F462" s="36"/>
      <c r="G462" s="36" t="str">
        <f t="shared" si="6"/>
        <v/>
      </c>
      <c r="H462" s="37"/>
    </row>
    <row r="463">
      <c r="A463" s="37"/>
      <c r="B463" s="37"/>
      <c r="C463" s="37"/>
      <c r="D463" s="37"/>
      <c r="E463" s="36"/>
      <c r="F463" s="36"/>
      <c r="G463" s="36" t="str">
        <f t="shared" si="6"/>
        <v/>
      </c>
      <c r="H463" s="37"/>
    </row>
    <row r="464">
      <c r="A464" s="37"/>
      <c r="B464" s="37"/>
      <c r="C464" s="37"/>
      <c r="D464" s="37"/>
      <c r="E464" s="36"/>
      <c r="F464" s="36"/>
      <c r="G464" s="36" t="str">
        <f t="shared" si="6"/>
        <v/>
      </c>
      <c r="H464" s="37"/>
    </row>
    <row r="465">
      <c r="A465" s="37"/>
      <c r="B465" s="37"/>
      <c r="C465" s="37"/>
      <c r="D465" s="37"/>
      <c r="E465" s="36"/>
      <c r="F465" s="36"/>
      <c r="G465" s="36" t="str">
        <f t="shared" si="6"/>
        <v/>
      </c>
      <c r="H465" s="37"/>
    </row>
    <row r="466">
      <c r="A466" s="37"/>
      <c r="B466" s="37"/>
      <c r="C466" s="37"/>
      <c r="D466" s="37"/>
      <c r="E466" s="36"/>
      <c r="F466" s="36"/>
      <c r="G466" s="36" t="str">
        <f t="shared" si="6"/>
        <v/>
      </c>
      <c r="H466" s="37"/>
    </row>
    <row r="467">
      <c r="A467" s="37"/>
      <c r="B467" s="37"/>
      <c r="C467" s="37"/>
      <c r="D467" s="37"/>
      <c r="E467" s="36"/>
      <c r="F467" s="36"/>
      <c r="G467" s="36" t="str">
        <f t="shared" si="6"/>
        <v/>
      </c>
      <c r="H467" s="37"/>
    </row>
    <row r="468">
      <c r="A468" s="37"/>
      <c r="B468" s="37"/>
      <c r="C468" s="37"/>
      <c r="D468" s="37"/>
      <c r="E468" s="36"/>
      <c r="F468" s="36"/>
      <c r="G468" s="36" t="str">
        <f t="shared" si="6"/>
        <v/>
      </c>
      <c r="H468" s="37"/>
    </row>
    <row r="469">
      <c r="A469" s="37"/>
      <c r="B469" s="37"/>
      <c r="C469" s="37"/>
      <c r="D469" s="37"/>
      <c r="E469" s="36"/>
      <c r="F469" s="36"/>
      <c r="G469" s="36" t="str">
        <f t="shared" si="6"/>
        <v/>
      </c>
      <c r="H469" s="37"/>
    </row>
    <row r="470">
      <c r="A470" s="37"/>
      <c r="B470" s="37"/>
      <c r="C470" s="37"/>
      <c r="D470" s="37"/>
      <c r="E470" s="36"/>
      <c r="F470" s="36"/>
      <c r="G470" s="36" t="str">
        <f t="shared" si="6"/>
        <v/>
      </c>
      <c r="H470" s="37"/>
    </row>
    <row r="471">
      <c r="A471" s="37"/>
      <c r="B471" s="37"/>
      <c r="C471" s="37"/>
      <c r="D471" s="37"/>
      <c r="E471" s="36"/>
      <c r="F471" s="36"/>
      <c r="G471" s="36" t="str">
        <f t="shared" si="6"/>
        <v/>
      </c>
      <c r="H471" s="37"/>
    </row>
    <row r="472">
      <c r="A472" s="37"/>
      <c r="B472" s="37"/>
      <c r="C472" s="37"/>
      <c r="D472" s="37"/>
      <c r="E472" s="36"/>
      <c r="F472" s="36"/>
      <c r="G472" s="36" t="str">
        <f t="shared" si="6"/>
        <v/>
      </c>
      <c r="H472" s="37"/>
    </row>
    <row r="473">
      <c r="A473" s="37"/>
      <c r="B473" s="37"/>
      <c r="C473" s="37"/>
      <c r="D473" s="37"/>
      <c r="E473" s="36"/>
      <c r="F473" s="36"/>
      <c r="G473" s="36" t="str">
        <f t="shared" si="6"/>
        <v/>
      </c>
      <c r="H473" s="37"/>
    </row>
    <row r="474">
      <c r="A474" s="37"/>
      <c r="B474" s="37"/>
      <c r="C474" s="37"/>
      <c r="D474" s="37"/>
      <c r="E474" s="36"/>
      <c r="F474" s="36"/>
      <c r="G474" s="36" t="str">
        <f t="shared" si="6"/>
        <v/>
      </c>
      <c r="H474" s="37"/>
    </row>
    <row r="475">
      <c r="A475" s="37"/>
      <c r="B475" s="37"/>
      <c r="C475" s="37"/>
      <c r="D475" s="37"/>
      <c r="E475" s="36"/>
      <c r="F475" s="36"/>
      <c r="G475" s="36" t="str">
        <f t="shared" si="6"/>
        <v/>
      </c>
      <c r="H475" s="37"/>
    </row>
    <row r="476">
      <c r="A476" s="37"/>
      <c r="B476" s="37"/>
      <c r="C476" s="37"/>
      <c r="D476" s="37"/>
      <c r="E476" s="36"/>
      <c r="F476" s="36"/>
      <c r="G476" s="36" t="str">
        <f t="shared" si="6"/>
        <v/>
      </c>
      <c r="H476" s="37"/>
    </row>
    <row r="477">
      <c r="A477" s="37"/>
      <c r="B477" s="37"/>
      <c r="C477" s="37"/>
      <c r="D477" s="37"/>
      <c r="E477" s="36"/>
      <c r="F477" s="36"/>
      <c r="G477" s="36" t="str">
        <f t="shared" si="6"/>
        <v/>
      </c>
      <c r="H477" s="37"/>
    </row>
    <row r="478">
      <c r="A478" s="37"/>
      <c r="B478" s="37"/>
      <c r="C478" s="37"/>
      <c r="D478" s="37"/>
      <c r="E478" s="36"/>
      <c r="F478" s="36"/>
      <c r="G478" s="36" t="str">
        <f t="shared" si="6"/>
        <v/>
      </c>
      <c r="H478" s="37"/>
    </row>
    <row r="479">
      <c r="A479" s="37"/>
      <c r="B479" s="37"/>
      <c r="C479" s="37"/>
      <c r="D479" s="37"/>
      <c r="E479" s="36"/>
      <c r="F479" s="36"/>
      <c r="G479" s="36" t="str">
        <f t="shared" si="6"/>
        <v/>
      </c>
      <c r="H479" s="37"/>
    </row>
    <row r="480">
      <c r="A480" s="37"/>
      <c r="B480" s="37"/>
      <c r="C480" s="37"/>
      <c r="D480" s="37"/>
      <c r="E480" s="36"/>
      <c r="F480" s="36"/>
      <c r="G480" s="36" t="str">
        <f t="shared" si="6"/>
        <v/>
      </c>
      <c r="H480" s="37"/>
    </row>
    <row r="481">
      <c r="A481" s="37"/>
      <c r="B481" s="37"/>
      <c r="C481" s="37"/>
      <c r="D481" s="37"/>
      <c r="E481" s="36"/>
      <c r="F481" s="36"/>
      <c r="G481" s="36" t="str">
        <f t="shared" si="6"/>
        <v/>
      </c>
      <c r="H481" s="37"/>
    </row>
    <row r="482">
      <c r="A482" s="37"/>
      <c r="B482" s="37"/>
      <c r="C482" s="37"/>
      <c r="D482" s="37"/>
      <c r="E482" s="36"/>
      <c r="F482" s="36"/>
      <c r="G482" s="36" t="str">
        <f t="shared" si="6"/>
        <v/>
      </c>
      <c r="H482" s="37"/>
    </row>
    <row r="483">
      <c r="A483" s="37"/>
      <c r="B483" s="37"/>
      <c r="C483" s="37"/>
      <c r="D483" s="37"/>
      <c r="E483" s="36"/>
      <c r="F483" s="36"/>
      <c r="G483" s="36" t="str">
        <f t="shared" si="6"/>
        <v/>
      </c>
      <c r="H483" s="37"/>
    </row>
    <row r="484">
      <c r="A484" s="37"/>
      <c r="B484" s="37"/>
      <c r="C484" s="37"/>
      <c r="D484" s="37"/>
      <c r="E484" s="36"/>
      <c r="F484" s="36"/>
      <c r="G484" s="36" t="str">
        <f t="shared" si="6"/>
        <v/>
      </c>
      <c r="H484" s="37"/>
    </row>
    <row r="485">
      <c r="A485" s="37"/>
      <c r="B485" s="37"/>
      <c r="C485" s="37"/>
      <c r="D485" s="37"/>
      <c r="E485" s="36"/>
      <c r="F485" s="36"/>
      <c r="G485" s="36" t="str">
        <f t="shared" si="6"/>
        <v/>
      </c>
      <c r="H485" s="37"/>
    </row>
    <row r="486">
      <c r="A486" s="37"/>
      <c r="B486" s="37"/>
      <c r="C486" s="37"/>
      <c r="D486" s="37"/>
      <c r="E486" s="36"/>
      <c r="F486" s="36"/>
      <c r="G486" s="36" t="str">
        <f t="shared" si="6"/>
        <v/>
      </c>
      <c r="H486" s="37"/>
    </row>
    <row r="487">
      <c r="A487" s="37"/>
      <c r="B487" s="37"/>
      <c r="C487" s="37"/>
      <c r="D487" s="37"/>
      <c r="E487" s="36"/>
      <c r="F487" s="36"/>
      <c r="G487" s="36" t="str">
        <f t="shared" si="6"/>
        <v/>
      </c>
      <c r="H487" s="37"/>
    </row>
    <row r="488">
      <c r="A488" s="37"/>
      <c r="B488" s="37"/>
      <c r="C488" s="37"/>
      <c r="D488" s="37"/>
      <c r="E488" s="36"/>
      <c r="F488" s="36"/>
      <c r="G488" s="36" t="str">
        <f t="shared" si="6"/>
        <v/>
      </c>
      <c r="H488" s="37"/>
    </row>
    <row r="489">
      <c r="A489" s="37"/>
      <c r="B489" s="37"/>
      <c r="C489" s="37"/>
      <c r="D489" s="37"/>
      <c r="E489" s="36"/>
      <c r="F489" s="36"/>
      <c r="G489" s="36" t="str">
        <f t="shared" si="6"/>
        <v/>
      </c>
      <c r="H489" s="37"/>
    </row>
    <row r="490">
      <c r="A490" s="37"/>
      <c r="B490" s="37"/>
      <c r="C490" s="37"/>
      <c r="D490" s="37"/>
      <c r="E490" s="36"/>
      <c r="F490" s="36"/>
      <c r="G490" s="36" t="str">
        <f t="shared" si="6"/>
        <v/>
      </c>
      <c r="H490" s="37"/>
    </row>
    <row r="491">
      <c r="A491" s="37"/>
      <c r="B491" s="37"/>
      <c r="C491" s="37"/>
      <c r="D491" s="37"/>
      <c r="E491" s="36"/>
      <c r="F491" s="36"/>
      <c r="G491" s="36" t="str">
        <f t="shared" si="6"/>
        <v/>
      </c>
      <c r="H491" s="37"/>
    </row>
    <row r="492">
      <c r="A492" s="37"/>
      <c r="B492" s="37"/>
      <c r="C492" s="37"/>
      <c r="D492" s="37"/>
      <c r="E492" s="36"/>
      <c r="F492" s="36"/>
      <c r="G492" s="36" t="str">
        <f t="shared" si="6"/>
        <v/>
      </c>
      <c r="H492" s="37"/>
    </row>
    <row r="493">
      <c r="A493" s="37"/>
      <c r="B493" s="37"/>
      <c r="C493" s="37"/>
      <c r="D493" s="37"/>
      <c r="E493" s="36"/>
      <c r="F493" s="36"/>
      <c r="G493" s="36" t="str">
        <f t="shared" si="6"/>
        <v/>
      </c>
      <c r="H493" s="37"/>
    </row>
    <row r="494">
      <c r="A494" s="37"/>
      <c r="B494" s="37"/>
      <c r="C494" s="37"/>
      <c r="D494" s="37"/>
      <c r="E494" s="36"/>
      <c r="F494" s="36"/>
      <c r="G494" s="36" t="str">
        <f t="shared" si="6"/>
        <v/>
      </c>
      <c r="H494" s="37"/>
    </row>
    <row r="495">
      <c r="A495" s="37"/>
      <c r="B495" s="37"/>
      <c r="C495" s="37"/>
      <c r="D495" s="37"/>
      <c r="E495" s="36"/>
      <c r="F495" s="36"/>
      <c r="G495" s="36" t="str">
        <f t="shared" si="6"/>
        <v/>
      </c>
      <c r="H495" s="37"/>
    </row>
    <row r="496">
      <c r="A496" s="37"/>
      <c r="B496" s="37"/>
      <c r="C496" s="37"/>
      <c r="D496" s="37"/>
      <c r="E496" s="36"/>
      <c r="F496" s="36"/>
      <c r="G496" s="36" t="str">
        <f t="shared" si="6"/>
        <v/>
      </c>
      <c r="H496" s="37"/>
    </row>
    <row r="497">
      <c r="A497" s="37"/>
      <c r="B497" s="37"/>
      <c r="C497" s="37"/>
      <c r="D497" s="37"/>
      <c r="E497" s="36"/>
      <c r="F497" s="36"/>
      <c r="G497" s="36" t="str">
        <f t="shared" si="6"/>
        <v/>
      </c>
      <c r="H497" s="37"/>
    </row>
    <row r="498">
      <c r="A498" s="37"/>
      <c r="B498" s="37"/>
      <c r="C498" s="37"/>
      <c r="D498" s="37"/>
      <c r="E498" s="36"/>
      <c r="F498" s="36"/>
      <c r="G498" s="36" t="str">
        <f t="shared" si="6"/>
        <v/>
      </c>
      <c r="H498" s="37"/>
    </row>
    <row r="499">
      <c r="A499" s="37"/>
      <c r="B499" s="37"/>
      <c r="C499" s="37"/>
      <c r="D499" s="37"/>
      <c r="E499" s="36"/>
      <c r="F499" s="36"/>
      <c r="G499" s="36" t="str">
        <f t="shared" si="6"/>
        <v/>
      </c>
      <c r="H499" s="37"/>
    </row>
    <row r="500">
      <c r="A500" s="37"/>
      <c r="B500" s="37"/>
      <c r="C500" s="37"/>
      <c r="D500" s="37"/>
      <c r="E500" s="36"/>
      <c r="F500" s="36"/>
      <c r="G500" s="36" t="str">
        <f t="shared" si="6"/>
        <v/>
      </c>
      <c r="H500" s="37"/>
    </row>
    <row r="501">
      <c r="A501" s="37"/>
      <c r="B501" s="37"/>
      <c r="C501" s="37"/>
      <c r="D501" s="37"/>
      <c r="E501" s="36"/>
      <c r="F501" s="36"/>
      <c r="G501" s="36" t="str">
        <f t="shared" si="6"/>
        <v/>
      </c>
      <c r="H501" s="37"/>
    </row>
    <row r="502">
      <c r="A502" s="37"/>
      <c r="B502" s="37"/>
      <c r="C502" s="37"/>
      <c r="D502" s="37"/>
      <c r="E502" s="36"/>
      <c r="F502" s="36"/>
      <c r="G502" s="36" t="str">
        <f t="shared" si="6"/>
        <v/>
      </c>
      <c r="H502" s="37"/>
    </row>
    <row r="503">
      <c r="A503" s="37"/>
      <c r="B503" s="37"/>
      <c r="C503" s="37"/>
      <c r="D503" s="37"/>
      <c r="E503" s="36"/>
      <c r="F503" s="36"/>
      <c r="G503" s="36" t="str">
        <f t="shared" si="6"/>
        <v/>
      </c>
      <c r="H503" s="37"/>
    </row>
    <row r="504">
      <c r="E504" s="6"/>
      <c r="F504" s="6"/>
      <c r="G504" s="6"/>
    </row>
    <row r="505">
      <c r="A505" s="25" t="s">
        <v>1018</v>
      </c>
      <c r="B505" s="64"/>
      <c r="C505" s="64"/>
      <c r="D505" s="64"/>
      <c r="E505" s="59">
        <f t="shared" ref="E505:G505" si="7">SUM(E21:E503)</f>
        <v>2189458.69</v>
      </c>
      <c r="F505" s="59">
        <f t="shared" si="7"/>
        <v>0</v>
      </c>
      <c r="G505" s="59">
        <f t="shared" si="7"/>
        <v>2189458.69</v>
      </c>
      <c r="H505" s="64"/>
    </row>
  </sheetData>
  <mergeCells count="3">
    <mergeCell ref="A1:H1"/>
    <mergeCell ref="A3:D3"/>
    <mergeCell ref="A19:H19"/>
  </mergeCells>
  <dataValidations>
    <dataValidation type="list" allowBlank="1" sqref="C20:C502">
      <formula1>Settings!$E$15:$E$38</formula1>
    </dataValidation>
    <dataValidation type="list" allowBlank="1" sqref="D20:D502">
      <formula1>Settings!$C$15:$C$30</formula1>
    </dataValidation>
    <dataValidation type="list" allowBlank="1" sqref="D503">
      <formula1>Settings!$C$15:$C$31</formula1>
    </dataValidation>
    <dataValidation type="list" allowBlank="1" sqref="C503">
      <formula1>Settings!$E$15:$E$36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81.38"/>
    <col customWidth="1" min="4" max="4" width="18.88"/>
    <col customWidth="1" min="5" max="7" width="15.13"/>
  </cols>
  <sheetData>
    <row r="1">
      <c r="A1" s="22" t="s">
        <v>2517</v>
      </c>
    </row>
    <row r="3">
      <c r="A3" s="50" t="s">
        <v>110</v>
      </c>
      <c r="B3" s="51">
        <f>'Advances_JUN-2025'!E3</f>
        <v>504240.98</v>
      </c>
      <c r="D3" s="50" t="s">
        <v>111</v>
      </c>
      <c r="E3" s="52">
        <f>164800.84+SUM(E7:E101)</f>
        <v>453575.39</v>
      </c>
    </row>
    <row r="5">
      <c r="A5" s="7" t="s">
        <v>112</v>
      </c>
    </row>
    <row r="6">
      <c r="A6" s="41" t="s">
        <v>113</v>
      </c>
      <c r="B6" s="41" t="s">
        <v>114</v>
      </c>
      <c r="C6" s="41" t="s">
        <v>115</v>
      </c>
      <c r="D6" s="41" t="s">
        <v>116</v>
      </c>
      <c r="E6" s="41" t="s">
        <v>117</v>
      </c>
      <c r="F6" s="41" t="s">
        <v>118</v>
      </c>
      <c r="G6" s="41" t="s">
        <v>119</v>
      </c>
    </row>
    <row r="7">
      <c r="A7" s="60" t="s">
        <v>1022</v>
      </c>
      <c r="B7" s="60" t="s">
        <v>1023</v>
      </c>
      <c r="C7" s="60" t="s">
        <v>1024</v>
      </c>
      <c r="D7" s="37"/>
      <c r="E7" s="68">
        <v>1500.0</v>
      </c>
      <c r="F7" s="36"/>
      <c r="G7" s="36">
        <f>IF(E7="","",IF(H7="C/F",B$3,B$3+E7-F7))</f>
        <v>504240.98</v>
      </c>
      <c r="H7" s="5" t="str">
        <f>IF(B7="","",IF(IFERROR(MATCH(B7,'Advances_JUN-2025'!B:B,0),0)&gt;0,"C/F","NEW"))</f>
        <v>C/F</v>
      </c>
    </row>
    <row r="8">
      <c r="A8" s="60" t="s">
        <v>1025</v>
      </c>
      <c r="B8" s="60" t="s">
        <v>1026</v>
      </c>
      <c r="C8" s="60" t="s">
        <v>1027</v>
      </c>
      <c r="D8" s="37"/>
      <c r="E8" s="68">
        <v>350.0</v>
      </c>
      <c r="F8" s="36"/>
      <c r="G8" s="36">
        <f t="shared" ref="G8:G100" si="1">IF(E8="","",G7+IF(H8="C/F",0,E8)-F8)</f>
        <v>504240.98</v>
      </c>
      <c r="H8" s="5" t="str">
        <f>IF(B8="","",IF(IFERROR(MATCH(B8,'Advances_JUN-2025'!B:B,0),0)&gt;0,"C/F","NEW"))</f>
        <v>C/F</v>
      </c>
    </row>
    <row r="9">
      <c r="A9" s="60" t="s">
        <v>1025</v>
      </c>
      <c r="B9" s="60" t="s">
        <v>1026</v>
      </c>
      <c r="C9" s="60" t="s">
        <v>1028</v>
      </c>
      <c r="D9" s="37"/>
      <c r="E9" s="68">
        <v>143.48</v>
      </c>
      <c r="F9" s="36"/>
      <c r="G9" s="36">
        <f t="shared" si="1"/>
        <v>504240.98</v>
      </c>
      <c r="H9" s="5" t="str">
        <f>IF(B9="","",IF(IFERROR(MATCH(B9,'Advances_JUN-2025'!B:B,0),0)&gt;0,"C/F","NEW"))</f>
        <v>C/F</v>
      </c>
    </row>
    <row r="10">
      <c r="A10" s="60" t="s">
        <v>1025</v>
      </c>
      <c r="B10" s="60" t="s">
        <v>1026</v>
      </c>
      <c r="C10" s="60" t="s">
        <v>1028</v>
      </c>
      <c r="D10" s="37"/>
      <c r="E10" s="68">
        <v>600.0</v>
      </c>
      <c r="F10" s="36"/>
      <c r="G10" s="36">
        <f t="shared" si="1"/>
        <v>504240.98</v>
      </c>
      <c r="H10" s="5" t="str">
        <f>IF(B10="","",IF(IFERROR(MATCH(B10,'Advances_JUN-2025'!B:B,0),0)&gt;0,"C/F","NEW"))</f>
        <v>C/F</v>
      </c>
    </row>
    <row r="11">
      <c r="A11" s="60" t="s">
        <v>1029</v>
      </c>
      <c r="B11" s="60" t="s">
        <v>1030</v>
      </c>
      <c r="C11" s="60" t="s">
        <v>1031</v>
      </c>
      <c r="D11" s="37"/>
      <c r="E11" s="68">
        <v>34000.0</v>
      </c>
      <c r="F11" s="36"/>
      <c r="G11" s="36">
        <f t="shared" si="1"/>
        <v>504240.98</v>
      </c>
      <c r="H11" s="5" t="str">
        <f>IF(B11="","",IF(IFERROR(MATCH(B11,'Advances_JUN-2025'!B:B,0),0)&gt;0,"C/F","NEW"))</f>
        <v>C/F</v>
      </c>
    </row>
    <row r="12">
      <c r="A12" s="60" t="s">
        <v>1032</v>
      </c>
      <c r="B12" s="60" t="s">
        <v>1033</v>
      </c>
      <c r="C12" s="60" t="s">
        <v>1034</v>
      </c>
      <c r="D12" s="37"/>
      <c r="E12" s="68">
        <v>500.0</v>
      </c>
      <c r="F12" s="36"/>
      <c r="G12" s="36">
        <f t="shared" si="1"/>
        <v>504240.98</v>
      </c>
      <c r="H12" s="5" t="str">
        <f>IF(B12="","",IF(IFERROR(MATCH(B12,'Advances_JUN-2025'!B:B,0),0)&gt;0,"C/F","NEW"))</f>
        <v>C/F</v>
      </c>
    </row>
    <row r="13">
      <c r="A13" s="69">
        <v>45298.0</v>
      </c>
      <c r="B13" s="60" t="s">
        <v>1035</v>
      </c>
      <c r="C13" s="60" t="s">
        <v>1036</v>
      </c>
      <c r="D13" s="37"/>
      <c r="E13" s="68">
        <v>4000.0</v>
      </c>
      <c r="F13" s="36"/>
      <c r="G13" s="36">
        <f t="shared" si="1"/>
        <v>504240.98</v>
      </c>
      <c r="H13" s="5" t="str">
        <f>IF(B13="","",IF(IFERROR(MATCH(B13,'Advances_JUN-2025'!B:B,0),0)&gt;0,"C/F","NEW"))</f>
        <v>C/F</v>
      </c>
    </row>
    <row r="14">
      <c r="A14" s="69">
        <v>45450.0</v>
      </c>
      <c r="B14" s="60" t="s">
        <v>1037</v>
      </c>
      <c r="C14" s="60" t="s">
        <v>1038</v>
      </c>
      <c r="D14" s="37"/>
      <c r="E14" s="68">
        <v>2790.0</v>
      </c>
      <c r="F14" s="36"/>
      <c r="G14" s="36">
        <f t="shared" si="1"/>
        <v>504240.98</v>
      </c>
      <c r="H14" s="5" t="str">
        <f>IF(B14="","",IF(IFERROR(MATCH(B14,'Advances_JUN-2025'!B:B,0),0)&gt;0,"C/F","NEW"))</f>
        <v>C/F</v>
      </c>
    </row>
    <row r="15">
      <c r="A15" s="60" t="s">
        <v>1039</v>
      </c>
      <c r="B15" s="60" t="s">
        <v>1040</v>
      </c>
      <c r="C15" s="60" t="s">
        <v>1041</v>
      </c>
      <c r="D15" s="37"/>
      <c r="E15" s="68">
        <v>74656.7</v>
      </c>
      <c r="F15" s="36"/>
      <c r="G15" s="36">
        <f t="shared" si="1"/>
        <v>504240.98</v>
      </c>
      <c r="H15" s="5" t="str">
        <f>IF(B15="","",IF(IFERROR(MATCH(B15,'Advances_JUN-2025'!B:B,0),0)&gt;0,"C/F","NEW"))</f>
        <v>C/F</v>
      </c>
    </row>
    <row r="16">
      <c r="A16" s="60" t="s">
        <v>1039</v>
      </c>
      <c r="B16" s="60" t="s">
        <v>1042</v>
      </c>
      <c r="C16" s="60" t="s">
        <v>1043</v>
      </c>
      <c r="D16" s="37"/>
      <c r="E16" s="68">
        <v>25655.23</v>
      </c>
      <c r="F16" s="36"/>
      <c r="G16" s="36">
        <f t="shared" si="1"/>
        <v>504240.98</v>
      </c>
      <c r="H16" s="5" t="str">
        <f>IF(B16="","",IF(IFERROR(MATCH(B16,'Advances_JUN-2025'!B:B,0),0)&gt;0,"C/F","NEW"))</f>
        <v>C/F</v>
      </c>
    </row>
    <row r="17">
      <c r="A17" s="60" t="s">
        <v>1044</v>
      </c>
      <c r="B17" s="60" t="s">
        <v>1045</v>
      </c>
      <c r="C17" s="60" t="s">
        <v>1046</v>
      </c>
      <c r="D17" s="37"/>
      <c r="E17" s="68">
        <v>5000.0</v>
      </c>
      <c r="F17" s="36"/>
      <c r="G17" s="36">
        <f t="shared" si="1"/>
        <v>504240.98</v>
      </c>
      <c r="H17" s="5" t="str">
        <f>IF(B17="","",IF(IFERROR(MATCH(B17,'Advances_JUN-2025'!B:B,0),0)&gt;0,"C/F","NEW"))</f>
        <v>C/F</v>
      </c>
    </row>
    <row r="18">
      <c r="A18" s="60" t="s">
        <v>1047</v>
      </c>
      <c r="B18" s="60" t="s">
        <v>1048</v>
      </c>
      <c r="C18" s="60" t="s">
        <v>1049</v>
      </c>
      <c r="D18" s="37"/>
      <c r="E18" s="68">
        <v>4650.0</v>
      </c>
      <c r="F18" s="36"/>
      <c r="G18" s="36">
        <f t="shared" si="1"/>
        <v>504240.98</v>
      </c>
      <c r="H18" s="5" t="str">
        <f>IF(B18="","",IF(IFERROR(MATCH(B18,'Advances_JUN-2025'!B:B,0),0)&gt;0,"C/F","NEW"))</f>
        <v>C/F</v>
      </c>
    </row>
    <row r="19">
      <c r="A19" s="60" t="s">
        <v>1050</v>
      </c>
      <c r="B19" s="60" t="s">
        <v>1051</v>
      </c>
      <c r="C19" s="60" t="s">
        <v>1052</v>
      </c>
      <c r="D19" s="37"/>
      <c r="E19" s="68">
        <v>500.0</v>
      </c>
      <c r="F19" s="36"/>
      <c r="G19" s="36">
        <f t="shared" si="1"/>
        <v>504240.98</v>
      </c>
      <c r="H19" s="5" t="str">
        <f>IF(B19="","",IF(IFERROR(MATCH(B19,'Advances_JUN-2025'!B:B,0),0)&gt;0,"C/F","NEW"))</f>
        <v>C/F</v>
      </c>
    </row>
    <row r="20">
      <c r="A20" s="63" t="s">
        <v>1053</v>
      </c>
      <c r="B20" s="70"/>
      <c r="C20" s="60" t="s">
        <v>1054</v>
      </c>
      <c r="D20" s="37"/>
      <c r="E20" s="68">
        <v>16857.45</v>
      </c>
      <c r="F20" s="36"/>
      <c r="G20" s="36">
        <f t="shared" si="1"/>
        <v>521098.43</v>
      </c>
      <c r="H20" s="5" t="str">
        <f>IF(B20="","",IF(IFERROR(MATCH(B20,'Advances_JUN-2025'!B:B,0),0)&gt;0,"C/F","NEW"))</f>
        <v/>
      </c>
    </row>
    <row r="21">
      <c r="A21" s="69">
        <v>45546.0</v>
      </c>
      <c r="B21" s="60" t="s">
        <v>1055</v>
      </c>
      <c r="C21" s="60" t="s">
        <v>1056</v>
      </c>
      <c r="D21" s="37"/>
      <c r="E21" s="68">
        <v>4450.0</v>
      </c>
      <c r="F21" s="36"/>
      <c r="G21" s="36">
        <f t="shared" si="1"/>
        <v>521098.43</v>
      </c>
      <c r="H21" s="5" t="str">
        <f>IF(B21="","",IF(IFERROR(MATCH(B21,'Advances_JUN-2025'!B:B,0),0)&gt;0,"C/F","NEW"))</f>
        <v>C/F</v>
      </c>
    </row>
    <row r="22">
      <c r="A22" s="71">
        <v>45637.0</v>
      </c>
      <c r="B22" s="60" t="s">
        <v>1057</v>
      </c>
      <c r="C22" s="60" t="s">
        <v>1058</v>
      </c>
      <c r="D22" s="37"/>
      <c r="E22" s="68">
        <v>80.0</v>
      </c>
      <c r="F22" s="36"/>
      <c r="G22" s="36">
        <f t="shared" si="1"/>
        <v>521098.43</v>
      </c>
      <c r="H22" s="5" t="str">
        <f>IF(B22="","",IF(IFERROR(MATCH(B22,'Advances_JUN-2025'!B:B,0),0)&gt;0,"C/F","NEW"))</f>
        <v>C/F</v>
      </c>
    </row>
    <row r="23">
      <c r="A23" s="71">
        <v>45577.0</v>
      </c>
      <c r="B23" s="60" t="s">
        <v>1059</v>
      </c>
      <c r="C23" s="60" t="s">
        <v>1043</v>
      </c>
      <c r="D23" s="37"/>
      <c r="E23" s="68">
        <v>49001.48</v>
      </c>
      <c r="F23" s="36"/>
      <c r="G23" s="36">
        <f t="shared" si="1"/>
        <v>521098.43</v>
      </c>
      <c r="H23" s="5" t="str">
        <f>IF(B23="","",IF(IFERROR(MATCH(B23,'Advances_JUN-2025'!B:B,0),0)&gt;0,"C/F","NEW"))</f>
        <v>C/F</v>
      </c>
    </row>
    <row r="24">
      <c r="A24" s="60" t="s">
        <v>1060</v>
      </c>
      <c r="B24" s="60" t="s">
        <v>1061</v>
      </c>
      <c r="C24" s="60" t="s">
        <v>1062</v>
      </c>
      <c r="D24" s="37"/>
      <c r="E24" s="68">
        <v>300.0</v>
      </c>
      <c r="F24" s="36"/>
      <c r="G24" s="36">
        <f t="shared" si="1"/>
        <v>521098.43</v>
      </c>
      <c r="H24" s="5" t="str">
        <f>IF(B24="","",IF(IFERROR(MATCH(B24,'Advances_JUN-2025'!B:B,0),0)&gt;0,"C/F","NEW"))</f>
        <v>C/F</v>
      </c>
    </row>
    <row r="25">
      <c r="A25" s="60" t="s">
        <v>1063</v>
      </c>
      <c r="B25" s="60" t="s">
        <v>1064</v>
      </c>
      <c r="C25" s="60" t="s">
        <v>1065</v>
      </c>
      <c r="D25" s="37"/>
      <c r="E25" s="68">
        <v>150.0</v>
      </c>
      <c r="F25" s="36"/>
      <c r="G25" s="36">
        <f t="shared" si="1"/>
        <v>521098.43</v>
      </c>
      <c r="H25" s="5" t="str">
        <f>IF(B25="","",IF(IFERROR(MATCH(B25,'Advances_JUN-2025'!B:B,0),0)&gt;0,"C/F","NEW"))</f>
        <v>C/F</v>
      </c>
    </row>
    <row r="26">
      <c r="A26" s="60" t="s">
        <v>1066</v>
      </c>
      <c r="B26" s="60" t="s">
        <v>1067</v>
      </c>
      <c r="C26" s="60" t="s">
        <v>1068</v>
      </c>
      <c r="D26" s="37"/>
      <c r="E26" s="68">
        <v>51310.45</v>
      </c>
      <c r="F26" s="36"/>
      <c r="G26" s="36">
        <f t="shared" si="1"/>
        <v>521098.43</v>
      </c>
      <c r="H26" s="5" t="str">
        <f>IF(B26="","",IF(IFERROR(MATCH(B26,'Advances_JUN-2025'!B:B,0),0)&gt;0,"C/F","NEW"))</f>
        <v>C/F</v>
      </c>
    </row>
    <row r="27">
      <c r="A27" s="69">
        <v>45749.0</v>
      </c>
      <c r="B27" s="60" t="s">
        <v>1069</v>
      </c>
      <c r="C27" s="60" t="s">
        <v>1070</v>
      </c>
      <c r="D27" s="37"/>
      <c r="E27" s="68">
        <v>200.0</v>
      </c>
      <c r="F27" s="36"/>
      <c r="G27" s="36">
        <f t="shared" si="1"/>
        <v>521098.43</v>
      </c>
      <c r="H27" s="5" t="str">
        <f>IF(B27="","",IF(IFERROR(MATCH(B27,'Advances_JUN-2025'!B:B,0),0)&gt;0,"C/F","NEW"))</f>
        <v>C/F</v>
      </c>
    </row>
    <row r="28">
      <c r="A28" s="60" t="s">
        <v>1071</v>
      </c>
      <c r="B28" s="60" t="s">
        <v>1072</v>
      </c>
      <c r="C28" s="60" t="s">
        <v>1073</v>
      </c>
      <c r="D28" s="37"/>
      <c r="E28" s="68">
        <v>334.8</v>
      </c>
      <c r="F28" s="36"/>
      <c r="G28" s="36">
        <f t="shared" si="1"/>
        <v>521098.43</v>
      </c>
      <c r="H28" s="5" t="str">
        <f>IF(B28="","",IF(IFERROR(MATCH(B28,'Advances_JUN-2025'!B:B,0),0)&gt;0,"C/F","NEW"))</f>
        <v>C/F</v>
      </c>
    </row>
    <row r="29">
      <c r="A29" s="60" t="s">
        <v>1071</v>
      </c>
      <c r="B29" s="60" t="s">
        <v>1072</v>
      </c>
      <c r="C29" s="60" t="s">
        <v>1074</v>
      </c>
      <c r="D29" s="37"/>
      <c r="E29" s="68">
        <v>300.0</v>
      </c>
      <c r="F29" s="36"/>
      <c r="G29" s="36">
        <f t="shared" si="1"/>
        <v>521098.43</v>
      </c>
      <c r="H29" s="5" t="str">
        <f>IF(B29="","",IF(IFERROR(MATCH(B29,'Advances_JUN-2025'!B:B,0),0)&gt;0,"C/F","NEW"))</f>
        <v>C/F</v>
      </c>
    </row>
    <row r="30">
      <c r="A30" s="60" t="s">
        <v>1071</v>
      </c>
      <c r="B30" s="60" t="s">
        <v>1072</v>
      </c>
      <c r="C30" s="60" t="s">
        <v>1073</v>
      </c>
      <c r="D30" s="37"/>
      <c r="E30" s="68">
        <v>350.0</v>
      </c>
      <c r="F30" s="36"/>
      <c r="G30" s="36">
        <f t="shared" si="1"/>
        <v>521098.43</v>
      </c>
      <c r="H30" s="5" t="str">
        <f>IF(B30="","",IF(IFERROR(MATCH(B30,'Advances_JUN-2025'!B:B,0),0)&gt;0,"C/F","NEW"))</f>
        <v>C/F</v>
      </c>
    </row>
    <row r="31">
      <c r="A31" s="69">
        <v>45752.0</v>
      </c>
      <c r="B31" s="60" t="s">
        <v>1075</v>
      </c>
      <c r="C31" s="60" t="s">
        <v>1076</v>
      </c>
      <c r="D31" s="37"/>
      <c r="E31" s="68">
        <v>200.0</v>
      </c>
      <c r="F31" s="36"/>
      <c r="G31" s="36">
        <f t="shared" si="1"/>
        <v>521098.43</v>
      </c>
      <c r="H31" s="5" t="str">
        <f>IF(B31="","",IF(IFERROR(MATCH(B31,'Advances_JUN-2025'!B:B,0),0)&gt;0,"C/F","NEW"))</f>
        <v>C/F</v>
      </c>
    </row>
    <row r="32">
      <c r="A32" s="60" t="s">
        <v>1077</v>
      </c>
      <c r="B32" s="60" t="s">
        <v>1078</v>
      </c>
      <c r="C32" s="60" t="s">
        <v>1079</v>
      </c>
      <c r="D32" s="37"/>
      <c r="E32" s="68">
        <v>170.0</v>
      </c>
      <c r="F32" s="36"/>
      <c r="G32" s="36">
        <f t="shared" si="1"/>
        <v>521098.43</v>
      </c>
      <c r="H32" s="5" t="str">
        <f>IF(B32="","",IF(IFERROR(MATCH(B32,'Advances_JUN-2025'!B:B,0),0)&gt;0,"C/F","NEW"))</f>
        <v>C/F</v>
      </c>
    </row>
    <row r="33">
      <c r="A33" s="63" t="s">
        <v>1080</v>
      </c>
      <c r="B33" s="70"/>
      <c r="C33" s="60" t="s">
        <v>1081</v>
      </c>
      <c r="D33" s="37"/>
      <c r="E33" s="68">
        <v>219.0</v>
      </c>
      <c r="F33" s="36"/>
      <c r="G33" s="36">
        <f t="shared" si="1"/>
        <v>521317.43</v>
      </c>
      <c r="H33" s="5" t="str">
        <f>IF(B33="","",IF(IFERROR(MATCH(B33,'Advances_JUN-2025'!B:B,0),0)&gt;0,"C/F","NEW"))</f>
        <v/>
      </c>
    </row>
    <row r="34">
      <c r="A34" s="69">
        <v>45997.0</v>
      </c>
      <c r="B34" s="60" t="s">
        <v>1082</v>
      </c>
      <c r="C34" s="60" t="s">
        <v>1083</v>
      </c>
      <c r="D34" s="37"/>
      <c r="E34" s="68">
        <v>260.96</v>
      </c>
      <c r="F34" s="36"/>
      <c r="G34" s="36">
        <f t="shared" si="1"/>
        <v>521317.43</v>
      </c>
      <c r="H34" s="5" t="str">
        <f>IF(B34="","",IF(IFERROR(MATCH(B34,'Advances_JUN-2025'!B:B,0),0)&gt;0,"C/F","NEW"))</f>
        <v>C/F</v>
      </c>
    </row>
    <row r="35">
      <c r="A35" s="60" t="s">
        <v>1084</v>
      </c>
      <c r="B35" s="60" t="s">
        <v>1085</v>
      </c>
      <c r="C35" s="60" t="s">
        <v>1086</v>
      </c>
      <c r="D35" s="37"/>
      <c r="E35" s="68">
        <v>9000.0</v>
      </c>
      <c r="F35" s="36"/>
      <c r="G35" s="36">
        <f t="shared" si="1"/>
        <v>521317.43</v>
      </c>
      <c r="H35" s="5" t="str">
        <f>IF(B35="","",IF(IFERROR(MATCH(B35,'Advances_JUN-2025'!B:B,0),0)&gt;0,"C/F","NEW"))</f>
        <v>C/F</v>
      </c>
    </row>
    <row r="36">
      <c r="A36" s="60" t="s">
        <v>1087</v>
      </c>
      <c r="B36" s="60" t="s">
        <v>1088</v>
      </c>
      <c r="C36" s="60" t="s">
        <v>1089</v>
      </c>
      <c r="D36" s="37"/>
      <c r="E36" s="68">
        <v>100.0</v>
      </c>
      <c r="F36" s="36"/>
      <c r="G36" s="36">
        <f t="shared" si="1"/>
        <v>521317.43</v>
      </c>
      <c r="H36" s="5" t="str">
        <f>IF(B36="","",IF(IFERROR(MATCH(B36,'Advances_JUN-2025'!B:B,0),0)&gt;0,"C/F","NEW"))</f>
        <v>C/F</v>
      </c>
    </row>
    <row r="37">
      <c r="A37" s="69">
        <v>45937.0</v>
      </c>
      <c r="B37" s="60" t="s">
        <v>2518</v>
      </c>
      <c r="C37" s="60" t="s">
        <v>2519</v>
      </c>
      <c r="D37" s="37"/>
      <c r="E37" s="68">
        <v>500.0</v>
      </c>
      <c r="F37" s="36"/>
      <c r="G37" s="36">
        <f t="shared" si="1"/>
        <v>521817.43</v>
      </c>
      <c r="H37" s="5" t="str">
        <f>IF(B37="","",IF(IFERROR(MATCH(B37,'Advances_JUN-2025'!B:B,0),0)&gt;0,"C/F","NEW"))</f>
        <v>NEW</v>
      </c>
    </row>
    <row r="38">
      <c r="A38" s="60" t="s">
        <v>2520</v>
      </c>
      <c r="B38" s="60" t="s">
        <v>2521</v>
      </c>
      <c r="C38" s="60" t="s">
        <v>2522</v>
      </c>
      <c r="D38" s="37"/>
      <c r="E38" s="68">
        <v>100.0</v>
      </c>
      <c r="F38" s="36"/>
      <c r="G38" s="36">
        <f t="shared" si="1"/>
        <v>521917.43</v>
      </c>
      <c r="H38" s="5" t="str">
        <f>IF(B38="","",IF(IFERROR(MATCH(B38,'Advances_JUN-2025'!B:B,0),0)&gt;0,"C/F","NEW"))</f>
        <v>NEW</v>
      </c>
    </row>
    <row r="39">
      <c r="A39" s="60" t="s">
        <v>2523</v>
      </c>
      <c r="B39" s="60" t="s">
        <v>2524</v>
      </c>
      <c r="C39" s="60" t="s">
        <v>2525</v>
      </c>
      <c r="D39" s="37"/>
      <c r="E39" s="68">
        <v>90.0</v>
      </c>
      <c r="F39" s="36"/>
      <c r="G39" s="36">
        <f t="shared" si="1"/>
        <v>522007.43</v>
      </c>
      <c r="H39" s="5" t="str">
        <f>IF(B39="","",IF(IFERROR(MATCH(B39,'Advances_JUN-2025'!B:B,0),0)&gt;0,"C/F","NEW"))</f>
        <v>NEW</v>
      </c>
    </row>
    <row r="40">
      <c r="A40" s="60" t="s">
        <v>2526</v>
      </c>
      <c r="B40" s="60" t="s">
        <v>2527</v>
      </c>
      <c r="C40" s="60" t="s">
        <v>2528</v>
      </c>
      <c r="D40" s="37"/>
      <c r="E40" s="68">
        <v>55.0</v>
      </c>
      <c r="F40" s="36"/>
      <c r="G40" s="36">
        <f t="shared" si="1"/>
        <v>522062.43</v>
      </c>
      <c r="H40" s="5" t="str">
        <f>IF(B40="","",IF(IFERROR(MATCH(B40,'Advances_JUN-2025'!B:B,0),0)&gt;0,"C/F","NEW"))</f>
        <v>NEW</v>
      </c>
    </row>
    <row r="41">
      <c r="A41" s="60" t="s">
        <v>1090</v>
      </c>
      <c r="B41" s="60" t="s">
        <v>1091</v>
      </c>
      <c r="C41" s="60" t="s">
        <v>1092</v>
      </c>
      <c r="D41" s="37"/>
      <c r="E41" s="68">
        <v>200.0</v>
      </c>
      <c r="F41" s="36"/>
      <c r="G41" s="36">
        <f t="shared" si="1"/>
        <v>522262.43</v>
      </c>
      <c r="H41" s="5" t="str">
        <f>IF(B41="","",IF(IFERROR(MATCH(B41,'Advances_JUN-2025'!B:B,0),0)&gt;0,"C/F","NEW"))</f>
        <v>NEW</v>
      </c>
    </row>
    <row r="42">
      <c r="A42" s="60" t="s">
        <v>2529</v>
      </c>
      <c r="B42" s="60" t="s">
        <v>2530</v>
      </c>
      <c r="C42" s="60" t="s">
        <v>1076</v>
      </c>
      <c r="D42" s="37"/>
      <c r="E42" s="68">
        <v>200.0</v>
      </c>
      <c r="F42" s="36"/>
      <c r="G42" s="36">
        <f t="shared" si="1"/>
        <v>522462.43</v>
      </c>
      <c r="H42" s="5" t="str">
        <f>IF(B42="","",IF(IFERROR(MATCH(B42,'Advances_JUN-2025'!B:B,0),0)&gt;0,"C/F","NEW"))</f>
        <v>NEW</v>
      </c>
    </row>
    <row r="43">
      <c r="A43" s="37"/>
      <c r="B43" s="37"/>
      <c r="C43" s="37"/>
      <c r="D43" s="37"/>
      <c r="E43" s="36"/>
      <c r="F43" s="36"/>
      <c r="G43" s="36" t="str">
        <f t="shared" si="1"/>
        <v/>
      </c>
      <c r="H43" s="5" t="str">
        <f>IF(B43="","",IF(IFERROR(MATCH(B43,'Advances_JUN-2025'!B:B,0),0)&gt;0,"C/F","NEW"))</f>
        <v/>
      </c>
    </row>
    <row r="44">
      <c r="A44" s="37"/>
      <c r="B44" s="37"/>
      <c r="C44" s="37"/>
      <c r="D44" s="37"/>
      <c r="E44" s="36"/>
      <c r="F44" s="36"/>
      <c r="G44" s="36" t="str">
        <f t="shared" si="1"/>
        <v/>
      </c>
      <c r="H44" s="5" t="str">
        <f>IF(B44="","",IF(IFERROR(MATCH(B44,'Advances_JUN-2025'!B:B,0),0)&gt;0,"C/F","NEW"))</f>
        <v/>
      </c>
    </row>
    <row r="45">
      <c r="A45" s="37"/>
      <c r="B45" s="37"/>
      <c r="C45" s="37"/>
      <c r="D45" s="37"/>
      <c r="E45" s="36"/>
      <c r="F45" s="36"/>
      <c r="G45" s="36" t="str">
        <f t="shared" si="1"/>
        <v/>
      </c>
      <c r="H45" s="5" t="str">
        <f>IF(B45="","",IF(IFERROR(MATCH(B45,'Advances_JUN-2025'!B:B,0),0)&gt;0,"C/F","NEW"))</f>
        <v/>
      </c>
    </row>
    <row r="46">
      <c r="A46" s="37"/>
      <c r="B46" s="37"/>
      <c r="C46" s="37"/>
      <c r="D46" s="37"/>
      <c r="E46" s="36"/>
      <c r="F46" s="36"/>
      <c r="G46" s="36" t="str">
        <f t="shared" si="1"/>
        <v/>
      </c>
      <c r="H46" s="5" t="str">
        <f>IF(B46="","",IF(IFERROR(MATCH(B46,'Advances_JUN-2025'!B:B,0),0)&gt;0,"C/F","NEW"))</f>
        <v/>
      </c>
    </row>
    <row r="47">
      <c r="A47" s="37"/>
      <c r="B47" s="37"/>
      <c r="C47" s="37"/>
      <c r="D47" s="37"/>
      <c r="E47" s="36"/>
      <c r="F47" s="36"/>
      <c r="G47" s="36" t="str">
        <f t="shared" si="1"/>
        <v/>
      </c>
      <c r="H47" s="5" t="str">
        <f>IF(B47="","",IF(IFERROR(MATCH(B47,'Advances_JUN-2025'!B:B,0),0)&gt;0,"C/F","NEW"))</f>
        <v/>
      </c>
    </row>
    <row r="48">
      <c r="A48" s="37"/>
      <c r="B48" s="37"/>
      <c r="C48" s="37"/>
      <c r="D48" s="37"/>
      <c r="E48" s="36"/>
      <c r="F48" s="36"/>
      <c r="G48" s="36" t="str">
        <f t="shared" si="1"/>
        <v/>
      </c>
      <c r="H48" s="5" t="str">
        <f>IF(B48="","",IF(IFERROR(MATCH(B48,'Advances_JUN-2025'!B:B,0),0)&gt;0,"C/F","NEW"))</f>
        <v/>
      </c>
    </row>
    <row r="49">
      <c r="A49" s="37"/>
      <c r="B49" s="37"/>
      <c r="C49" s="37"/>
      <c r="D49" s="37"/>
      <c r="E49" s="36"/>
      <c r="F49" s="36"/>
      <c r="G49" s="36" t="str">
        <f t="shared" si="1"/>
        <v/>
      </c>
      <c r="H49" s="5" t="str">
        <f>IF(B49="","",IF(IFERROR(MATCH(B49,'Advances_JUN-2025'!B:B,0),0)&gt;0,"C/F","NEW"))</f>
        <v/>
      </c>
    </row>
    <row r="50">
      <c r="A50" s="37"/>
      <c r="B50" s="37"/>
      <c r="C50" s="37"/>
      <c r="D50" s="37"/>
      <c r="E50" s="36"/>
      <c r="F50" s="36"/>
      <c r="G50" s="36" t="str">
        <f t="shared" si="1"/>
        <v/>
      </c>
      <c r="H50" s="5" t="str">
        <f>IF(B50="","",IF(IFERROR(MATCH(B50,'Advances_JUN-2025'!B:B,0),0)&gt;0,"C/F","NEW"))</f>
        <v/>
      </c>
    </row>
    <row r="51">
      <c r="A51" s="37"/>
      <c r="B51" s="37"/>
      <c r="C51" s="37"/>
      <c r="D51" s="37"/>
      <c r="E51" s="36"/>
      <c r="F51" s="36"/>
      <c r="G51" s="36" t="str">
        <f t="shared" si="1"/>
        <v/>
      </c>
      <c r="H51" s="5" t="str">
        <f>IF(B51="","",IF(IFERROR(MATCH(B51,'Advances_JUN-2025'!B:B,0),0)&gt;0,"C/F","NEW"))</f>
        <v/>
      </c>
    </row>
    <row r="52">
      <c r="A52" s="37"/>
      <c r="B52" s="37"/>
      <c r="C52" s="37"/>
      <c r="D52" s="37"/>
      <c r="E52" s="36"/>
      <c r="F52" s="36"/>
      <c r="G52" s="36" t="str">
        <f t="shared" si="1"/>
        <v/>
      </c>
      <c r="H52" s="5" t="str">
        <f>IF(B52="","",IF(IFERROR(MATCH(B52,'Advances_JUN-2025'!B:B,0),0)&gt;0,"C/F","NEW"))</f>
        <v/>
      </c>
    </row>
    <row r="53">
      <c r="A53" s="37"/>
      <c r="B53" s="37"/>
      <c r="C53" s="37"/>
      <c r="D53" s="37"/>
      <c r="E53" s="36"/>
      <c r="F53" s="36"/>
      <c r="G53" s="36" t="str">
        <f t="shared" si="1"/>
        <v/>
      </c>
      <c r="H53" s="5" t="str">
        <f>IF(B53="","",IF(IFERROR(MATCH(B53,'Advances_JUN-2025'!B:B,0),0)&gt;0,"C/F","NEW"))</f>
        <v/>
      </c>
    </row>
    <row r="54">
      <c r="A54" s="37"/>
      <c r="B54" s="37"/>
      <c r="C54" s="37"/>
      <c r="D54" s="37"/>
      <c r="E54" s="36"/>
      <c r="F54" s="36"/>
      <c r="G54" s="36" t="str">
        <f t="shared" si="1"/>
        <v/>
      </c>
      <c r="H54" s="5" t="str">
        <f>IF(B54="","",IF(IFERROR(MATCH(B54,'Advances_JUN-2025'!B:B,0),0)&gt;0,"C/F","NEW"))</f>
        <v/>
      </c>
    </row>
    <row r="55">
      <c r="A55" s="37"/>
      <c r="B55" s="37"/>
      <c r="C55" s="37"/>
      <c r="D55" s="37"/>
      <c r="E55" s="36"/>
      <c r="F55" s="36"/>
      <c r="G55" s="36" t="str">
        <f t="shared" si="1"/>
        <v/>
      </c>
      <c r="H55" s="5" t="str">
        <f>IF(B55="","",IF(IFERROR(MATCH(B55,'Advances_JUN-2025'!B:B,0),0)&gt;0,"C/F","NEW"))</f>
        <v/>
      </c>
    </row>
    <row r="56">
      <c r="A56" s="37"/>
      <c r="B56" s="37"/>
      <c r="C56" s="37"/>
      <c r="D56" s="37"/>
      <c r="E56" s="36"/>
      <c r="F56" s="36"/>
      <c r="G56" s="36" t="str">
        <f t="shared" si="1"/>
        <v/>
      </c>
      <c r="H56" s="5" t="str">
        <f>IF(B56="","",IF(IFERROR(MATCH(B56,'Advances_JUN-2025'!B:B,0),0)&gt;0,"C/F","NEW"))</f>
        <v/>
      </c>
    </row>
    <row r="57">
      <c r="A57" s="37"/>
      <c r="B57" s="37"/>
      <c r="C57" s="37"/>
      <c r="D57" s="37"/>
      <c r="E57" s="36"/>
      <c r="F57" s="36"/>
      <c r="G57" s="36" t="str">
        <f t="shared" si="1"/>
        <v/>
      </c>
      <c r="H57" s="5" t="str">
        <f>IF(B57="","",IF(IFERROR(MATCH(B57,'Advances_JUN-2025'!B:B,0),0)&gt;0,"C/F","NEW"))</f>
        <v/>
      </c>
    </row>
    <row r="58">
      <c r="A58" s="37"/>
      <c r="B58" s="37"/>
      <c r="C58" s="37"/>
      <c r="D58" s="37"/>
      <c r="E58" s="36"/>
      <c r="F58" s="36"/>
      <c r="G58" s="36" t="str">
        <f t="shared" si="1"/>
        <v/>
      </c>
      <c r="H58" s="5" t="str">
        <f>IF(B58="","",IF(IFERROR(MATCH(B58,'Advances_JUN-2025'!B:B,0),0)&gt;0,"C/F","NEW"))</f>
        <v/>
      </c>
    </row>
    <row r="59">
      <c r="A59" s="37"/>
      <c r="B59" s="37"/>
      <c r="C59" s="37"/>
      <c r="D59" s="37"/>
      <c r="E59" s="36"/>
      <c r="F59" s="36"/>
      <c r="G59" s="36" t="str">
        <f t="shared" si="1"/>
        <v/>
      </c>
      <c r="H59" s="5" t="str">
        <f>IF(B59="","",IF(IFERROR(MATCH(B59,'Advances_JUN-2025'!B:B,0),0)&gt;0,"C/F","NEW"))</f>
        <v/>
      </c>
    </row>
    <row r="60">
      <c r="A60" s="37"/>
      <c r="B60" s="37"/>
      <c r="C60" s="37"/>
      <c r="D60" s="37"/>
      <c r="E60" s="36"/>
      <c r="F60" s="36"/>
      <c r="G60" s="36" t="str">
        <f t="shared" si="1"/>
        <v/>
      </c>
      <c r="H60" s="5" t="str">
        <f>IF(B60="","",IF(IFERROR(MATCH(B60,'Advances_JUN-2025'!B:B,0),0)&gt;0,"C/F","NEW"))</f>
        <v/>
      </c>
    </row>
    <row r="61">
      <c r="A61" s="37"/>
      <c r="B61" s="37"/>
      <c r="C61" s="37"/>
      <c r="D61" s="37"/>
      <c r="E61" s="36"/>
      <c r="F61" s="36"/>
      <c r="G61" s="36" t="str">
        <f t="shared" si="1"/>
        <v/>
      </c>
      <c r="H61" s="5" t="str">
        <f>IF(B61="","",IF(IFERROR(MATCH(B61,'Advances_JUN-2025'!B:B,0),0)&gt;0,"C/F","NEW"))</f>
        <v/>
      </c>
    </row>
    <row r="62">
      <c r="A62" s="37"/>
      <c r="B62" s="37"/>
      <c r="C62" s="37"/>
      <c r="D62" s="37"/>
      <c r="E62" s="36"/>
      <c r="F62" s="36"/>
      <c r="G62" s="36" t="str">
        <f t="shared" si="1"/>
        <v/>
      </c>
      <c r="H62" s="5" t="str">
        <f>IF(B62="","",IF(IFERROR(MATCH(B62,'Advances_JUN-2025'!B:B,0),0)&gt;0,"C/F","NEW"))</f>
        <v/>
      </c>
    </row>
    <row r="63">
      <c r="A63" s="37"/>
      <c r="B63" s="37"/>
      <c r="C63" s="37"/>
      <c r="D63" s="37"/>
      <c r="E63" s="36"/>
      <c r="F63" s="36"/>
      <c r="G63" s="36" t="str">
        <f t="shared" si="1"/>
        <v/>
      </c>
      <c r="H63" s="5" t="str">
        <f>IF(B63="","",IF(IFERROR(MATCH(B63,'Advances_JUN-2025'!B:B,0),0)&gt;0,"C/F","NEW"))</f>
        <v/>
      </c>
    </row>
    <row r="64">
      <c r="A64" s="37"/>
      <c r="B64" s="37"/>
      <c r="C64" s="37"/>
      <c r="D64" s="37"/>
      <c r="E64" s="36"/>
      <c r="F64" s="36"/>
      <c r="G64" s="36" t="str">
        <f t="shared" si="1"/>
        <v/>
      </c>
      <c r="H64" s="5" t="str">
        <f>IF(B64="","",IF(IFERROR(MATCH(B64,'Advances_JUN-2025'!B:B,0),0)&gt;0,"C/F","NEW"))</f>
        <v/>
      </c>
    </row>
    <row r="65">
      <c r="A65" s="37"/>
      <c r="B65" s="37"/>
      <c r="C65" s="37"/>
      <c r="D65" s="37"/>
      <c r="E65" s="36"/>
      <c r="F65" s="36"/>
      <c r="G65" s="36" t="str">
        <f t="shared" si="1"/>
        <v/>
      </c>
      <c r="H65" s="5" t="str">
        <f>IF(B65="","",IF(IFERROR(MATCH(B65,'Advances_JUN-2025'!B:B,0),0)&gt;0,"C/F","NEW"))</f>
        <v/>
      </c>
    </row>
    <row r="66">
      <c r="A66" s="37"/>
      <c r="B66" s="37"/>
      <c r="C66" s="37"/>
      <c r="D66" s="37"/>
      <c r="E66" s="36"/>
      <c r="F66" s="36"/>
      <c r="G66" s="36" t="str">
        <f t="shared" si="1"/>
        <v/>
      </c>
      <c r="H66" s="5" t="str">
        <f>IF(B66="","",IF(IFERROR(MATCH(B66,'Advances_JUN-2025'!B:B,0),0)&gt;0,"C/F","NEW"))</f>
        <v/>
      </c>
    </row>
    <row r="67">
      <c r="A67" s="37"/>
      <c r="B67" s="37"/>
      <c r="C67" s="37"/>
      <c r="D67" s="37"/>
      <c r="E67" s="36"/>
      <c r="F67" s="36"/>
      <c r="G67" s="36" t="str">
        <f t="shared" si="1"/>
        <v/>
      </c>
      <c r="H67" s="5" t="str">
        <f>IF(B67="","",IF(IFERROR(MATCH(B67,'Advances_JUN-2025'!B:B,0),0)&gt;0,"C/F","NEW"))</f>
        <v/>
      </c>
    </row>
    <row r="68">
      <c r="A68" s="37"/>
      <c r="B68" s="37"/>
      <c r="C68" s="37"/>
      <c r="D68" s="37"/>
      <c r="E68" s="36"/>
      <c r="F68" s="36"/>
      <c r="G68" s="36" t="str">
        <f t="shared" si="1"/>
        <v/>
      </c>
      <c r="H68" s="5" t="str">
        <f>IF(B68="","",IF(IFERROR(MATCH(B68,'Advances_JUN-2025'!B:B,0),0)&gt;0,"C/F","NEW"))</f>
        <v/>
      </c>
    </row>
    <row r="69">
      <c r="A69" s="37"/>
      <c r="B69" s="37"/>
      <c r="C69" s="37"/>
      <c r="D69" s="37"/>
      <c r="E69" s="36"/>
      <c r="F69" s="36"/>
      <c r="G69" s="36" t="str">
        <f t="shared" si="1"/>
        <v/>
      </c>
      <c r="H69" s="5" t="str">
        <f>IF(B69="","",IF(IFERROR(MATCH(B69,'Advances_JUN-2025'!B:B,0),0)&gt;0,"C/F","NEW"))</f>
        <v/>
      </c>
    </row>
    <row r="70">
      <c r="A70" s="37"/>
      <c r="B70" s="37"/>
      <c r="C70" s="37"/>
      <c r="D70" s="37"/>
      <c r="E70" s="36"/>
      <c r="F70" s="36"/>
      <c r="G70" s="36" t="str">
        <f t="shared" si="1"/>
        <v/>
      </c>
      <c r="H70" s="5" t="str">
        <f>IF(B70="","",IF(IFERROR(MATCH(B70,'Advances_JUN-2025'!B:B,0),0)&gt;0,"C/F","NEW"))</f>
        <v/>
      </c>
    </row>
    <row r="71">
      <c r="A71" s="37"/>
      <c r="B71" s="37"/>
      <c r="C71" s="37"/>
      <c r="D71" s="37"/>
      <c r="E71" s="36"/>
      <c r="F71" s="36"/>
      <c r="G71" s="36" t="str">
        <f t="shared" si="1"/>
        <v/>
      </c>
      <c r="H71" s="5" t="str">
        <f>IF(B71="","",IF(IFERROR(MATCH(B71,'Advances_JUN-2025'!B:B,0),0)&gt;0,"C/F","NEW"))</f>
        <v/>
      </c>
    </row>
    <row r="72">
      <c r="A72" s="37"/>
      <c r="B72" s="37"/>
      <c r="C72" s="37"/>
      <c r="D72" s="37"/>
      <c r="E72" s="36"/>
      <c r="F72" s="36"/>
      <c r="G72" s="36" t="str">
        <f t="shared" si="1"/>
        <v/>
      </c>
      <c r="H72" s="5" t="str">
        <f>IF(B72="","",IF(IFERROR(MATCH(B72,'Advances_JUN-2025'!B:B,0),0)&gt;0,"C/F","NEW"))</f>
        <v/>
      </c>
    </row>
    <row r="73">
      <c r="A73" s="37"/>
      <c r="B73" s="37"/>
      <c r="C73" s="37"/>
      <c r="D73" s="37"/>
      <c r="E73" s="36"/>
      <c r="F73" s="36"/>
      <c r="G73" s="36" t="str">
        <f t="shared" si="1"/>
        <v/>
      </c>
      <c r="H73" s="5" t="str">
        <f>IF(B73="","",IF(IFERROR(MATCH(B73,'Advances_JUN-2025'!B:B,0),0)&gt;0,"C/F","NEW"))</f>
        <v/>
      </c>
    </row>
    <row r="74">
      <c r="A74" s="37"/>
      <c r="B74" s="37"/>
      <c r="C74" s="37"/>
      <c r="D74" s="37"/>
      <c r="E74" s="36"/>
      <c r="F74" s="36"/>
      <c r="G74" s="36" t="str">
        <f t="shared" si="1"/>
        <v/>
      </c>
      <c r="H74" s="5" t="str">
        <f>IF(B74="","",IF(IFERROR(MATCH(B74,'Advances_JUN-2025'!B:B,0),0)&gt;0,"C/F","NEW"))</f>
        <v/>
      </c>
    </row>
    <row r="75">
      <c r="A75" s="37"/>
      <c r="B75" s="37"/>
      <c r="C75" s="37"/>
      <c r="D75" s="37"/>
      <c r="E75" s="36"/>
      <c r="F75" s="36"/>
      <c r="G75" s="36" t="str">
        <f t="shared" si="1"/>
        <v/>
      </c>
      <c r="H75" s="5" t="str">
        <f>IF(B75="","",IF(IFERROR(MATCH(B75,'Advances_JUN-2025'!B:B,0),0)&gt;0,"C/F","NEW"))</f>
        <v/>
      </c>
    </row>
    <row r="76">
      <c r="A76" s="37"/>
      <c r="B76" s="37"/>
      <c r="C76" s="37"/>
      <c r="D76" s="37"/>
      <c r="E76" s="36"/>
      <c r="F76" s="36"/>
      <c r="G76" s="36" t="str">
        <f t="shared" si="1"/>
        <v/>
      </c>
      <c r="H76" s="5" t="str">
        <f>IF(B76="","",IF(IFERROR(MATCH(B76,'Advances_JUN-2025'!B:B,0),0)&gt;0,"C/F","NEW"))</f>
        <v/>
      </c>
    </row>
    <row r="77">
      <c r="A77" s="37"/>
      <c r="B77" s="37"/>
      <c r="C77" s="37"/>
      <c r="D77" s="37"/>
      <c r="E77" s="36"/>
      <c r="F77" s="36"/>
      <c r="G77" s="36" t="str">
        <f t="shared" si="1"/>
        <v/>
      </c>
      <c r="H77" s="5" t="str">
        <f>IF(B77="","",IF(IFERROR(MATCH(B77,'Advances_JUN-2025'!B:B,0),0)&gt;0,"C/F","NEW"))</f>
        <v/>
      </c>
    </row>
    <row r="78">
      <c r="A78" s="37"/>
      <c r="B78" s="37"/>
      <c r="C78" s="37"/>
      <c r="D78" s="37"/>
      <c r="E78" s="36"/>
      <c r="F78" s="36"/>
      <c r="G78" s="36" t="str">
        <f t="shared" si="1"/>
        <v/>
      </c>
      <c r="H78" s="5" t="str">
        <f>IF(B78="","",IF(IFERROR(MATCH(B78,'Advances_JUN-2025'!B:B,0),0)&gt;0,"C/F","NEW"))</f>
        <v/>
      </c>
    </row>
    <row r="79">
      <c r="A79" s="37"/>
      <c r="B79" s="37"/>
      <c r="C79" s="37"/>
      <c r="D79" s="37"/>
      <c r="E79" s="36"/>
      <c r="F79" s="36"/>
      <c r="G79" s="36" t="str">
        <f t="shared" si="1"/>
        <v/>
      </c>
      <c r="H79" s="5" t="str">
        <f>IF(B79="","",IF(IFERROR(MATCH(B79,'Advances_JUN-2025'!B:B,0),0)&gt;0,"C/F","NEW"))</f>
        <v/>
      </c>
    </row>
    <row r="80">
      <c r="A80" s="37"/>
      <c r="B80" s="37"/>
      <c r="C80" s="37"/>
      <c r="D80" s="37"/>
      <c r="E80" s="36"/>
      <c r="F80" s="36"/>
      <c r="G80" s="36" t="str">
        <f t="shared" si="1"/>
        <v/>
      </c>
      <c r="H80" s="5" t="str">
        <f>IF(B80="","",IF(IFERROR(MATCH(B80,'Advances_JUN-2025'!B:B,0),0)&gt;0,"C/F","NEW"))</f>
        <v/>
      </c>
    </row>
    <row r="81">
      <c r="A81" s="37"/>
      <c r="B81" s="37"/>
      <c r="C81" s="37"/>
      <c r="D81" s="37"/>
      <c r="E81" s="36"/>
      <c r="F81" s="36"/>
      <c r="G81" s="36" t="str">
        <f t="shared" si="1"/>
        <v/>
      </c>
      <c r="H81" s="5" t="str">
        <f>IF(B81="","",IF(IFERROR(MATCH(B81,'Advances_JUN-2025'!B:B,0),0)&gt;0,"C/F","NEW"))</f>
        <v/>
      </c>
    </row>
    <row r="82">
      <c r="A82" s="37"/>
      <c r="B82" s="37"/>
      <c r="C82" s="37"/>
      <c r="D82" s="37"/>
      <c r="E82" s="36"/>
      <c r="F82" s="36"/>
      <c r="G82" s="36" t="str">
        <f t="shared" si="1"/>
        <v/>
      </c>
      <c r="H82" s="5" t="str">
        <f>IF(B82="","",IF(IFERROR(MATCH(B82,'Advances_JUN-2025'!B:B,0),0)&gt;0,"C/F","NEW"))</f>
        <v/>
      </c>
    </row>
    <row r="83">
      <c r="A83" s="37"/>
      <c r="B83" s="37"/>
      <c r="C83" s="37"/>
      <c r="D83" s="37"/>
      <c r="E83" s="36"/>
      <c r="F83" s="36"/>
      <c r="G83" s="36" t="str">
        <f t="shared" si="1"/>
        <v/>
      </c>
      <c r="H83" s="5" t="str">
        <f>IF(B83="","",IF(IFERROR(MATCH(B83,'Advances_JUN-2025'!B:B,0),0)&gt;0,"C/F","NEW"))</f>
        <v/>
      </c>
    </row>
    <row r="84">
      <c r="A84" s="37"/>
      <c r="B84" s="37"/>
      <c r="C84" s="37"/>
      <c r="D84" s="37"/>
      <c r="E84" s="36"/>
      <c r="F84" s="36"/>
      <c r="G84" s="36" t="str">
        <f t="shared" si="1"/>
        <v/>
      </c>
      <c r="H84" s="5" t="str">
        <f>IF(B84="","",IF(IFERROR(MATCH(B84,'Advances_JUN-2025'!B:B,0),0)&gt;0,"C/F","NEW"))</f>
        <v/>
      </c>
    </row>
    <row r="85">
      <c r="A85" s="37"/>
      <c r="B85" s="37"/>
      <c r="C85" s="37"/>
      <c r="D85" s="37"/>
      <c r="E85" s="36"/>
      <c r="F85" s="36"/>
      <c r="G85" s="36" t="str">
        <f t="shared" si="1"/>
        <v/>
      </c>
      <c r="H85" s="5" t="str">
        <f>IF(B85="","",IF(IFERROR(MATCH(B85,'Advances_JUN-2025'!B:B,0),0)&gt;0,"C/F","NEW"))</f>
        <v/>
      </c>
    </row>
    <row r="86">
      <c r="A86" s="37"/>
      <c r="B86" s="37"/>
      <c r="C86" s="37"/>
      <c r="D86" s="37"/>
      <c r="E86" s="36"/>
      <c r="F86" s="36"/>
      <c r="G86" s="36" t="str">
        <f t="shared" si="1"/>
        <v/>
      </c>
      <c r="H86" s="5" t="str">
        <f>IF(B86="","",IF(IFERROR(MATCH(B86,'Advances_JUN-2025'!B:B,0),0)&gt;0,"C/F","NEW"))</f>
        <v/>
      </c>
    </row>
    <row r="87">
      <c r="A87" s="37"/>
      <c r="B87" s="37"/>
      <c r="C87" s="37"/>
      <c r="D87" s="37"/>
      <c r="E87" s="36"/>
      <c r="F87" s="36"/>
      <c r="G87" s="36" t="str">
        <f t="shared" si="1"/>
        <v/>
      </c>
      <c r="H87" s="5" t="str">
        <f>IF(B87="","",IF(IFERROR(MATCH(B87,'Advances_JUN-2025'!B:B,0),0)&gt;0,"C/F","NEW"))</f>
        <v/>
      </c>
    </row>
    <row r="88">
      <c r="A88" s="37"/>
      <c r="B88" s="37"/>
      <c r="C88" s="37"/>
      <c r="D88" s="37"/>
      <c r="E88" s="36"/>
      <c r="F88" s="36"/>
      <c r="G88" s="36" t="str">
        <f t="shared" si="1"/>
        <v/>
      </c>
      <c r="H88" s="5" t="str">
        <f>IF(B88="","",IF(IFERROR(MATCH(B88,'Advances_JUN-2025'!B:B,0),0)&gt;0,"C/F","NEW"))</f>
        <v/>
      </c>
    </row>
    <row r="89">
      <c r="A89" s="37"/>
      <c r="B89" s="37"/>
      <c r="C89" s="37"/>
      <c r="D89" s="37"/>
      <c r="E89" s="36"/>
      <c r="F89" s="36"/>
      <c r="G89" s="36" t="str">
        <f t="shared" si="1"/>
        <v/>
      </c>
      <c r="H89" s="5" t="str">
        <f>IF(B89="","",IF(IFERROR(MATCH(B89,'Advances_JUN-2025'!B:B,0),0)&gt;0,"C/F","NEW"))</f>
        <v/>
      </c>
    </row>
    <row r="90">
      <c r="A90" s="37"/>
      <c r="B90" s="37"/>
      <c r="C90" s="37"/>
      <c r="D90" s="37"/>
      <c r="E90" s="36"/>
      <c r="F90" s="36"/>
      <c r="G90" s="36" t="str">
        <f t="shared" si="1"/>
        <v/>
      </c>
      <c r="H90" s="5" t="str">
        <f>IF(B90="","",IF(IFERROR(MATCH(B90,'Advances_JUN-2025'!B:B,0),0)&gt;0,"C/F","NEW"))</f>
        <v/>
      </c>
    </row>
    <row r="91">
      <c r="A91" s="37"/>
      <c r="B91" s="37"/>
      <c r="C91" s="37"/>
      <c r="D91" s="37"/>
      <c r="E91" s="36"/>
      <c r="F91" s="36"/>
      <c r="G91" s="36" t="str">
        <f t="shared" si="1"/>
        <v/>
      </c>
      <c r="H91" s="5" t="str">
        <f>IF(B91="","",IF(IFERROR(MATCH(B91,'Advances_JUN-2025'!B:B,0),0)&gt;0,"C/F","NEW"))</f>
        <v/>
      </c>
    </row>
    <row r="92">
      <c r="A92" s="37"/>
      <c r="B92" s="37"/>
      <c r="C92" s="37"/>
      <c r="D92" s="37"/>
      <c r="E92" s="36"/>
      <c r="F92" s="36"/>
      <c r="G92" s="36" t="str">
        <f t="shared" si="1"/>
        <v/>
      </c>
      <c r="H92" s="5" t="str">
        <f>IF(B92="","",IF(IFERROR(MATCH(B92,'Advances_JUN-2025'!B:B,0),0)&gt;0,"C/F","NEW"))</f>
        <v/>
      </c>
    </row>
    <row r="93">
      <c r="A93" s="37"/>
      <c r="B93" s="37"/>
      <c r="C93" s="37"/>
      <c r="D93" s="37"/>
      <c r="E93" s="36"/>
      <c r="F93" s="36"/>
      <c r="G93" s="36" t="str">
        <f t="shared" si="1"/>
        <v/>
      </c>
      <c r="H93" s="5" t="str">
        <f>IF(B93="","",IF(IFERROR(MATCH(B93,'Advances_JUN-2025'!B:B,0),0)&gt;0,"C/F","NEW"))</f>
        <v/>
      </c>
    </row>
    <row r="94">
      <c r="A94" s="37"/>
      <c r="B94" s="37"/>
      <c r="C94" s="37"/>
      <c r="D94" s="37"/>
      <c r="E94" s="36"/>
      <c r="F94" s="36"/>
      <c r="G94" s="36" t="str">
        <f t="shared" si="1"/>
        <v/>
      </c>
      <c r="H94" s="5" t="str">
        <f>IF(B94="","",IF(IFERROR(MATCH(B94,'Advances_JUN-2025'!B:B,0),0)&gt;0,"C/F","NEW"))</f>
        <v/>
      </c>
    </row>
    <row r="95">
      <c r="A95" s="37"/>
      <c r="B95" s="37"/>
      <c r="C95" s="37"/>
      <c r="D95" s="37"/>
      <c r="E95" s="36"/>
      <c r="F95" s="36"/>
      <c r="G95" s="36" t="str">
        <f t="shared" si="1"/>
        <v/>
      </c>
      <c r="H95" s="5" t="str">
        <f>IF(B95="","",IF(IFERROR(MATCH(B95,'Advances_JUN-2025'!B:B,0),0)&gt;0,"C/F","NEW"))</f>
        <v/>
      </c>
    </row>
    <row r="96">
      <c r="A96" s="37"/>
      <c r="B96" s="37"/>
      <c r="C96" s="37"/>
      <c r="D96" s="37"/>
      <c r="E96" s="36"/>
      <c r="F96" s="36"/>
      <c r="G96" s="36" t="str">
        <f t="shared" si="1"/>
        <v/>
      </c>
      <c r="H96" s="5" t="str">
        <f>IF(B96="","",IF(IFERROR(MATCH(B96,'Advances_JUN-2025'!B:B,0),0)&gt;0,"C/F","NEW"))</f>
        <v/>
      </c>
    </row>
    <row r="97">
      <c r="A97" s="37"/>
      <c r="B97" s="37"/>
      <c r="C97" s="37"/>
      <c r="D97" s="37"/>
      <c r="E97" s="36"/>
      <c r="F97" s="36"/>
      <c r="G97" s="36" t="str">
        <f t="shared" si="1"/>
        <v/>
      </c>
      <c r="H97" s="5" t="str">
        <f>IF(B97="","",IF(IFERROR(MATCH(B97,'Advances_JUN-2025'!B:B,0),0)&gt;0,"C/F","NEW"))</f>
        <v/>
      </c>
    </row>
    <row r="98">
      <c r="A98" s="37"/>
      <c r="B98" s="37"/>
      <c r="C98" s="37"/>
      <c r="D98" s="37"/>
      <c r="E98" s="36"/>
      <c r="F98" s="36"/>
      <c r="G98" s="36" t="str">
        <f t="shared" si="1"/>
        <v/>
      </c>
      <c r="H98" s="5" t="str">
        <f>IF(B98="","",IF(IFERROR(MATCH(B98,'Advances_JUN-2025'!B:B,0),0)&gt;0,"C/F","NEW"))</f>
        <v/>
      </c>
    </row>
    <row r="99">
      <c r="A99" s="37"/>
      <c r="B99" s="37"/>
      <c r="C99" s="37"/>
      <c r="D99" s="37"/>
      <c r="E99" s="36"/>
      <c r="F99" s="36"/>
      <c r="G99" s="36" t="str">
        <f t="shared" si="1"/>
        <v/>
      </c>
      <c r="H99" s="5" t="str">
        <f>IF(B99="","",IF(IFERROR(MATCH(B99,'Advances_JUN-2025'!B:B,0),0)&gt;0,"C/F","NEW"))</f>
        <v/>
      </c>
    </row>
    <row r="100">
      <c r="A100" s="37"/>
      <c r="B100" s="37"/>
      <c r="C100" s="37"/>
      <c r="D100" s="37"/>
      <c r="E100" s="36"/>
      <c r="F100" s="36"/>
      <c r="G100" s="36" t="str">
        <f t="shared" si="1"/>
        <v/>
      </c>
      <c r="H100" s="5" t="str">
        <f>IF(B100="","",IF(IFERROR(MATCH(B100,'Advances_JUN-2025'!B:B,0),0)&gt;0,"C/F","NEW"))</f>
        <v/>
      </c>
    </row>
    <row r="101">
      <c r="A101" s="37"/>
      <c r="B101" s="37"/>
      <c r="C101" s="37"/>
      <c r="D101" s="37"/>
      <c r="E101" s="36"/>
      <c r="F101" s="36"/>
      <c r="G101" s="36"/>
    </row>
    <row r="102">
      <c r="A102" s="53" t="s">
        <v>59</v>
      </c>
      <c r="B102" s="54"/>
      <c r="C102" s="54"/>
      <c r="D102" s="54"/>
      <c r="E102" s="55">
        <f t="shared" ref="E102:F102" si="2">SUM(E7:E101)</f>
        <v>288774.55</v>
      </c>
      <c r="F102" s="55">
        <f t="shared" si="2"/>
        <v>0</v>
      </c>
      <c r="G102" s="56"/>
    </row>
  </sheetData>
  <mergeCells count="2">
    <mergeCell ref="A1:G1"/>
    <mergeCell ref="A5:G5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2531</v>
      </c>
    </row>
    <row r="3">
      <c r="A3" s="33" t="s">
        <v>95</v>
      </c>
      <c r="B3" s="33" t="s">
        <v>23</v>
      </c>
      <c r="C3" s="33" t="s">
        <v>24</v>
      </c>
      <c r="D3" s="33" t="s">
        <v>25</v>
      </c>
      <c r="E3" s="33" t="s">
        <v>26</v>
      </c>
      <c r="F3" s="33" t="s">
        <v>27</v>
      </c>
      <c r="G3" s="33" t="s">
        <v>96</v>
      </c>
    </row>
    <row r="4">
      <c r="A4" s="34" t="s">
        <v>72</v>
      </c>
      <c r="B4" s="35">
        <v>707667.51</v>
      </c>
      <c r="C4" s="66">
        <v>592616.34</v>
      </c>
      <c r="D4" s="66">
        <v>2688.73</v>
      </c>
      <c r="E4" s="66">
        <v>1097446.62</v>
      </c>
      <c r="F4" s="36">
        <f t="shared" ref="F4:F7" si="1">B4+C4-D4-E4</f>
        <v>200148.5</v>
      </c>
      <c r="G4" s="37"/>
    </row>
    <row r="5">
      <c r="A5" s="34" t="s">
        <v>74</v>
      </c>
      <c r="B5" s="35">
        <v>318757.4499999999</v>
      </c>
      <c r="C5" s="66">
        <v>120874.1</v>
      </c>
      <c r="D5" s="66">
        <v>35.0</v>
      </c>
      <c r="E5" s="66">
        <v>0.0</v>
      </c>
      <c r="F5" s="36">
        <f t="shared" si="1"/>
        <v>439596.55</v>
      </c>
      <c r="G5" s="37"/>
    </row>
    <row r="6">
      <c r="A6" s="34" t="s">
        <v>76</v>
      </c>
      <c r="B6" s="35">
        <v>811819.6200000001</v>
      </c>
      <c r="C6" s="66">
        <v>503312.43</v>
      </c>
      <c r="D6" s="66">
        <v>345.0</v>
      </c>
      <c r="E6" s="67">
        <v>0.0</v>
      </c>
      <c r="F6" s="36">
        <f t="shared" si="1"/>
        <v>1314787.05</v>
      </c>
      <c r="G6" s="37"/>
    </row>
    <row r="7">
      <c r="A7" s="34" t="s">
        <v>97</v>
      </c>
      <c r="B7" s="35">
        <v>87092.36999999965</v>
      </c>
      <c r="C7" s="66">
        <v>985229.55</v>
      </c>
      <c r="D7" s="66">
        <v>132.25</v>
      </c>
      <c r="E7" s="66">
        <v>396995.48</v>
      </c>
      <c r="F7" s="36">
        <f t="shared" si="1"/>
        <v>675194.19</v>
      </c>
      <c r="G7" s="37"/>
    </row>
    <row r="8">
      <c r="A8" s="37"/>
      <c r="B8" s="36"/>
      <c r="C8" s="36"/>
      <c r="D8" s="36"/>
      <c r="E8" s="36"/>
      <c r="F8" s="36"/>
      <c r="G8" s="37"/>
    </row>
    <row r="9">
      <c r="A9" s="38" t="s">
        <v>98</v>
      </c>
      <c r="B9" s="39">
        <f t="shared" ref="B9:F9" si="2">SUM(B4:B7)</f>
        <v>1925336.95</v>
      </c>
      <c r="C9" s="39">
        <f t="shared" si="2"/>
        <v>2202032.42</v>
      </c>
      <c r="D9" s="39">
        <f t="shared" si="2"/>
        <v>3200.98</v>
      </c>
      <c r="E9" s="39">
        <f t="shared" si="2"/>
        <v>1494442.1</v>
      </c>
      <c r="F9" s="39">
        <f t="shared" si="2"/>
        <v>2629726.29</v>
      </c>
      <c r="G9" s="40"/>
    </row>
    <row r="10">
      <c r="B10" s="6"/>
      <c r="C10" s="6"/>
      <c r="D10" s="6"/>
      <c r="E10" s="6"/>
      <c r="F10" s="6"/>
    </row>
    <row r="11">
      <c r="A11" s="28" t="s">
        <v>99</v>
      </c>
    </row>
    <row r="12">
      <c r="A12" s="41" t="s">
        <v>95</v>
      </c>
      <c r="B12" s="42" t="s">
        <v>100</v>
      </c>
      <c r="C12" s="42" t="s">
        <v>101</v>
      </c>
      <c r="D12" s="42" t="s">
        <v>102</v>
      </c>
      <c r="E12" s="42" t="s">
        <v>103</v>
      </c>
      <c r="F12" s="42" t="s">
        <v>104</v>
      </c>
      <c r="G12" s="41" t="s">
        <v>96</v>
      </c>
    </row>
    <row r="13">
      <c r="A13" s="34" t="s">
        <v>78</v>
      </c>
      <c r="B13" s="35">
        <v>371.25</v>
      </c>
      <c r="C13" s="36"/>
      <c r="D13" s="36"/>
      <c r="E13" s="36"/>
      <c r="F13" s="36">
        <f>B13+C13-D13-E13</f>
        <v>371.25</v>
      </c>
      <c r="G13" s="37"/>
    </row>
    <row r="14">
      <c r="A14" s="37"/>
      <c r="B14" s="36"/>
      <c r="C14" s="36"/>
      <c r="D14" s="36"/>
      <c r="E14" s="36"/>
      <c r="F14" s="36"/>
      <c r="G14" s="37"/>
    </row>
    <row r="15">
      <c r="A15" s="38" t="s">
        <v>105</v>
      </c>
      <c r="B15" s="39">
        <f t="shared" ref="B15:F15" si="3">SUM(B13)</f>
        <v>371.25</v>
      </c>
      <c r="C15" s="39">
        <f t="shared" si="3"/>
        <v>0</v>
      </c>
      <c r="D15" s="39">
        <f t="shared" si="3"/>
        <v>0</v>
      </c>
      <c r="E15" s="39">
        <f t="shared" si="3"/>
        <v>0</v>
      </c>
      <c r="F15" s="39">
        <f t="shared" si="3"/>
        <v>371.25</v>
      </c>
      <c r="G15" s="40"/>
    </row>
    <row r="16">
      <c r="B16" s="6"/>
      <c r="C16" s="6"/>
      <c r="D16" s="6"/>
      <c r="E16" s="6"/>
      <c r="F16" s="6"/>
    </row>
    <row r="17">
      <c r="A17" s="43" t="s">
        <v>106</v>
      </c>
      <c r="B17" s="44">
        <f t="shared" ref="B17:F17" si="4">B9+B15*3.75</f>
        <v>1926729.138</v>
      </c>
      <c r="C17" s="44">
        <f t="shared" si="4"/>
        <v>2202032.42</v>
      </c>
      <c r="D17" s="44">
        <f t="shared" si="4"/>
        <v>3200.98</v>
      </c>
      <c r="E17" s="44">
        <f t="shared" si="4"/>
        <v>1494442.1</v>
      </c>
      <c r="F17" s="44">
        <f t="shared" si="4"/>
        <v>2631118.478</v>
      </c>
      <c r="G17" s="45"/>
    </row>
    <row r="19">
      <c r="A19" s="46" t="s">
        <v>107</v>
      </c>
      <c r="B19" s="47"/>
      <c r="C19" s="48"/>
    </row>
    <row r="20">
      <c r="A20" s="34" t="s">
        <v>108</v>
      </c>
      <c r="B20" s="37"/>
      <c r="C20" s="49">
        <f>F17</f>
        <v>2631118.478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66.13"/>
    <col customWidth="1" min="4" max="7" width="15.13"/>
  </cols>
  <sheetData>
    <row r="1">
      <c r="A1" s="23" t="s">
        <v>2532</v>
      </c>
    </row>
    <row r="3">
      <c r="A3" s="57" t="s">
        <v>110</v>
      </c>
      <c r="B3" s="58">
        <v>-149060.68000000023</v>
      </c>
      <c r="D3" s="57" t="s">
        <v>111</v>
      </c>
      <c r="E3" s="59">
        <f>-17267.64+SUM(E7:E110)-SUM(F7:F111)</f>
        <v>-181912.71</v>
      </c>
    </row>
    <row r="5">
      <c r="A5" s="7" t="s">
        <v>121</v>
      </c>
    </row>
    <row r="6">
      <c r="A6" s="41" t="s">
        <v>113</v>
      </c>
      <c r="B6" s="41" t="s">
        <v>122</v>
      </c>
      <c r="C6" s="41" t="s">
        <v>115</v>
      </c>
      <c r="D6" s="41" t="s">
        <v>123</v>
      </c>
      <c r="E6" s="41" t="s">
        <v>124</v>
      </c>
      <c r="F6" s="41" t="s">
        <v>125</v>
      </c>
      <c r="G6" s="41" t="s">
        <v>119</v>
      </c>
    </row>
    <row r="7">
      <c r="A7" s="60" t="s">
        <v>1066</v>
      </c>
      <c r="B7" s="60" t="s">
        <v>1164</v>
      </c>
      <c r="C7" s="60" t="s">
        <v>1165</v>
      </c>
      <c r="D7" s="37"/>
      <c r="E7" s="68">
        <v>0.0</v>
      </c>
      <c r="F7" s="68">
        <v>1.0</v>
      </c>
      <c r="G7" s="36">
        <f>IF(AND(E7="",F7=""),"",B3+E7-F7)</f>
        <v>-149061.68</v>
      </c>
    </row>
    <row r="8">
      <c r="A8" s="60" t="s">
        <v>1166</v>
      </c>
      <c r="B8" s="60" t="s">
        <v>1167</v>
      </c>
      <c r="C8" s="60" t="s">
        <v>1168</v>
      </c>
      <c r="D8" s="37"/>
      <c r="E8" s="68">
        <v>0.0</v>
      </c>
      <c r="F8" s="68">
        <v>2550.0</v>
      </c>
      <c r="G8" s="36">
        <f t="shared" ref="G8:G111" si="1">IF(AND(E8="",F8=""),"",G7+E8-F8)</f>
        <v>-151611.68</v>
      </c>
    </row>
    <row r="9">
      <c r="A9" s="69">
        <v>45690.0</v>
      </c>
      <c r="B9" s="60" t="s">
        <v>1169</v>
      </c>
      <c r="C9" s="60" t="s">
        <v>1160</v>
      </c>
      <c r="D9" s="37"/>
      <c r="E9" s="68">
        <v>0.0</v>
      </c>
      <c r="F9" s="68">
        <v>2500.0</v>
      </c>
      <c r="G9" s="36">
        <f t="shared" si="1"/>
        <v>-154111.68</v>
      </c>
    </row>
    <row r="10">
      <c r="A10" s="69">
        <v>45750.0</v>
      </c>
      <c r="B10" s="60" t="s">
        <v>1170</v>
      </c>
      <c r="C10" s="60" t="s">
        <v>1160</v>
      </c>
      <c r="D10" s="37"/>
      <c r="E10" s="68">
        <v>0.0</v>
      </c>
      <c r="F10" s="68">
        <v>2000.0</v>
      </c>
      <c r="G10" s="36">
        <f t="shared" si="1"/>
        <v>-156111.68</v>
      </c>
    </row>
    <row r="11">
      <c r="A11" s="63" t="s">
        <v>1171</v>
      </c>
      <c r="B11" s="85"/>
      <c r="C11" s="60" t="s">
        <v>1172</v>
      </c>
      <c r="D11" s="37"/>
      <c r="E11" s="68">
        <v>201.0</v>
      </c>
      <c r="F11" s="68">
        <v>0.0</v>
      </c>
      <c r="G11" s="36">
        <f t="shared" si="1"/>
        <v>-155910.68</v>
      </c>
    </row>
    <row r="12">
      <c r="A12" s="69">
        <v>45873.0</v>
      </c>
      <c r="B12" s="60" t="s">
        <v>1173</v>
      </c>
      <c r="C12" s="60" t="s">
        <v>1160</v>
      </c>
      <c r="D12" s="37"/>
      <c r="E12" s="68">
        <v>0.0</v>
      </c>
      <c r="F12" s="68">
        <v>1500.0</v>
      </c>
      <c r="G12" s="36">
        <f t="shared" si="1"/>
        <v>-157410.68</v>
      </c>
    </row>
    <row r="13">
      <c r="A13" s="69">
        <v>45965.0</v>
      </c>
      <c r="B13" s="60" t="s">
        <v>1174</v>
      </c>
      <c r="C13" s="60" t="s">
        <v>1175</v>
      </c>
      <c r="D13" s="37"/>
      <c r="E13" s="68">
        <v>0.0</v>
      </c>
      <c r="F13" s="68">
        <v>0.02</v>
      </c>
      <c r="G13" s="36">
        <f t="shared" si="1"/>
        <v>-157410.7</v>
      </c>
    </row>
    <row r="14">
      <c r="A14" s="60" t="s">
        <v>1176</v>
      </c>
      <c r="B14" s="60" t="s">
        <v>1177</v>
      </c>
      <c r="C14" s="60" t="s">
        <v>1160</v>
      </c>
      <c r="D14" s="37"/>
      <c r="E14" s="68">
        <v>0.0</v>
      </c>
      <c r="F14" s="68">
        <v>285.96</v>
      </c>
      <c r="G14" s="36">
        <f t="shared" si="1"/>
        <v>-157696.66</v>
      </c>
    </row>
    <row r="15">
      <c r="A15" s="60" t="s">
        <v>1176</v>
      </c>
      <c r="B15" s="60" t="s">
        <v>1178</v>
      </c>
      <c r="C15" s="60" t="s">
        <v>1160</v>
      </c>
      <c r="D15" s="37"/>
      <c r="E15" s="68">
        <v>0.0</v>
      </c>
      <c r="F15" s="68">
        <v>1380.0</v>
      </c>
      <c r="G15" s="36">
        <f t="shared" si="1"/>
        <v>-159076.66</v>
      </c>
    </row>
    <row r="16">
      <c r="A16" s="60" t="s">
        <v>1179</v>
      </c>
      <c r="B16" s="60" t="s">
        <v>1180</v>
      </c>
      <c r="C16" s="60" t="s">
        <v>1160</v>
      </c>
      <c r="D16" s="37"/>
      <c r="E16" s="68">
        <v>0.0</v>
      </c>
      <c r="F16" s="68">
        <v>1000.0</v>
      </c>
      <c r="G16" s="36">
        <f t="shared" si="1"/>
        <v>-160076.66</v>
      </c>
    </row>
    <row r="17">
      <c r="A17" s="80">
        <v>45301.0</v>
      </c>
      <c r="B17" s="60" t="s">
        <v>1181</v>
      </c>
      <c r="C17" s="60" t="s">
        <v>1182</v>
      </c>
      <c r="D17" s="37"/>
      <c r="E17" s="79"/>
      <c r="F17" s="68">
        <v>4000.0</v>
      </c>
      <c r="G17" s="36">
        <f t="shared" si="1"/>
        <v>-164076.66</v>
      </c>
    </row>
    <row r="18">
      <c r="A18" s="69">
        <v>45721.0</v>
      </c>
      <c r="B18" s="60" t="s">
        <v>1183</v>
      </c>
      <c r="C18" s="60" t="s">
        <v>1184</v>
      </c>
      <c r="D18" s="37"/>
      <c r="E18" s="68">
        <v>0.0</v>
      </c>
      <c r="F18" s="68">
        <v>0.01</v>
      </c>
      <c r="G18" s="36">
        <f t="shared" si="1"/>
        <v>-164076.67</v>
      </c>
    </row>
    <row r="19">
      <c r="A19" s="69">
        <v>45782.0</v>
      </c>
      <c r="B19" s="60" t="s">
        <v>1185</v>
      </c>
      <c r="C19" s="60" t="s">
        <v>1168</v>
      </c>
      <c r="D19" s="37"/>
      <c r="E19" s="68">
        <v>0.0</v>
      </c>
      <c r="F19" s="68">
        <v>1600.0</v>
      </c>
      <c r="G19" s="36">
        <f t="shared" si="1"/>
        <v>-165676.67</v>
      </c>
    </row>
    <row r="20">
      <c r="A20" s="69">
        <v>45996.0</v>
      </c>
      <c r="B20" s="60" t="s">
        <v>1186</v>
      </c>
      <c r="C20" s="60" t="s">
        <v>1168</v>
      </c>
      <c r="D20" s="37"/>
      <c r="E20" s="68">
        <v>0.0</v>
      </c>
      <c r="F20" s="68">
        <v>1000.0</v>
      </c>
      <c r="G20" s="36">
        <f t="shared" si="1"/>
        <v>-166676.67</v>
      </c>
    </row>
    <row r="21">
      <c r="A21" s="60" t="s">
        <v>1187</v>
      </c>
      <c r="B21" s="60" t="s">
        <v>1188</v>
      </c>
      <c r="C21" s="60" t="s">
        <v>1168</v>
      </c>
      <c r="D21" s="37"/>
      <c r="E21" s="68">
        <v>0.0</v>
      </c>
      <c r="F21" s="68">
        <v>1389.0</v>
      </c>
      <c r="G21" s="36">
        <f t="shared" si="1"/>
        <v>-168065.67</v>
      </c>
    </row>
    <row r="22">
      <c r="A22" s="60" t="s">
        <v>1189</v>
      </c>
      <c r="B22" s="60" t="s">
        <v>1190</v>
      </c>
      <c r="C22" s="60" t="s">
        <v>1191</v>
      </c>
      <c r="D22" s="37"/>
      <c r="E22" s="68">
        <v>0.0</v>
      </c>
      <c r="F22" s="68">
        <v>523.92</v>
      </c>
      <c r="G22" s="36">
        <f t="shared" si="1"/>
        <v>-168589.59</v>
      </c>
    </row>
    <row r="23">
      <c r="A23" s="60" t="s">
        <v>1192</v>
      </c>
      <c r="B23" s="60" t="s">
        <v>1193</v>
      </c>
      <c r="C23" s="60" t="s">
        <v>1168</v>
      </c>
      <c r="D23" s="37"/>
      <c r="E23" s="68">
        <v>0.0</v>
      </c>
      <c r="F23" s="68">
        <v>1000.0</v>
      </c>
      <c r="G23" s="36">
        <f t="shared" si="1"/>
        <v>-169589.59</v>
      </c>
    </row>
    <row r="24">
      <c r="A24" s="60" t="s">
        <v>1194</v>
      </c>
      <c r="B24" s="60" t="s">
        <v>1195</v>
      </c>
      <c r="C24" s="60" t="s">
        <v>1168</v>
      </c>
      <c r="D24" s="37"/>
      <c r="E24" s="68">
        <v>0.0</v>
      </c>
      <c r="F24" s="68">
        <v>1488.0</v>
      </c>
      <c r="G24" s="36">
        <f t="shared" si="1"/>
        <v>-171077.59</v>
      </c>
    </row>
    <row r="25">
      <c r="A25" s="69">
        <v>45783.0</v>
      </c>
      <c r="B25" s="60" t="s">
        <v>1196</v>
      </c>
      <c r="C25" s="60" t="s">
        <v>1160</v>
      </c>
      <c r="D25" s="37"/>
      <c r="E25" s="68">
        <v>0.0</v>
      </c>
      <c r="F25" s="68">
        <v>1005.88</v>
      </c>
      <c r="G25" s="36">
        <f t="shared" si="1"/>
        <v>-172083.47</v>
      </c>
    </row>
    <row r="26">
      <c r="A26" s="69">
        <v>45906.0</v>
      </c>
      <c r="B26" s="60" t="s">
        <v>1197</v>
      </c>
      <c r="C26" s="60" t="s">
        <v>1191</v>
      </c>
      <c r="D26" s="37"/>
      <c r="E26" s="68">
        <v>0.0</v>
      </c>
      <c r="F26" s="68">
        <v>108.98</v>
      </c>
      <c r="G26" s="36">
        <f t="shared" si="1"/>
        <v>-172192.45</v>
      </c>
    </row>
    <row r="27">
      <c r="A27" s="60" t="s">
        <v>1198</v>
      </c>
      <c r="B27" s="60" t="s">
        <v>1199</v>
      </c>
      <c r="C27" s="60" t="s">
        <v>1160</v>
      </c>
      <c r="D27" s="37"/>
      <c r="E27" s="68">
        <v>0.0</v>
      </c>
      <c r="F27" s="68">
        <v>1020.84</v>
      </c>
      <c r="G27" s="36">
        <f t="shared" si="1"/>
        <v>-173213.29</v>
      </c>
    </row>
    <row r="28">
      <c r="A28" s="60" t="s">
        <v>1200</v>
      </c>
      <c r="B28" s="60" t="s">
        <v>1201</v>
      </c>
      <c r="C28" s="60" t="s">
        <v>1202</v>
      </c>
      <c r="D28" s="37"/>
      <c r="E28" s="68">
        <v>0.0</v>
      </c>
      <c r="F28" s="68">
        <v>0.01</v>
      </c>
      <c r="G28" s="36">
        <f t="shared" si="1"/>
        <v>-173213.3</v>
      </c>
    </row>
    <row r="29">
      <c r="A29" s="63" t="s">
        <v>1084</v>
      </c>
      <c r="B29" s="60" t="s">
        <v>1203</v>
      </c>
      <c r="C29" s="60" t="s">
        <v>1160</v>
      </c>
      <c r="D29" s="37"/>
      <c r="E29" s="68">
        <v>0.0</v>
      </c>
      <c r="F29" s="68">
        <v>290.0</v>
      </c>
      <c r="G29" s="36">
        <f t="shared" si="1"/>
        <v>-173503.3</v>
      </c>
    </row>
    <row r="30">
      <c r="A30" s="60" t="s">
        <v>2477</v>
      </c>
      <c r="B30" s="60" t="s">
        <v>2490</v>
      </c>
      <c r="C30" s="60" t="s">
        <v>1160</v>
      </c>
      <c r="D30" s="37"/>
      <c r="E30" s="68">
        <v>0.0</v>
      </c>
      <c r="F30" s="68">
        <v>2111.71</v>
      </c>
      <c r="G30" s="36">
        <f t="shared" si="1"/>
        <v>-175615.01</v>
      </c>
    </row>
    <row r="31">
      <c r="A31" s="60" t="s">
        <v>1204</v>
      </c>
      <c r="B31" s="60" t="s">
        <v>2491</v>
      </c>
      <c r="C31" s="60" t="s">
        <v>1557</v>
      </c>
      <c r="D31" s="37"/>
      <c r="E31" s="68">
        <v>1476.3</v>
      </c>
      <c r="F31" s="68">
        <v>0.0</v>
      </c>
      <c r="G31" s="36">
        <f t="shared" si="1"/>
        <v>-174138.71</v>
      </c>
    </row>
    <row r="32">
      <c r="A32" s="63" t="s">
        <v>1204</v>
      </c>
      <c r="B32" s="85"/>
      <c r="C32" s="60" t="s">
        <v>1503</v>
      </c>
      <c r="D32" s="37"/>
      <c r="E32" s="68">
        <v>446.0</v>
      </c>
      <c r="F32" s="79"/>
      <c r="G32" s="36">
        <f t="shared" si="1"/>
        <v>-173692.71</v>
      </c>
    </row>
    <row r="33">
      <c r="A33" s="63" t="s">
        <v>1204</v>
      </c>
      <c r="B33" s="85"/>
      <c r="C33" s="60" t="s">
        <v>1205</v>
      </c>
      <c r="D33" s="37"/>
      <c r="E33" s="68">
        <v>0.0</v>
      </c>
      <c r="F33" s="68">
        <v>29.0</v>
      </c>
      <c r="G33" s="36">
        <f t="shared" si="1"/>
        <v>-173721.71</v>
      </c>
    </row>
    <row r="34">
      <c r="A34" s="69">
        <v>45723.0</v>
      </c>
      <c r="B34" s="60" t="s">
        <v>2533</v>
      </c>
      <c r="C34" s="60" t="s">
        <v>1244</v>
      </c>
      <c r="D34" s="37"/>
      <c r="E34" s="68">
        <v>0.0</v>
      </c>
      <c r="F34" s="68">
        <v>91.98</v>
      </c>
      <c r="G34" s="36">
        <f t="shared" si="1"/>
        <v>-173813.69</v>
      </c>
    </row>
    <row r="35">
      <c r="A35" s="69">
        <v>45723.0</v>
      </c>
      <c r="B35" s="60" t="s">
        <v>2534</v>
      </c>
      <c r="C35" s="60" t="s">
        <v>1244</v>
      </c>
      <c r="D35" s="37"/>
      <c r="E35" s="68">
        <v>0.0</v>
      </c>
      <c r="F35" s="68">
        <v>2300.74</v>
      </c>
      <c r="G35" s="36">
        <f t="shared" si="1"/>
        <v>-176114.43</v>
      </c>
    </row>
    <row r="36">
      <c r="A36" s="69">
        <v>45754.0</v>
      </c>
      <c r="B36" s="60" t="s">
        <v>2535</v>
      </c>
      <c r="C36" s="60" t="s">
        <v>1478</v>
      </c>
      <c r="D36" s="37"/>
      <c r="E36" s="68">
        <v>0.0</v>
      </c>
      <c r="F36" s="68">
        <v>677.0</v>
      </c>
      <c r="G36" s="36">
        <f t="shared" si="1"/>
        <v>-176791.43</v>
      </c>
    </row>
    <row r="37">
      <c r="A37" s="69">
        <v>45815.0</v>
      </c>
      <c r="B37" s="60" t="s">
        <v>2536</v>
      </c>
      <c r="C37" s="60" t="s">
        <v>1503</v>
      </c>
      <c r="D37" s="37"/>
      <c r="E37" s="68">
        <v>0.0</v>
      </c>
      <c r="F37" s="68">
        <v>460.0</v>
      </c>
      <c r="G37" s="36">
        <f t="shared" si="1"/>
        <v>-177251.43</v>
      </c>
    </row>
    <row r="38">
      <c r="A38" s="69">
        <v>45815.0</v>
      </c>
      <c r="B38" s="60" t="s">
        <v>2537</v>
      </c>
      <c r="C38" s="60" t="s">
        <v>1484</v>
      </c>
      <c r="D38" s="37"/>
      <c r="E38" s="68">
        <v>0.0</v>
      </c>
      <c r="F38" s="68">
        <v>696.0</v>
      </c>
      <c r="G38" s="36">
        <f t="shared" si="1"/>
        <v>-177947.43</v>
      </c>
    </row>
    <row r="39">
      <c r="A39" s="69">
        <v>45845.0</v>
      </c>
      <c r="B39" s="60" t="s">
        <v>2538</v>
      </c>
      <c r="C39" s="60" t="s">
        <v>1508</v>
      </c>
      <c r="D39" s="37"/>
      <c r="E39" s="68">
        <v>0.0</v>
      </c>
      <c r="F39" s="68">
        <v>400.0</v>
      </c>
      <c r="G39" s="36">
        <f t="shared" si="1"/>
        <v>-178347.43</v>
      </c>
    </row>
    <row r="40">
      <c r="A40" s="69">
        <v>45845.0</v>
      </c>
      <c r="B40" s="60" t="s">
        <v>2539</v>
      </c>
      <c r="C40" s="60" t="s">
        <v>1244</v>
      </c>
      <c r="D40" s="37"/>
      <c r="E40" s="68">
        <v>0.0</v>
      </c>
      <c r="F40" s="68">
        <v>1992.0</v>
      </c>
      <c r="G40" s="36">
        <f t="shared" si="1"/>
        <v>-180339.43</v>
      </c>
    </row>
    <row r="41">
      <c r="A41" s="69">
        <v>45845.0</v>
      </c>
      <c r="B41" s="60" t="s">
        <v>2540</v>
      </c>
      <c r="C41" s="60" t="s">
        <v>1503</v>
      </c>
      <c r="D41" s="37"/>
      <c r="E41" s="68">
        <v>0.0</v>
      </c>
      <c r="F41" s="68">
        <v>1854.9</v>
      </c>
      <c r="G41" s="36">
        <f t="shared" si="1"/>
        <v>-182194.33</v>
      </c>
    </row>
    <row r="42">
      <c r="A42" s="69">
        <v>45876.0</v>
      </c>
      <c r="B42" s="60" t="s">
        <v>2541</v>
      </c>
      <c r="C42" s="60" t="s">
        <v>1478</v>
      </c>
      <c r="D42" s="37"/>
      <c r="E42" s="68">
        <v>0.0</v>
      </c>
      <c r="F42" s="68">
        <v>197.0</v>
      </c>
      <c r="G42" s="36">
        <f t="shared" si="1"/>
        <v>-182391.33</v>
      </c>
    </row>
    <row r="43">
      <c r="A43" s="69">
        <v>45907.0</v>
      </c>
      <c r="B43" s="60" t="s">
        <v>2542</v>
      </c>
      <c r="C43" s="60" t="s">
        <v>1244</v>
      </c>
      <c r="D43" s="37"/>
      <c r="E43" s="68">
        <v>0.0</v>
      </c>
      <c r="F43" s="68">
        <v>459.94</v>
      </c>
      <c r="G43" s="36">
        <f t="shared" si="1"/>
        <v>-182851.27</v>
      </c>
    </row>
    <row r="44">
      <c r="A44" s="69">
        <v>45907.0</v>
      </c>
      <c r="B44" s="60" t="s">
        <v>2543</v>
      </c>
      <c r="C44" s="60" t="s">
        <v>1530</v>
      </c>
      <c r="D44" s="37"/>
      <c r="E44" s="68">
        <v>0.0</v>
      </c>
      <c r="F44" s="68">
        <v>765.0</v>
      </c>
      <c r="G44" s="36">
        <f t="shared" si="1"/>
        <v>-183616.27</v>
      </c>
    </row>
    <row r="45">
      <c r="A45" s="69">
        <v>45937.0</v>
      </c>
      <c r="B45" s="60" t="s">
        <v>2544</v>
      </c>
      <c r="C45" s="60" t="s">
        <v>1244</v>
      </c>
      <c r="D45" s="37"/>
      <c r="E45" s="68">
        <v>0.0</v>
      </c>
      <c r="F45" s="68">
        <v>4549.08</v>
      </c>
      <c r="G45" s="36">
        <f t="shared" si="1"/>
        <v>-188165.35</v>
      </c>
    </row>
    <row r="46">
      <c r="A46" s="69">
        <v>45937.0</v>
      </c>
      <c r="B46" s="60" t="s">
        <v>2545</v>
      </c>
      <c r="C46" s="60" t="s">
        <v>1508</v>
      </c>
      <c r="D46" s="37"/>
      <c r="E46" s="68">
        <v>0.0</v>
      </c>
      <c r="F46" s="68">
        <v>267.0</v>
      </c>
      <c r="G46" s="36">
        <f t="shared" si="1"/>
        <v>-188432.35</v>
      </c>
    </row>
    <row r="47">
      <c r="A47" s="69">
        <v>45937.0</v>
      </c>
      <c r="B47" s="60" t="s">
        <v>2546</v>
      </c>
      <c r="C47" s="60" t="s">
        <v>1503</v>
      </c>
      <c r="D47" s="37"/>
      <c r="E47" s="68">
        <v>0.0</v>
      </c>
      <c r="F47" s="68">
        <v>1431.0</v>
      </c>
      <c r="G47" s="36">
        <f t="shared" si="1"/>
        <v>-189863.35</v>
      </c>
    </row>
    <row r="48">
      <c r="A48" s="69">
        <v>45968.0</v>
      </c>
      <c r="B48" s="60" t="s">
        <v>2547</v>
      </c>
      <c r="C48" s="60" t="s">
        <v>1478</v>
      </c>
      <c r="D48" s="37"/>
      <c r="E48" s="68">
        <v>0.0</v>
      </c>
      <c r="F48" s="68">
        <v>180.0</v>
      </c>
      <c r="G48" s="36">
        <f t="shared" si="1"/>
        <v>-190043.35</v>
      </c>
    </row>
    <row r="49">
      <c r="A49" s="69">
        <v>45998.0</v>
      </c>
      <c r="B49" s="60" t="s">
        <v>2548</v>
      </c>
      <c r="C49" s="60" t="s">
        <v>1244</v>
      </c>
      <c r="D49" s="37"/>
      <c r="E49" s="68">
        <v>0.0</v>
      </c>
      <c r="F49" s="68">
        <v>343.98</v>
      </c>
      <c r="G49" s="36">
        <f t="shared" si="1"/>
        <v>-190387.33</v>
      </c>
    </row>
    <row r="50">
      <c r="A50" s="60" t="s">
        <v>2520</v>
      </c>
      <c r="B50" s="60" t="s">
        <v>2549</v>
      </c>
      <c r="C50" s="60" t="s">
        <v>1244</v>
      </c>
      <c r="D50" s="37"/>
      <c r="E50" s="68">
        <v>0.0</v>
      </c>
      <c r="F50" s="68">
        <v>242.98</v>
      </c>
      <c r="G50" s="36">
        <f t="shared" si="1"/>
        <v>-190630.31</v>
      </c>
    </row>
    <row r="51">
      <c r="A51" s="60" t="s">
        <v>2520</v>
      </c>
      <c r="B51" s="60" t="s">
        <v>2550</v>
      </c>
      <c r="C51" s="60" t="s">
        <v>1503</v>
      </c>
      <c r="D51" s="37"/>
      <c r="E51" s="68">
        <v>0.0</v>
      </c>
      <c r="F51" s="68">
        <v>1346.0</v>
      </c>
      <c r="G51" s="36">
        <f t="shared" si="1"/>
        <v>-191976.31</v>
      </c>
    </row>
    <row r="52">
      <c r="A52" s="60" t="s">
        <v>2551</v>
      </c>
      <c r="B52" s="60" t="s">
        <v>2552</v>
      </c>
      <c r="C52" s="60" t="s">
        <v>1244</v>
      </c>
      <c r="D52" s="37"/>
      <c r="E52" s="68">
        <v>0.0</v>
      </c>
      <c r="F52" s="68">
        <v>630.0</v>
      </c>
      <c r="G52" s="36">
        <f t="shared" si="1"/>
        <v>-192606.31</v>
      </c>
    </row>
    <row r="53">
      <c r="A53" s="60" t="s">
        <v>2523</v>
      </c>
      <c r="B53" s="60" t="s">
        <v>2553</v>
      </c>
      <c r="C53" s="60" t="s">
        <v>1508</v>
      </c>
      <c r="D53" s="37"/>
      <c r="E53" s="68">
        <v>0.0</v>
      </c>
      <c r="F53" s="68">
        <v>148.0</v>
      </c>
      <c r="G53" s="36">
        <f t="shared" si="1"/>
        <v>-192754.31</v>
      </c>
    </row>
    <row r="54">
      <c r="A54" s="60" t="s">
        <v>2523</v>
      </c>
      <c r="B54" s="60" t="s">
        <v>2554</v>
      </c>
      <c r="C54" s="60" t="s">
        <v>1508</v>
      </c>
      <c r="D54" s="37"/>
      <c r="E54" s="68">
        <v>0.0</v>
      </c>
      <c r="F54" s="68">
        <v>149.57</v>
      </c>
      <c r="G54" s="36">
        <f t="shared" si="1"/>
        <v>-192903.88</v>
      </c>
    </row>
    <row r="55">
      <c r="A55" s="60" t="s">
        <v>2523</v>
      </c>
      <c r="B55" s="60" t="s">
        <v>2555</v>
      </c>
      <c r="C55" s="60" t="s">
        <v>1503</v>
      </c>
      <c r="D55" s="37"/>
      <c r="E55" s="68">
        <v>0.0</v>
      </c>
      <c r="F55" s="68">
        <v>1704.53</v>
      </c>
      <c r="G55" s="36">
        <f t="shared" si="1"/>
        <v>-194608.41</v>
      </c>
    </row>
    <row r="56">
      <c r="A56" s="63" t="s">
        <v>2556</v>
      </c>
      <c r="B56" s="60" t="s">
        <v>2557</v>
      </c>
      <c r="C56" s="60" t="s">
        <v>2558</v>
      </c>
      <c r="D56" s="37"/>
      <c r="E56" s="68">
        <v>0.0</v>
      </c>
      <c r="F56" s="68">
        <v>31531.87</v>
      </c>
      <c r="G56" s="36">
        <f t="shared" si="1"/>
        <v>-226140.28</v>
      </c>
    </row>
    <row r="57">
      <c r="A57" s="60" t="s">
        <v>2556</v>
      </c>
      <c r="B57" s="60" t="s">
        <v>2559</v>
      </c>
      <c r="C57" s="60" t="s">
        <v>1244</v>
      </c>
      <c r="D57" s="37"/>
      <c r="E57" s="68">
        <v>0.0</v>
      </c>
      <c r="F57" s="68">
        <v>2010.61</v>
      </c>
      <c r="G57" s="36">
        <f t="shared" si="1"/>
        <v>-228150.89</v>
      </c>
    </row>
    <row r="58">
      <c r="A58" s="60" t="s">
        <v>2560</v>
      </c>
      <c r="B58" s="60" t="s">
        <v>2561</v>
      </c>
      <c r="C58" s="60" t="s">
        <v>1503</v>
      </c>
      <c r="D58" s="37"/>
      <c r="E58" s="68">
        <v>0.0</v>
      </c>
      <c r="F58" s="68">
        <v>1500.0</v>
      </c>
      <c r="G58" s="36">
        <f t="shared" si="1"/>
        <v>-229650.89</v>
      </c>
    </row>
    <row r="59">
      <c r="A59" s="60" t="s">
        <v>2526</v>
      </c>
      <c r="B59" s="60" t="s">
        <v>2562</v>
      </c>
      <c r="C59" s="60" t="s">
        <v>1244</v>
      </c>
      <c r="D59" s="37"/>
      <c r="E59" s="68">
        <v>0.0</v>
      </c>
      <c r="F59" s="68">
        <v>233.97</v>
      </c>
      <c r="G59" s="36">
        <f t="shared" si="1"/>
        <v>-229884.86</v>
      </c>
    </row>
    <row r="60">
      <c r="A60" s="60" t="s">
        <v>1090</v>
      </c>
      <c r="B60" s="60" t="s">
        <v>2563</v>
      </c>
      <c r="C60" s="60" t="s">
        <v>1503</v>
      </c>
      <c r="D60" s="37"/>
      <c r="E60" s="68">
        <v>0.0</v>
      </c>
      <c r="F60" s="68">
        <v>494.0</v>
      </c>
      <c r="G60" s="36">
        <f t="shared" si="1"/>
        <v>-230378.86</v>
      </c>
    </row>
    <row r="61">
      <c r="A61" s="60" t="s">
        <v>1090</v>
      </c>
      <c r="B61" s="60" t="s">
        <v>2564</v>
      </c>
      <c r="C61" s="60" t="s">
        <v>1548</v>
      </c>
      <c r="D61" s="37"/>
      <c r="E61" s="68">
        <v>0.0</v>
      </c>
      <c r="F61" s="68">
        <v>890.0</v>
      </c>
      <c r="G61" s="36">
        <f t="shared" si="1"/>
        <v>-231268.86</v>
      </c>
    </row>
    <row r="62">
      <c r="A62" s="60" t="s">
        <v>1090</v>
      </c>
      <c r="B62" s="60" t="s">
        <v>2565</v>
      </c>
      <c r="C62" s="60" t="s">
        <v>1244</v>
      </c>
      <c r="D62" s="37"/>
      <c r="E62" s="68">
        <v>0.0</v>
      </c>
      <c r="F62" s="68">
        <v>2093.78</v>
      </c>
      <c r="G62" s="36">
        <f t="shared" si="1"/>
        <v>-233362.64</v>
      </c>
    </row>
    <row r="63">
      <c r="A63" s="60" t="s">
        <v>1090</v>
      </c>
      <c r="B63" s="60" t="s">
        <v>2566</v>
      </c>
      <c r="C63" s="60" t="s">
        <v>1244</v>
      </c>
      <c r="D63" s="37"/>
      <c r="E63" s="68">
        <v>0.0</v>
      </c>
      <c r="F63" s="68">
        <v>303.95</v>
      </c>
      <c r="G63" s="36">
        <f t="shared" si="1"/>
        <v>-233666.59</v>
      </c>
    </row>
    <row r="64">
      <c r="A64" s="60" t="s">
        <v>2567</v>
      </c>
      <c r="B64" s="60" t="s">
        <v>2568</v>
      </c>
      <c r="C64" s="60" t="s">
        <v>1503</v>
      </c>
      <c r="D64" s="37"/>
      <c r="E64" s="68">
        <v>0.0</v>
      </c>
      <c r="F64" s="68">
        <v>109.0</v>
      </c>
      <c r="G64" s="36">
        <f t="shared" si="1"/>
        <v>-233775.59</v>
      </c>
    </row>
    <row r="65">
      <c r="A65" s="60" t="s">
        <v>2567</v>
      </c>
      <c r="B65" s="60" t="s">
        <v>2569</v>
      </c>
      <c r="C65" s="60" t="s">
        <v>1493</v>
      </c>
      <c r="D65" s="37"/>
      <c r="E65" s="68">
        <v>0.0</v>
      </c>
      <c r="F65" s="68">
        <v>343.0</v>
      </c>
      <c r="G65" s="36">
        <f t="shared" si="1"/>
        <v>-234118.59</v>
      </c>
    </row>
    <row r="66">
      <c r="A66" s="60" t="s">
        <v>2567</v>
      </c>
      <c r="B66" s="60" t="s">
        <v>2570</v>
      </c>
      <c r="C66" s="60" t="s">
        <v>1503</v>
      </c>
      <c r="D66" s="37"/>
      <c r="E66" s="68">
        <v>0.0</v>
      </c>
      <c r="F66" s="68">
        <v>2211.5</v>
      </c>
      <c r="G66" s="36">
        <f t="shared" si="1"/>
        <v>-236330.09</v>
      </c>
    </row>
    <row r="67">
      <c r="A67" s="60" t="s">
        <v>2571</v>
      </c>
      <c r="B67" s="60" t="s">
        <v>2572</v>
      </c>
      <c r="C67" s="60" t="s">
        <v>1244</v>
      </c>
      <c r="D67" s="37"/>
      <c r="E67" s="68">
        <v>0.0</v>
      </c>
      <c r="F67" s="68">
        <v>201.0</v>
      </c>
      <c r="G67" s="36">
        <f t="shared" si="1"/>
        <v>-236531.09</v>
      </c>
    </row>
    <row r="68">
      <c r="A68" s="60" t="s">
        <v>2571</v>
      </c>
      <c r="B68" s="60" t="s">
        <v>2573</v>
      </c>
      <c r="C68" s="60" t="s">
        <v>1493</v>
      </c>
      <c r="D68" s="37"/>
      <c r="E68" s="68">
        <v>0.0</v>
      </c>
      <c r="F68" s="68">
        <v>73.99</v>
      </c>
      <c r="G68" s="36">
        <f t="shared" si="1"/>
        <v>-236605.08</v>
      </c>
    </row>
    <row r="69">
      <c r="A69" s="60" t="s">
        <v>2574</v>
      </c>
      <c r="B69" s="60" t="s">
        <v>2575</v>
      </c>
      <c r="C69" s="60" t="s">
        <v>1244</v>
      </c>
      <c r="D69" s="37"/>
      <c r="E69" s="68">
        <v>0.0</v>
      </c>
      <c r="F69" s="68">
        <v>3167.54</v>
      </c>
      <c r="G69" s="36">
        <f t="shared" si="1"/>
        <v>-239772.62</v>
      </c>
    </row>
    <row r="70">
      <c r="A70" s="60" t="s">
        <v>2576</v>
      </c>
      <c r="B70" s="60" t="s">
        <v>2577</v>
      </c>
      <c r="C70" s="60" t="s">
        <v>1478</v>
      </c>
      <c r="D70" s="37"/>
      <c r="E70" s="68">
        <v>0.0</v>
      </c>
      <c r="F70" s="68">
        <v>246.0</v>
      </c>
      <c r="G70" s="36">
        <f t="shared" si="1"/>
        <v>-240018.62</v>
      </c>
    </row>
    <row r="71">
      <c r="A71" s="60" t="s">
        <v>2578</v>
      </c>
      <c r="B71" s="60" t="s">
        <v>2579</v>
      </c>
      <c r="C71" s="60" t="s">
        <v>1999</v>
      </c>
      <c r="D71" s="37"/>
      <c r="E71" s="68">
        <v>0.0</v>
      </c>
      <c r="F71" s="68">
        <v>283.97</v>
      </c>
      <c r="G71" s="36">
        <f t="shared" si="1"/>
        <v>-240302.59</v>
      </c>
    </row>
    <row r="72">
      <c r="A72" s="60" t="s">
        <v>1473</v>
      </c>
      <c r="B72" s="60" t="s">
        <v>1474</v>
      </c>
      <c r="C72" s="60" t="s">
        <v>1475</v>
      </c>
      <c r="D72" s="37"/>
      <c r="E72" s="68">
        <v>0.0</v>
      </c>
      <c r="F72" s="68">
        <v>613.0</v>
      </c>
      <c r="G72" s="36">
        <f t="shared" si="1"/>
        <v>-240915.59</v>
      </c>
    </row>
    <row r="73">
      <c r="A73" s="60" t="s">
        <v>1473</v>
      </c>
      <c r="B73" s="60" t="s">
        <v>2580</v>
      </c>
      <c r="C73" s="60" t="s">
        <v>1244</v>
      </c>
      <c r="D73" s="37"/>
      <c r="E73" s="68">
        <v>0.0</v>
      </c>
      <c r="F73" s="68">
        <v>131.77</v>
      </c>
      <c r="G73" s="36">
        <f t="shared" si="1"/>
        <v>-241047.36</v>
      </c>
    </row>
    <row r="74">
      <c r="A74" s="60" t="s">
        <v>1473</v>
      </c>
      <c r="B74" s="60" t="s">
        <v>2581</v>
      </c>
      <c r="C74" s="60" t="s">
        <v>1506</v>
      </c>
      <c r="D74" s="37"/>
      <c r="E74" s="68">
        <v>0.0</v>
      </c>
      <c r="F74" s="68">
        <v>37279.0</v>
      </c>
      <c r="G74" s="36">
        <f t="shared" si="1"/>
        <v>-278326.36</v>
      </c>
    </row>
    <row r="75">
      <c r="A75" s="60" t="s">
        <v>1473</v>
      </c>
      <c r="B75" s="60" t="s">
        <v>2582</v>
      </c>
      <c r="C75" s="60" t="s">
        <v>1508</v>
      </c>
      <c r="D75" s="37"/>
      <c r="E75" s="68">
        <v>0.0</v>
      </c>
      <c r="F75" s="68">
        <v>137.8</v>
      </c>
      <c r="G75" s="36">
        <f t="shared" si="1"/>
        <v>-278464.16</v>
      </c>
    </row>
    <row r="76">
      <c r="A76" s="60" t="s">
        <v>1476</v>
      </c>
      <c r="B76" s="60" t="s">
        <v>2583</v>
      </c>
      <c r="C76" s="60" t="s">
        <v>1506</v>
      </c>
      <c r="D76" s="37"/>
      <c r="E76" s="68">
        <v>0.0</v>
      </c>
      <c r="F76" s="68">
        <v>1573.0</v>
      </c>
      <c r="G76" s="36">
        <f t="shared" si="1"/>
        <v>-280037.16</v>
      </c>
    </row>
    <row r="77">
      <c r="A77" s="60" t="s">
        <v>1476</v>
      </c>
      <c r="B77" s="60" t="s">
        <v>2584</v>
      </c>
      <c r="C77" s="60" t="s">
        <v>1506</v>
      </c>
      <c r="D77" s="37"/>
      <c r="E77" s="68">
        <v>0.0</v>
      </c>
      <c r="F77" s="68">
        <v>10546.0</v>
      </c>
      <c r="G77" s="36">
        <f t="shared" si="1"/>
        <v>-290583.16</v>
      </c>
    </row>
    <row r="78">
      <c r="A78" s="60" t="s">
        <v>1476</v>
      </c>
      <c r="B78" s="60" t="s">
        <v>2585</v>
      </c>
      <c r="C78" s="60" t="s">
        <v>1548</v>
      </c>
      <c r="D78" s="37"/>
      <c r="E78" s="68">
        <v>0.0</v>
      </c>
      <c r="F78" s="68">
        <v>537.0</v>
      </c>
      <c r="G78" s="36">
        <f t="shared" si="1"/>
        <v>-291120.16</v>
      </c>
    </row>
    <row r="79">
      <c r="A79" s="60" t="s">
        <v>1476</v>
      </c>
      <c r="B79" s="60" t="s">
        <v>2586</v>
      </c>
      <c r="C79" s="60" t="s">
        <v>1475</v>
      </c>
      <c r="D79" s="37"/>
      <c r="E79" s="68">
        <v>0.0</v>
      </c>
      <c r="F79" s="68">
        <v>509.97</v>
      </c>
      <c r="G79" s="36">
        <f t="shared" si="1"/>
        <v>-291630.13</v>
      </c>
    </row>
    <row r="80">
      <c r="A80" s="60" t="s">
        <v>1476</v>
      </c>
      <c r="B80" s="60" t="s">
        <v>1477</v>
      </c>
      <c r="C80" s="60" t="s">
        <v>1478</v>
      </c>
      <c r="D80" s="37"/>
      <c r="E80" s="68">
        <v>0.0</v>
      </c>
      <c r="F80" s="68">
        <v>3111.0</v>
      </c>
      <c r="G80" s="36">
        <f t="shared" si="1"/>
        <v>-294741.13</v>
      </c>
    </row>
    <row r="81">
      <c r="A81" s="60" t="s">
        <v>1206</v>
      </c>
      <c r="B81" s="60" t="s">
        <v>1207</v>
      </c>
      <c r="C81" s="60" t="s">
        <v>1208</v>
      </c>
      <c r="D81" s="37"/>
      <c r="E81" s="68">
        <v>3938.28</v>
      </c>
      <c r="F81" s="68">
        <v>0.0</v>
      </c>
      <c r="G81" s="36">
        <f t="shared" si="1"/>
        <v>-290802.85</v>
      </c>
    </row>
    <row r="82">
      <c r="A82" s="60" t="s">
        <v>1206</v>
      </c>
      <c r="B82" s="60" t="s">
        <v>1207</v>
      </c>
      <c r="C82" s="60" t="s">
        <v>1208</v>
      </c>
      <c r="D82" s="37"/>
      <c r="E82" s="68">
        <v>3938.28</v>
      </c>
      <c r="F82" s="68">
        <v>0.0</v>
      </c>
      <c r="G82" s="36">
        <f t="shared" si="1"/>
        <v>-286864.57</v>
      </c>
    </row>
    <row r="83">
      <c r="A83" s="60" t="s">
        <v>1206</v>
      </c>
      <c r="B83" s="60" t="s">
        <v>2587</v>
      </c>
      <c r="C83" s="60" t="s">
        <v>1548</v>
      </c>
      <c r="D83" s="37"/>
      <c r="E83" s="68">
        <v>0.0</v>
      </c>
      <c r="F83" s="68">
        <v>5857.0</v>
      </c>
      <c r="G83" s="36">
        <f t="shared" si="1"/>
        <v>-292721.57</v>
      </c>
    </row>
    <row r="84">
      <c r="A84" s="60" t="s">
        <v>1206</v>
      </c>
      <c r="B84" s="60" t="s">
        <v>2588</v>
      </c>
      <c r="C84" s="60" t="s">
        <v>1506</v>
      </c>
      <c r="D84" s="37"/>
      <c r="E84" s="68">
        <v>0.0</v>
      </c>
      <c r="F84" s="68">
        <v>9363.46</v>
      </c>
      <c r="G84" s="36">
        <f t="shared" si="1"/>
        <v>-302085.03</v>
      </c>
    </row>
    <row r="85">
      <c r="A85" s="60" t="s">
        <v>1206</v>
      </c>
      <c r="B85" s="60" t="s">
        <v>2589</v>
      </c>
      <c r="C85" s="60" t="s">
        <v>1508</v>
      </c>
      <c r="D85" s="37"/>
      <c r="E85" s="68">
        <v>0.0</v>
      </c>
      <c r="F85" s="68">
        <v>327.0</v>
      </c>
      <c r="G85" s="36">
        <f t="shared" si="1"/>
        <v>-302412.03</v>
      </c>
    </row>
    <row r="86">
      <c r="A86" s="63" t="s">
        <v>1206</v>
      </c>
      <c r="B86" s="60" t="s">
        <v>2590</v>
      </c>
      <c r="C86" s="60" t="s">
        <v>1493</v>
      </c>
      <c r="D86" s="37"/>
      <c r="E86" s="68">
        <v>0.0</v>
      </c>
      <c r="F86" s="68">
        <v>934.97</v>
      </c>
      <c r="G86" s="36">
        <f t="shared" si="1"/>
        <v>-303347</v>
      </c>
    </row>
    <row r="87">
      <c r="A87" s="60" t="s">
        <v>1206</v>
      </c>
      <c r="B87" s="60" t="s">
        <v>2591</v>
      </c>
      <c r="C87" s="60" t="s">
        <v>1503</v>
      </c>
      <c r="D87" s="37"/>
      <c r="E87" s="68">
        <v>0.0</v>
      </c>
      <c r="F87" s="68">
        <v>1200.0</v>
      </c>
      <c r="G87" s="36">
        <f t="shared" si="1"/>
        <v>-304547</v>
      </c>
    </row>
    <row r="88">
      <c r="A88" s="60" t="s">
        <v>2529</v>
      </c>
      <c r="B88" s="60" t="s">
        <v>2592</v>
      </c>
      <c r="C88" s="60" t="s">
        <v>1503</v>
      </c>
      <c r="D88" s="37"/>
      <c r="E88" s="68">
        <v>0.0</v>
      </c>
      <c r="F88" s="68">
        <v>1546.59</v>
      </c>
      <c r="G88" s="36">
        <f t="shared" si="1"/>
        <v>-306093.59</v>
      </c>
    </row>
    <row r="89">
      <c r="A89" s="60" t="s">
        <v>2529</v>
      </c>
      <c r="B89" s="60" t="s">
        <v>2593</v>
      </c>
      <c r="C89" s="60" t="s">
        <v>1493</v>
      </c>
      <c r="D89" s="37"/>
      <c r="E89" s="68">
        <v>0.0</v>
      </c>
      <c r="F89" s="68">
        <v>91.98</v>
      </c>
      <c r="G89" s="36">
        <f t="shared" si="1"/>
        <v>-306185.57</v>
      </c>
    </row>
    <row r="90">
      <c r="A90" s="60" t="s">
        <v>2529</v>
      </c>
      <c r="B90" s="60" t="s">
        <v>2594</v>
      </c>
      <c r="C90" s="60" t="s">
        <v>1508</v>
      </c>
      <c r="D90" s="37"/>
      <c r="E90" s="68">
        <v>0.0</v>
      </c>
      <c r="F90" s="68">
        <v>1000.0</v>
      </c>
      <c r="G90" s="36">
        <f t="shared" si="1"/>
        <v>-307185.57</v>
      </c>
    </row>
    <row r="91">
      <c r="A91" s="63" t="s">
        <v>2529</v>
      </c>
      <c r="B91" s="60" t="s">
        <v>2595</v>
      </c>
      <c r="C91" s="60" t="s">
        <v>1863</v>
      </c>
      <c r="D91" s="37"/>
      <c r="E91" s="68">
        <v>0.0</v>
      </c>
      <c r="F91" s="68">
        <v>1600.0</v>
      </c>
      <c r="G91" s="36">
        <f t="shared" si="1"/>
        <v>-308785.57</v>
      </c>
    </row>
    <row r="92">
      <c r="A92" s="60" t="s">
        <v>1479</v>
      </c>
      <c r="B92" s="60" t="s">
        <v>2596</v>
      </c>
      <c r="C92" s="60" t="s">
        <v>2493</v>
      </c>
      <c r="D92" s="37"/>
      <c r="E92" s="68">
        <v>2454.11</v>
      </c>
      <c r="F92" s="68">
        <v>0.0</v>
      </c>
      <c r="G92" s="36">
        <f t="shared" si="1"/>
        <v>-306331.46</v>
      </c>
    </row>
    <row r="93">
      <c r="A93" s="60" t="s">
        <v>1479</v>
      </c>
      <c r="B93" s="60" t="s">
        <v>2597</v>
      </c>
      <c r="C93" s="60" t="s">
        <v>2133</v>
      </c>
      <c r="D93" s="37"/>
      <c r="E93" s="68">
        <v>0.0</v>
      </c>
      <c r="F93" s="68">
        <v>2009.71</v>
      </c>
      <c r="G93" s="36">
        <f t="shared" si="1"/>
        <v>-308341.17</v>
      </c>
    </row>
    <row r="94">
      <c r="A94" s="60" t="s">
        <v>1479</v>
      </c>
      <c r="B94" s="60" t="s">
        <v>2598</v>
      </c>
      <c r="C94" s="60" t="s">
        <v>1579</v>
      </c>
      <c r="D94" s="37"/>
      <c r="E94" s="68">
        <v>0.0</v>
      </c>
      <c r="F94" s="68">
        <v>124.0</v>
      </c>
      <c r="G94" s="36">
        <f t="shared" si="1"/>
        <v>-308465.17</v>
      </c>
    </row>
    <row r="95">
      <c r="A95" s="60" t="s">
        <v>1479</v>
      </c>
      <c r="B95" s="60" t="s">
        <v>2599</v>
      </c>
      <c r="C95" s="60" t="s">
        <v>1579</v>
      </c>
      <c r="D95" s="37"/>
      <c r="E95" s="68">
        <v>0.0</v>
      </c>
      <c r="F95" s="68">
        <v>2027.78</v>
      </c>
      <c r="G95" s="36">
        <f t="shared" si="1"/>
        <v>-310492.95</v>
      </c>
    </row>
    <row r="96">
      <c r="A96" s="60" t="s">
        <v>1479</v>
      </c>
      <c r="B96" s="60" t="s">
        <v>2600</v>
      </c>
      <c r="C96" s="60" t="s">
        <v>1530</v>
      </c>
      <c r="D96" s="37"/>
      <c r="E96" s="68">
        <v>0.0</v>
      </c>
      <c r="F96" s="68">
        <v>1264.0</v>
      </c>
      <c r="G96" s="36">
        <f t="shared" si="1"/>
        <v>-311756.95</v>
      </c>
    </row>
    <row r="97">
      <c r="A97" s="60" t="s">
        <v>1479</v>
      </c>
      <c r="B97" s="60" t="s">
        <v>2601</v>
      </c>
      <c r="C97" s="60" t="s">
        <v>1493</v>
      </c>
      <c r="D97" s="37"/>
      <c r="E97" s="68">
        <v>0.0</v>
      </c>
      <c r="F97" s="68">
        <v>355.94</v>
      </c>
      <c r="G97" s="36">
        <f t="shared" si="1"/>
        <v>-312112.89</v>
      </c>
    </row>
    <row r="98">
      <c r="A98" s="63" t="s">
        <v>1479</v>
      </c>
      <c r="B98" s="60" t="s">
        <v>2602</v>
      </c>
      <c r="C98" s="60" t="s">
        <v>2603</v>
      </c>
      <c r="D98" s="37"/>
      <c r="E98" s="68">
        <v>0.0</v>
      </c>
      <c r="F98" s="68">
        <v>1013.86</v>
      </c>
      <c r="G98" s="36">
        <f t="shared" si="1"/>
        <v>-313126.75</v>
      </c>
    </row>
    <row r="99">
      <c r="A99" s="63" t="s">
        <v>1479</v>
      </c>
      <c r="B99" s="60" t="s">
        <v>1480</v>
      </c>
      <c r="C99" s="60" t="s">
        <v>1478</v>
      </c>
      <c r="D99" s="37"/>
      <c r="E99" s="68">
        <v>0.0</v>
      </c>
      <c r="F99" s="68">
        <v>579.0</v>
      </c>
      <c r="G99" s="36">
        <f t="shared" si="1"/>
        <v>-313705.75</v>
      </c>
    </row>
    <row r="100">
      <c r="A100" s="60"/>
      <c r="B100" s="60"/>
      <c r="C100" s="60"/>
      <c r="D100" s="37"/>
      <c r="E100" s="68"/>
      <c r="F100" s="68"/>
      <c r="G100" s="36" t="str">
        <f t="shared" si="1"/>
        <v/>
      </c>
    </row>
    <row r="101">
      <c r="A101" s="60"/>
      <c r="B101" s="60"/>
      <c r="C101" s="60"/>
      <c r="D101" s="37"/>
      <c r="E101" s="68"/>
      <c r="F101" s="68"/>
      <c r="G101" s="36" t="str">
        <f t="shared" si="1"/>
        <v/>
      </c>
    </row>
    <row r="102">
      <c r="A102" s="60"/>
      <c r="B102" s="60"/>
      <c r="C102" s="60"/>
      <c r="D102" s="40"/>
      <c r="E102" s="68"/>
      <c r="F102" s="68"/>
      <c r="G102" s="36" t="str">
        <f t="shared" si="1"/>
        <v/>
      </c>
    </row>
    <row r="103">
      <c r="A103" s="63"/>
      <c r="B103" s="60"/>
      <c r="C103" s="60"/>
      <c r="D103" s="37"/>
      <c r="E103" s="63"/>
      <c r="F103" s="61"/>
      <c r="G103" s="36" t="str">
        <f t="shared" si="1"/>
        <v/>
      </c>
    </row>
    <row r="104">
      <c r="A104" s="60"/>
      <c r="B104" s="60"/>
      <c r="C104" s="60"/>
      <c r="D104" s="37"/>
      <c r="E104" s="61"/>
      <c r="F104" s="63"/>
      <c r="G104" s="36" t="str">
        <f t="shared" si="1"/>
        <v/>
      </c>
    </row>
    <row r="105">
      <c r="A105" s="60"/>
      <c r="B105" s="60"/>
      <c r="C105" s="60"/>
      <c r="D105" s="37"/>
      <c r="E105" s="63"/>
      <c r="F105" s="61"/>
      <c r="G105" s="36" t="str">
        <f t="shared" si="1"/>
        <v/>
      </c>
    </row>
    <row r="106">
      <c r="A106" s="60"/>
      <c r="B106" s="60"/>
      <c r="C106" s="60"/>
      <c r="D106" s="37"/>
      <c r="E106" s="63"/>
      <c r="F106" s="63"/>
      <c r="G106" s="36" t="str">
        <f t="shared" si="1"/>
        <v/>
      </c>
    </row>
    <row r="107">
      <c r="A107" s="60"/>
      <c r="B107" s="60"/>
      <c r="C107" s="60"/>
      <c r="D107" s="37"/>
      <c r="E107" s="63"/>
      <c r="F107" s="61"/>
      <c r="G107" s="36" t="str">
        <f t="shared" si="1"/>
        <v/>
      </c>
    </row>
    <row r="108">
      <c r="A108" s="60"/>
      <c r="B108" s="60"/>
      <c r="C108" s="60"/>
      <c r="D108" s="37"/>
      <c r="E108" s="63"/>
      <c r="F108" s="61"/>
      <c r="G108" s="36" t="str">
        <f t="shared" si="1"/>
        <v/>
      </c>
    </row>
    <row r="109">
      <c r="A109" s="60"/>
      <c r="B109" s="60"/>
      <c r="C109" s="60"/>
      <c r="D109" s="37"/>
      <c r="E109" s="63"/>
      <c r="F109" s="63"/>
      <c r="G109" s="36" t="str">
        <f t="shared" si="1"/>
        <v/>
      </c>
    </row>
    <row r="110">
      <c r="A110" s="63"/>
      <c r="B110" s="60"/>
      <c r="C110" s="60"/>
      <c r="D110" s="37"/>
      <c r="E110" s="63"/>
      <c r="F110" s="61"/>
      <c r="G110" s="36" t="str">
        <f t="shared" si="1"/>
        <v/>
      </c>
    </row>
    <row r="111">
      <c r="A111" s="63"/>
      <c r="B111" s="60"/>
      <c r="C111" s="60"/>
      <c r="D111" s="37"/>
      <c r="E111" s="63"/>
      <c r="F111" s="63"/>
      <c r="G111" s="36" t="str">
        <f t="shared" si="1"/>
        <v/>
      </c>
    </row>
    <row r="112">
      <c r="E112" s="6">
        <f t="shared" ref="E112:F112" si="2">SUM(E7:E111)</f>
        <v>12453.97</v>
      </c>
      <c r="F112" s="6">
        <f t="shared" si="2"/>
        <v>177099.04</v>
      </c>
    </row>
  </sheetData>
  <mergeCells count="2">
    <mergeCell ref="A1:G1"/>
    <mergeCell ref="A5:G5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8.0" topLeftCell="A19" activePane="bottomLeft" state="frozen"/>
      <selection activeCell="B20" sqref="B20" pane="bottomLeft"/>
    </sheetView>
  </sheetViews>
  <sheetFormatPr customHeight="1" defaultColWidth="12.63" defaultRowHeight="15.75"/>
  <cols>
    <col customWidth="1" min="1" max="1" width="15.13"/>
    <col customWidth="1" min="2" max="2" width="62.63"/>
    <col customWidth="1" min="3" max="4" width="12.63"/>
    <col customWidth="1" min="5" max="7" width="15.13"/>
    <col customWidth="1" min="8" max="8" width="7.63"/>
  </cols>
  <sheetData>
    <row r="1">
      <c r="A1" s="24" t="s">
        <v>2604</v>
      </c>
    </row>
    <row r="3">
      <c r="A3" s="113" t="s">
        <v>41</v>
      </c>
      <c r="B3" s="47"/>
      <c r="C3" s="47"/>
      <c r="D3" s="48"/>
    </row>
    <row r="4">
      <c r="A4" s="34" t="s">
        <v>1391</v>
      </c>
      <c r="B4" s="36">
        <f t="shared" ref="B4:B16" si="1">SUMIF($D$19:$D$501,A4,$G$19:$G$501)</f>
        <v>71919.95</v>
      </c>
      <c r="C4" s="36">
        <f t="shared" ref="C4:C16" si="2">COUNTIF($D$19:$D$501,A4)</f>
        <v>42</v>
      </c>
      <c r="D4" s="36">
        <f t="shared" ref="D4:D17" si="3">IFERROR(B4/C4,0)</f>
        <v>1712.379762</v>
      </c>
    </row>
    <row r="5">
      <c r="A5" s="34" t="s">
        <v>1392</v>
      </c>
      <c r="B5" s="36">
        <f t="shared" si="1"/>
        <v>23149.21</v>
      </c>
      <c r="C5" s="36">
        <f t="shared" si="2"/>
        <v>17</v>
      </c>
      <c r="D5" s="36">
        <f t="shared" si="3"/>
        <v>1361.718235</v>
      </c>
    </row>
    <row r="6">
      <c r="A6" s="34" t="s">
        <v>1393</v>
      </c>
      <c r="B6" s="36">
        <f t="shared" si="1"/>
        <v>25052.83</v>
      </c>
      <c r="C6" s="36">
        <f t="shared" si="2"/>
        <v>18</v>
      </c>
      <c r="D6" s="36">
        <f t="shared" si="3"/>
        <v>1391.823889</v>
      </c>
    </row>
    <row r="7">
      <c r="A7" s="34" t="s">
        <v>46</v>
      </c>
      <c r="B7" s="36">
        <f t="shared" si="1"/>
        <v>32516.24</v>
      </c>
      <c r="C7" s="36">
        <f t="shared" si="2"/>
        <v>17</v>
      </c>
      <c r="D7" s="36">
        <f t="shared" si="3"/>
        <v>1912.72</v>
      </c>
    </row>
    <row r="8">
      <c r="A8" s="34" t="s">
        <v>47</v>
      </c>
      <c r="B8" s="36">
        <f t="shared" si="1"/>
        <v>398562.17</v>
      </c>
      <c r="C8" s="36">
        <f t="shared" si="2"/>
        <v>24</v>
      </c>
      <c r="D8" s="36">
        <f t="shared" si="3"/>
        <v>16606.75708</v>
      </c>
    </row>
    <row r="9">
      <c r="A9" s="34" t="s">
        <v>2264</v>
      </c>
      <c r="B9" s="36">
        <f t="shared" si="1"/>
        <v>4366.48</v>
      </c>
      <c r="C9" s="36">
        <f t="shared" si="2"/>
        <v>18</v>
      </c>
      <c r="D9" s="36">
        <f t="shared" si="3"/>
        <v>242.5822222</v>
      </c>
    </row>
    <row r="10">
      <c r="A10" s="34" t="s">
        <v>49</v>
      </c>
      <c r="B10" s="36">
        <f t="shared" si="1"/>
        <v>1434277.59</v>
      </c>
      <c r="C10" s="36">
        <f t="shared" si="2"/>
        <v>17</v>
      </c>
      <c r="D10" s="36">
        <f t="shared" si="3"/>
        <v>84369.27</v>
      </c>
    </row>
    <row r="11">
      <c r="A11" s="34" t="s">
        <v>50</v>
      </c>
      <c r="B11" s="36">
        <f t="shared" si="1"/>
        <v>13792.6</v>
      </c>
      <c r="C11" s="36">
        <f t="shared" si="2"/>
        <v>33</v>
      </c>
      <c r="D11" s="36">
        <f t="shared" si="3"/>
        <v>417.9575758</v>
      </c>
    </row>
    <row r="12">
      <c r="A12" s="34" t="s">
        <v>51</v>
      </c>
      <c r="B12" s="36">
        <f t="shared" si="1"/>
        <v>16876.6</v>
      </c>
      <c r="C12" s="36">
        <f t="shared" si="2"/>
        <v>19</v>
      </c>
      <c r="D12" s="36">
        <f t="shared" si="3"/>
        <v>888.2421053</v>
      </c>
    </row>
    <row r="13">
      <c r="A13" s="34" t="s">
        <v>52</v>
      </c>
      <c r="B13" s="36">
        <f t="shared" si="1"/>
        <v>214810.77</v>
      </c>
      <c r="C13" s="36">
        <f t="shared" si="2"/>
        <v>16</v>
      </c>
      <c r="D13" s="36">
        <f t="shared" si="3"/>
        <v>13425.67313</v>
      </c>
    </row>
    <row r="14">
      <c r="A14" s="34" t="s">
        <v>58</v>
      </c>
      <c r="B14" s="36">
        <f t="shared" si="1"/>
        <v>8916.95</v>
      </c>
      <c r="C14" s="36">
        <f t="shared" si="2"/>
        <v>8</v>
      </c>
      <c r="D14" s="36">
        <f t="shared" si="3"/>
        <v>1114.61875</v>
      </c>
    </row>
    <row r="15">
      <c r="A15" s="34" t="s">
        <v>2269</v>
      </c>
      <c r="B15" s="36">
        <f t="shared" si="1"/>
        <v>66813.14</v>
      </c>
      <c r="C15" s="36">
        <f t="shared" si="2"/>
        <v>47</v>
      </c>
      <c r="D15" s="36">
        <f t="shared" si="3"/>
        <v>1421.55617</v>
      </c>
    </row>
    <row r="16">
      <c r="A16" s="34" t="s">
        <v>53</v>
      </c>
      <c r="B16" s="37">
        <f t="shared" si="1"/>
        <v>88733.24</v>
      </c>
      <c r="C16" s="37">
        <f t="shared" si="2"/>
        <v>113</v>
      </c>
      <c r="D16" s="37">
        <f t="shared" si="3"/>
        <v>785.2499115</v>
      </c>
    </row>
    <row r="17">
      <c r="A17" s="38" t="s">
        <v>59</v>
      </c>
      <c r="B17" s="36">
        <f t="shared" ref="B17:C17" si="4">SUM(B4:B16)</f>
        <v>2399787.77</v>
      </c>
      <c r="C17" s="36">
        <f t="shared" si="4"/>
        <v>389</v>
      </c>
      <c r="D17" s="91">
        <f t="shared" si="3"/>
        <v>6169.120231</v>
      </c>
      <c r="E17" s="14"/>
      <c r="F17" s="14"/>
      <c r="G17" s="14"/>
      <c r="H17" s="14"/>
    </row>
    <row r="18">
      <c r="A18" s="14"/>
      <c r="B18" s="14"/>
      <c r="C18" s="14"/>
      <c r="D18" s="14"/>
      <c r="E18" s="41" t="s">
        <v>133</v>
      </c>
      <c r="F18" s="41" t="s">
        <v>134</v>
      </c>
      <c r="G18" s="41" t="s">
        <v>104</v>
      </c>
      <c r="H18" s="41" t="s">
        <v>135</v>
      </c>
    </row>
    <row r="19">
      <c r="A19" s="60" t="s">
        <v>170</v>
      </c>
      <c r="B19" s="60" t="s">
        <v>171</v>
      </c>
      <c r="C19" s="4" t="s">
        <v>81</v>
      </c>
      <c r="D19" s="4" t="s">
        <v>1391</v>
      </c>
      <c r="E19" s="68">
        <v>135.97</v>
      </c>
      <c r="F19" s="36"/>
      <c r="G19" s="36">
        <f t="shared" ref="G19:G501" si="5">IF(E19="","",E19-F19)</f>
        <v>135.97</v>
      </c>
      <c r="H19" s="37"/>
    </row>
    <row r="20">
      <c r="A20" s="60" t="s">
        <v>174</v>
      </c>
      <c r="B20" s="60" t="s">
        <v>175</v>
      </c>
      <c r="C20" s="4" t="s">
        <v>81</v>
      </c>
      <c r="D20" s="4" t="s">
        <v>1391</v>
      </c>
      <c r="E20" s="68">
        <v>1610.76</v>
      </c>
      <c r="F20" s="36"/>
      <c r="G20" s="36">
        <f t="shared" si="5"/>
        <v>1610.76</v>
      </c>
      <c r="H20" s="37"/>
    </row>
    <row r="21">
      <c r="A21" s="60" t="s">
        <v>176</v>
      </c>
      <c r="B21" s="60" t="s">
        <v>177</v>
      </c>
      <c r="C21" s="34" t="s">
        <v>2505</v>
      </c>
      <c r="D21" s="34" t="s">
        <v>43</v>
      </c>
      <c r="E21" s="68">
        <v>1318.9</v>
      </c>
      <c r="F21" s="36"/>
      <c r="G21" s="36">
        <f t="shared" si="5"/>
        <v>1318.9</v>
      </c>
      <c r="H21" s="37"/>
    </row>
    <row r="22">
      <c r="A22" s="60" t="s">
        <v>178</v>
      </c>
      <c r="B22" s="60" t="s">
        <v>179</v>
      </c>
      <c r="C22" s="34" t="s">
        <v>2505</v>
      </c>
      <c r="D22" s="34" t="s">
        <v>43</v>
      </c>
      <c r="E22" s="68">
        <v>1611.75</v>
      </c>
      <c r="F22" s="36"/>
      <c r="G22" s="36">
        <f t="shared" si="5"/>
        <v>1611.75</v>
      </c>
      <c r="H22" s="37"/>
    </row>
    <row r="23">
      <c r="A23" s="60" t="s">
        <v>182</v>
      </c>
      <c r="B23" s="60" t="s">
        <v>183</v>
      </c>
      <c r="C23" s="34" t="s">
        <v>2505</v>
      </c>
      <c r="D23" s="34" t="s">
        <v>43</v>
      </c>
      <c r="E23" s="68">
        <v>1760.77</v>
      </c>
      <c r="F23" s="36"/>
      <c r="G23" s="36">
        <f t="shared" si="5"/>
        <v>1760.77</v>
      </c>
      <c r="H23" s="37"/>
    </row>
    <row r="24">
      <c r="A24" s="60" t="s">
        <v>184</v>
      </c>
      <c r="B24" s="60" t="s">
        <v>185</v>
      </c>
      <c r="C24" s="34" t="s">
        <v>2505</v>
      </c>
      <c r="D24" s="34" t="s">
        <v>43</v>
      </c>
      <c r="E24" s="68">
        <v>555.83</v>
      </c>
      <c r="F24" s="36"/>
      <c r="G24" s="36">
        <f t="shared" si="5"/>
        <v>555.83</v>
      </c>
      <c r="H24" s="37"/>
    </row>
    <row r="25">
      <c r="A25" s="60" t="s">
        <v>190</v>
      </c>
      <c r="B25" s="60" t="s">
        <v>191</v>
      </c>
      <c r="C25" s="34" t="s">
        <v>2505</v>
      </c>
      <c r="D25" s="34" t="s">
        <v>43</v>
      </c>
      <c r="E25" s="68">
        <v>1841.74</v>
      </c>
      <c r="F25" s="36"/>
      <c r="G25" s="36">
        <f t="shared" si="5"/>
        <v>1841.74</v>
      </c>
      <c r="H25" s="37"/>
    </row>
    <row r="26">
      <c r="A26" s="60" t="s">
        <v>2436</v>
      </c>
      <c r="B26" s="60" t="s">
        <v>165</v>
      </c>
      <c r="C26" s="34" t="s">
        <v>2505</v>
      </c>
      <c r="D26" s="34" t="s">
        <v>43</v>
      </c>
      <c r="E26" s="68">
        <v>621.91</v>
      </c>
      <c r="F26" s="36"/>
      <c r="G26" s="36">
        <f t="shared" si="5"/>
        <v>621.91</v>
      </c>
      <c r="H26" s="37"/>
    </row>
    <row r="27">
      <c r="A27" s="60" t="s">
        <v>192</v>
      </c>
      <c r="B27" s="60" t="s">
        <v>193</v>
      </c>
      <c r="C27" s="34" t="s">
        <v>2505</v>
      </c>
      <c r="D27" s="34" t="s">
        <v>43</v>
      </c>
      <c r="E27" s="68">
        <v>1641.73</v>
      </c>
      <c r="F27" s="36"/>
      <c r="G27" s="36">
        <f t="shared" si="5"/>
        <v>1641.73</v>
      </c>
      <c r="H27" s="37"/>
    </row>
    <row r="28">
      <c r="A28" s="60" t="s">
        <v>194</v>
      </c>
      <c r="B28" s="60" t="s">
        <v>195</v>
      </c>
      <c r="C28" s="34" t="s">
        <v>2505</v>
      </c>
      <c r="D28" s="34" t="s">
        <v>43</v>
      </c>
      <c r="E28" s="68">
        <v>1123.68</v>
      </c>
      <c r="F28" s="36"/>
      <c r="G28" s="36">
        <f t="shared" si="5"/>
        <v>1123.68</v>
      </c>
      <c r="H28" s="37"/>
    </row>
    <row r="29">
      <c r="A29" s="60" t="s">
        <v>196</v>
      </c>
      <c r="B29" s="60" t="s">
        <v>197</v>
      </c>
      <c r="C29" s="34" t="s">
        <v>2505</v>
      </c>
      <c r="D29" s="34" t="s">
        <v>43</v>
      </c>
      <c r="E29" s="68">
        <v>513.43</v>
      </c>
      <c r="F29" s="36"/>
      <c r="G29" s="36">
        <f t="shared" si="5"/>
        <v>513.43</v>
      </c>
      <c r="H29" s="37"/>
    </row>
    <row r="30">
      <c r="A30" s="60" t="s">
        <v>198</v>
      </c>
      <c r="B30" s="60" t="s">
        <v>199</v>
      </c>
      <c r="C30" s="34" t="s">
        <v>2505</v>
      </c>
      <c r="D30" s="34" t="s">
        <v>43</v>
      </c>
      <c r="E30" s="68">
        <v>1263.56</v>
      </c>
      <c r="F30" s="36"/>
      <c r="G30" s="36">
        <f t="shared" si="5"/>
        <v>1263.56</v>
      </c>
      <c r="H30" s="37"/>
    </row>
    <row r="31">
      <c r="A31" s="60" t="s">
        <v>200</v>
      </c>
      <c r="B31" s="60" t="s">
        <v>201</v>
      </c>
      <c r="C31" s="34" t="s">
        <v>2505</v>
      </c>
      <c r="D31" s="34" t="s">
        <v>43</v>
      </c>
      <c r="E31" s="68">
        <v>1021.87</v>
      </c>
      <c r="F31" s="36"/>
      <c r="G31" s="36">
        <f t="shared" si="5"/>
        <v>1021.87</v>
      </c>
      <c r="H31" s="37"/>
    </row>
    <row r="32">
      <c r="A32" s="60" t="s">
        <v>202</v>
      </c>
      <c r="B32" s="60" t="s">
        <v>203</v>
      </c>
      <c r="C32" s="34" t="s">
        <v>2505</v>
      </c>
      <c r="D32" s="34" t="s">
        <v>43</v>
      </c>
      <c r="E32" s="68">
        <v>384.95</v>
      </c>
      <c r="F32" s="36"/>
      <c r="G32" s="36">
        <f t="shared" si="5"/>
        <v>384.95</v>
      </c>
      <c r="H32" s="37"/>
    </row>
    <row r="33">
      <c r="A33" s="60" t="s">
        <v>204</v>
      </c>
      <c r="B33" s="60" t="s">
        <v>205</v>
      </c>
      <c r="C33" s="34" t="s">
        <v>2505</v>
      </c>
      <c r="D33" s="34" t="s">
        <v>43</v>
      </c>
      <c r="E33" s="68">
        <v>789.89</v>
      </c>
      <c r="F33" s="36"/>
      <c r="G33" s="36">
        <f t="shared" si="5"/>
        <v>789.89</v>
      </c>
      <c r="H33" s="37"/>
    </row>
    <row r="34">
      <c r="A34" s="60" t="s">
        <v>206</v>
      </c>
      <c r="B34" s="60" t="s">
        <v>207</v>
      </c>
      <c r="C34" s="34" t="s">
        <v>2505</v>
      </c>
      <c r="D34" s="34" t="s">
        <v>43</v>
      </c>
      <c r="E34" s="68">
        <v>3061.18</v>
      </c>
      <c r="F34" s="36"/>
      <c r="G34" s="36">
        <f t="shared" si="5"/>
        <v>3061.18</v>
      </c>
      <c r="H34" s="37"/>
    </row>
    <row r="35">
      <c r="A35" s="60" t="s">
        <v>208</v>
      </c>
      <c r="B35" s="60" t="s">
        <v>209</v>
      </c>
      <c r="C35" s="34" t="s">
        <v>2505</v>
      </c>
      <c r="D35" s="34" t="s">
        <v>43</v>
      </c>
      <c r="E35" s="68">
        <v>2959.52</v>
      </c>
      <c r="F35" s="36"/>
      <c r="G35" s="36">
        <f t="shared" si="5"/>
        <v>2959.52</v>
      </c>
      <c r="H35" s="37"/>
    </row>
    <row r="36">
      <c r="A36" s="60" t="s">
        <v>214</v>
      </c>
      <c r="B36" s="60" t="s">
        <v>215</v>
      </c>
      <c r="C36" s="34" t="s">
        <v>2505</v>
      </c>
      <c r="D36" s="34" t="s">
        <v>43</v>
      </c>
      <c r="E36" s="68">
        <v>234.97</v>
      </c>
      <c r="F36" s="36"/>
      <c r="G36" s="36">
        <f t="shared" si="5"/>
        <v>234.97</v>
      </c>
      <c r="H36" s="37"/>
    </row>
    <row r="37">
      <c r="A37" s="60" t="s">
        <v>1762</v>
      </c>
      <c r="B37" s="60" t="s">
        <v>1763</v>
      </c>
      <c r="C37" s="34" t="s">
        <v>2505</v>
      </c>
      <c r="D37" s="34" t="s">
        <v>43</v>
      </c>
      <c r="E37" s="68">
        <v>1774.77</v>
      </c>
      <c r="F37" s="36"/>
      <c r="G37" s="36">
        <f t="shared" si="5"/>
        <v>1774.77</v>
      </c>
      <c r="H37" s="37"/>
    </row>
    <row r="38">
      <c r="A38" s="60" t="s">
        <v>218</v>
      </c>
      <c r="B38" s="60" t="s">
        <v>219</v>
      </c>
      <c r="C38" s="34" t="s">
        <v>2505</v>
      </c>
      <c r="D38" s="34" t="s">
        <v>43</v>
      </c>
      <c r="E38" s="68">
        <v>3048.58</v>
      </c>
      <c r="F38" s="36"/>
      <c r="G38" s="36">
        <f t="shared" si="5"/>
        <v>3048.58</v>
      </c>
      <c r="H38" s="37"/>
    </row>
    <row r="39">
      <c r="A39" s="60" t="s">
        <v>220</v>
      </c>
      <c r="B39" s="60" t="s">
        <v>221</v>
      </c>
      <c r="C39" s="34" t="s">
        <v>2505</v>
      </c>
      <c r="D39" s="34" t="s">
        <v>43</v>
      </c>
      <c r="E39" s="68">
        <v>295.94</v>
      </c>
      <c r="F39" s="36"/>
      <c r="G39" s="36">
        <f t="shared" si="5"/>
        <v>295.94</v>
      </c>
      <c r="H39" s="37"/>
    </row>
    <row r="40">
      <c r="A40" s="60" t="s">
        <v>222</v>
      </c>
      <c r="B40" s="60" t="s">
        <v>223</v>
      </c>
      <c r="C40" s="34" t="s">
        <v>2505</v>
      </c>
      <c r="D40" s="34" t="s">
        <v>43</v>
      </c>
      <c r="E40" s="68">
        <v>74.99</v>
      </c>
      <c r="F40" s="36"/>
      <c r="G40" s="36">
        <f t="shared" si="5"/>
        <v>74.99</v>
      </c>
      <c r="H40" s="37"/>
    </row>
    <row r="41">
      <c r="A41" s="60" t="s">
        <v>224</v>
      </c>
      <c r="B41" s="60" t="s">
        <v>225</v>
      </c>
      <c r="C41" s="34" t="s">
        <v>2505</v>
      </c>
      <c r="D41" s="34" t="s">
        <v>43</v>
      </c>
      <c r="E41" s="68">
        <v>1027.91</v>
      </c>
      <c r="F41" s="36"/>
      <c r="G41" s="36">
        <f t="shared" si="5"/>
        <v>1027.91</v>
      </c>
      <c r="H41" s="37"/>
    </row>
    <row r="42">
      <c r="A42" s="60" t="s">
        <v>226</v>
      </c>
      <c r="B42" s="60" t="s">
        <v>227</v>
      </c>
      <c r="C42" s="34" t="s">
        <v>2505</v>
      </c>
      <c r="D42" s="34" t="s">
        <v>43</v>
      </c>
      <c r="E42" s="68">
        <v>500.0</v>
      </c>
      <c r="F42" s="36"/>
      <c r="G42" s="36">
        <f t="shared" si="5"/>
        <v>500</v>
      </c>
      <c r="H42" s="37"/>
    </row>
    <row r="43">
      <c r="A43" s="60" t="s">
        <v>228</v>
      </c>
      <c r="B43" s="60" t="s">
        <v>229</v>
      </c>
      <c r="C43" s="34" t="s">
        <v>2505</v>
      </c>
      <c r="D43" s="34" t="s">
        <v>43</v>
      </c>
      <c r="E43" s="68">
        <v>1206.74</v>
      </c>
      <c r="F43" s="36"/>
      <c r="G43" s="36">
        <f t="shared" si="5"/>
        <v>1206.74</v>
      </c>
      <c r="H43" s="37"/>
    </row>
    <row r="44">
      <c r="A44" s="60" t="s">
        <v>230</v>
      </c>
      <c r="B44" s="60" t="s">
        <v>231</v>
      </c>
      <c r="C44" s="34" t="s">
        <v>2505</v>
      </c>
      <c r="D44" s="34" t="s">
        <v>43</v>
      </c>
      <c r="E44" s="68">
        <v>1246.18</v>
      </c>
      <c r="F44" s="36"/>
      <c r="G44" s="36">
        <f t="shared" si="5"/>
        <v>1246.18</v>
      </c>
      <c r="H44" s="37"/>
    </row>
    <row r="45">
      <c r="A45" s="60" t="s">
        <v>232</v>
      </c>
      <c r="B45" s="60" t="s">
        <v>233</v>
      </c>
      <c r="C45" s="34" t="s">
        <v>2505</v>
      </c>
      <c r="D45" s="34" t="s">
        <v>43</v>
      </c>
      <c r="E45" s="68">
        <v>900.0</v>
      </c>
      <c r="F45" s="36"/>
      <c r="G45" s="36">
        <f t="shared" si="5"/>
        <v>900</v>
      </c>
      <c r="H45" s="37"/>
    </row>
    <row r="46">
      <c r="A46" s="60" t="s">
        <v>234</v>
      </c>
      <c r="B46" s="60" t="s">
        <v>235</v>
      </c>
      <c r="C46" s="34" t="s">
        <v>2505</v>
      </c>
      <c r="D46" s="34" t="s">
        <v>43</v>
      </c>
      <c r="E46" s="68">
        <v>100.0</v>
      </c>
      <c r="F46" s="36"/>
      <c r="G46" s="36">
        <f t="shared" si="5"/>
        <v>100</v>
      </c>
      <c r="H46" s="37"/>
    </row>
    <row r="47">
      <c r="A47" s="60" t="s">
        <v>236</v>
      </c>
      <c r="B47" s="60" t="s">
        <v>237</v>
      </c>
      <c r="C47" s="34" t="s">
        <v>2505</v>
      </c>
      <c r="D47" s="34" t="s">
        <v>43</v>
      </c>
      <c r="E47" s="68">
        <v>292.95</v>
      </c>
      <c r="F47" s="36"/>
      <c r="G47" s="36">
        <f t="shared" si="5"/>
        <v>292.95</v>
      </c>
      <c r="H47" s="37"/>
    </row>
    <row r="48">
      <c r="A48" s="60" t="s">
        <v>238</v>
      </c>
      <c r="B48" s="60" t="s">
        <v>239</v>
      </c>
      <c r="C48" s="34" t="s">
        <v>2505</v>
      </c>
      <c r="D48" s="34" t="s">
        <v>43</v>
      </c>
      <c r="E48" s="68">
        <v>1428.7</v>
      </c>
      <c r="F48" s="36"/>
      <c r="G48" s="36">
        <f t="shared" si="5"/>
        <v>1428.7</v>
      </c>
      <c r="H48" s="37"/>
    </row>
    <row r="49">
      <c r="A49" s="60" t="s">
        <v>240</v>
      </c>
      <c r="B49" s="60" t="s">
        <v>241</v>
      </c>
      <c r="C49" s="34" t="s">
        <v>2505</v>
      </c>
      <c r="D49" s="34" t="s">
        <v>43</v>
      </c>
      <c r="E49" s="68">
        <v>7644.64</v>
      </c>
      <c r="F49" s="36"/>
      <c r="G49" s="36">
        <f t="shared" si="5"/>
        <v>7644.64</v>
      </c>
      <c r="H49" s="37"/>
    </row>
    <row r="50">
      <c r="A50" s="60" t="s">
        <v>242</v>
      </c>
      <c r="B50" s="60" t="s">
        <v>243</v>
      </c>
      <c r="C50" s="34" t="s">
        <v>2505</v>
      </c>
      <c r="D50" s="34" t="s">
        <v>43</v>
      </c>
      <c r="E50" s="68">
        <v>20319.3</v>
      </c>
      <c r="F50" s="36"/>
      <c r="G50" s="36">
        <f t="shared" si="5"/>
        <v>20319.3</v>
      </c>
      <c r="H50" s="37"/>
    </row>
    <row r="51">
      <c r="A51" s="60" t="s">
        <v>244</v>
      </c>
      <c r="B51" s="60" t="s">
        <v>245</v>
      </c>
      <c r="C51" s="34" t="s">
        <v>2505</v>
      </c>
      <c r="D51" s="34" t="s">
        <v>43</v>
      </c>
      <c r="E51" s="68">
        <v>776.9</v>
      </c>
      <c r="F51" s="36"/>
      <c r="G51" s="36">
        <f t="shared" si="5"/>
        <v>776.9</v>
      </c>
      <c r="H51" s="37"/>
    </row>
    <row r="52">
      <c r="A52" s="60" t="s">
        <v>982</v>
      </c>
      <c r="B52" s="60" t="s">
        <v>983</v>
      </c>
      <c r="C52" s="34" t="s">
        <v>2505</v>
      </c>
      <c r="D52" s="34" t="s">
        <v>43</v>
      </c>
      <c r="E52" s="68">
        <v>1018.02</v>
      </c>
      <c r="F52" s="36"/>
      <c r="G52" s="36">
        <f t="shared" si="5"/>
        <v>1018.02</v>
      </c>
      <c r="H52" s="37"/>
    </row>
    <row r="53">
      <c r="A53" s="60" t="s">
        <v>248</v>
      </c>
      <c r="B53" s="60" t="s">
        <v>249</v>
      </c>
      <c r="C53" s="34" t="s">
        <v>2505</v>
      </c>
      <c r="D53" s="34" t="s">
        <v>43</v>
      </c>
      <c r="E53" s="68">
        <v>1.87</v>
      </c>
      <c r="F53" s="36"/>
      <c r="G53" s="36">
        <f t="shared" si="5"/>
        <v>1.87</v>
      </c>
      <c r="H53" s="37"/>
    </row>
    <row r="54">
      <c r="A54" s="60" t="s">
        <v>250</v>
      </c>
      <c r="B54" s="60" t="s">
        <v>251</v>
      </c>
      <c r="C54" s="34" t="s">
        <v>2505</v>
      </c>
      <c r="D54" s="34" t="s">
        <v>43</v>
      </c>
      <c r="E54" s="68">
        <v>2085.72</v>
      </c>
      <c r="F54" s="36"/>
      <c r="G54" s="36">
        <f t="shared" si="5"/>
        <v>2085.72</v>
      </c>
      <c r="H54" s="37"/>
    </row>
    <row r="55">
      <c r="A55" s="60" t="s">
        <v>252</v>
      </c>
      <c r="B55" s="60" t="s">
        <v>253</v>
      </c>
      <c r="C55" s="34" t="s">
        <v>2505</v>
      </c>
      <c r="D55" s="34" t="s">
        <v>43</v>
      </c>
      <c r="E55" s="68">
        <v>387.93</v>
      </c>
      <c r="F55" s="36"/>
      <c r="G55" s="36">
        <f t="shared" si="5"/>
        <v>387.93</v>
      </c>
      <c r="H55" s="37"/>
    </row>
    <row r="56">
      <c r="A56" s="60" t="s">
        <v>256</v>
      </c>
      <c r="B56" s="60" t="s">
        <v>257</v>
      </c>
      <c r="C56" s="34" t="s">
        <v>2505</v>
      </c>
      <c r="D56" s="34" t="s">
        <v>43</v>
      </c>
      <c r="E56" s="68">
        <v>1015.87</v>
      </c>
      <c r="F56" s="36"/>
      <c r="G56" s="36">
        <f t="shared" si="5"/>
        <v>1015.87</v>
      </c>
      <c r="H56" s="37"/>
    </row>
    <row r="57">
      <c r="A57" s="60" t="s">
        <v>258</v>
      </c>
      <c r="B57" s="60" t="s">
        <v>259</v>
      </c>
      <c r="C57" s="34" t="s">
        <v>2505</v>
      </c>
      <c r="D57" s="34" t="s">
        <v>43</v>
      </c>
      <c r="E57" s="68">
        <v>1379.83</v>
      </c>
      <c r="F57" s="36"/>
      <c r="G57" s="36">
        <f t="shared" si="5"/>
        <v>1379.83</v>
      </c>
      <c r="H57" s="37"/>
    </row>
    <row r="58">
      <c r="A58" s="60" t="s">
        <v>260</v>
      </c>
      <c r="B58" s="60" t="s">
        <v>261</v>
      </c>
      <c r="C58" s="34" t="s">
        <v>2505</v>
      </c>
      <c r="D58" s="34" t="s">
        <v>43</v>
      </c>
      <c r="E58" s="68">
        <v>640.9</v>
      </c>
      <c r="F58" s="36"/>
      <c r="G58" s="36">
        <f t="shared" si="5"/>
        <v>640.9</v>
      </c>
      <c r="H58" s="37"/>
    </row>
    <row r="59">
      <c r="A59" s="60" t="s">
        <v>262</v>
      </c>
      <c r="B59" s="60" t="s">
        <v>263</v>
      </c>
      <c r="C59" s="34" t="s">
        <v>2505</v>
      </c>
      <c r="D59" s="34" t="s">
        <v>43</v>
      </c>
      <c r="E59" s="68">
        <v>1400.0</v>
      </c>
      <c r="F59" s="36"/>
      <c r="G59" s="36">
        <f t="shared" si="5"/>
        <v>1400</v>
      </c>
      <c r="H59" s="37"/>
    </row>
    <row r="60">
      <c r="A60" s="60" t="s">
        <v>266</v>
      </c>
      <c r="B60" s="60" t="s">
        <v>267</v>
      </c>
      <c r="C60" s="34" t="s">
        <v>2505</v>
      </c>
      <c r="D60" s="34" t="s">
        <v>43</v>
      </c>
      <c r="E60" s="68">
        <v>899.8</v>
      </c>
      <c r="F60" s="36"/>
      <c r="G60" s="36">
        <f t="shared" si="5"/>
        <v>899.8</v>
      </c>
      <c r="H60" s="37"/>
    </row>
    <row r="61">
      <c r="A61" s="60" t="s">
        <v>136</v>
      </c>
      <c r="B61" s="60" t="s">
        <v>137</v>
      </c>
      <c r="C61" s="34" t="s">
        <v>2506</v>
      </c>
      <c r="D61" s="34" t="s">
        <v>44</v>
      </c>
      <c r="E61" s="68">
        <v>2723.6</v>
      </c>
      <c r="F61" s="36"/>
      <c r="G61" s="36">
        <f t="shared" si="5"/>
        <v>2723.6</v>
      </c>
      <c r="H61" s="37"/>
    </row>
    <row r="62">
      <c r="A62" s="60" t="s">
        <v>138</v>
      </c>
      <c r="B62" s="60" t="s">
        <v>139</v>
      </c>
      <c r="C62" s="34" t="s">
        <v>2506</v>
      </c>
      <c r="D62" s="34" t="s">
        <v>44</v>
      </c>
      <c r="E62" s="68">
        <v>1939.7</v>
      </c>
      <c r="F62" s="36"/>
      <c r="G62" s="36">
        <f t="shared" si="5"/>
        <v>1939.7</v>
      </c>
      <c r="H62" s="37"/>
    </row>
    <row r="63">
      <c r="A63" s="60" t="s">
        <v>142</v>
      </c>
      <c r="B63" s="60" t="s">
        <v>143</v>
      </c>
      <c r="C63" s="34" t="s">
        <v>2506</v>
      </c>
      <c r="D63" s="34" t="s">
        <v>44</v>
      </c>
      <c r="E63" s="68">
        <v>1460.78</v>
      </c>
      <c r="F63" s="36"/>
      <c r="G63" s="36">
        <f t="shared" si="5"/>
        <v>1460.78</v>
      </c>
      <c r="H63" s="37"/>
    </row>
    <row r="64">
      <c r="A64" s="60" t="s">
        <v>2605</v>
      </c>
      <c r="B64" s="60" t="s">
        <v>2606</v>
      </c>
      <c r="C64" s="34" t="s">
        <v>2506</v>
      </c>
      <c r="D64" s="34" t="s">
        <v>44</v>
      </c>
      <c r="E64" s="68">
        <v>974.88</v>
      </c>
      <c r="F64" s="36"/>
      <c r="G64" s="36">
        <f t="shared" si="5"/>
        <v>974.88</v>
      </c>
      <c r="H64" s="37"/>
    </row>
    <row r="65">
      <c r="A65" s="60" t="s">
        <v>1600</v>
      </c>
      <c r="B65" s="60" t="s">
        <v>1601</v>
      </c>
      <c r="C65" s="34" t="s">
        <v>2506</v>
      </c>
      <c r="D65" s="34" t="s">
        <v>44</v>
      </c>
      <c r="E65" s="68">
        <v>881.87</v>
      </c>
      <c r="F65" s="36"/>
      <c r="G65" s="36">
        <f t="shared" si="5"/>
        <v>881.87</v>
      </c>
      <c r="H65" s="37"/>
    </row>
    <row r="66">
      <c r="A66" s="60" t="s">
        <v>144</v>
      </c>
      <c r="B66" s="60" t="s">
        <v>145</v>
      </c>
      <c r="C66" s="34" t="s">
        <v>2506</v>
      </c>
      <c r="D66" s="34" t="s">
        <v>44</v>
      </c>
      <c r="E66" s="68">
        <v>284.96</v>
      </c>
      <c r="F66" s="36"/>
      <c r="G66" s="36">
        <f t="shared" si="5"/>
        <v>284.96</v>
      </c>
      <c r="H66" s="37"/>
    </row>
    <row r="67">
      <c r="A67" s="60" t="s">
        <v>1602</v>
      </c>
      <c r="B67" s="60" t="s">
        <v>1603</v>
      </c>
      <c r="C67" s="34" t="s">
        <v>2506</v>
      </c>
      <c r="D67" s="34" t="s">
        <v>44</v>
      </c>
      <c r="E67" s="68">
        <v>1006.35</v>
      </c>
      <c r="F67" s="36"/>
      <c r="G67" s="36">
        <f t="shared" si="5"/>
        <v>1006.35</v>
      </c>
      <c r="H67" s="37"/>
    </row>
    <row r="68">
      <c r="A68" s="60" t="s">
        <v>1604</v>
      </c>
      <c r="B68" s="60" t="s">
        <v>1605</v>
      </c>
      <c r="C68" s="34" t="s">
        <v>2506</v>
      </c>
      <c r="D68" s="34" t="s">
        <v>44</v>
      </c>
      <c r="E68" s="68">
        <v>324.94</v>
      </c>
      <c r="F68" s="36"/>
      <c r="G68" s="36">
        <f t="shared" si="5"/>
        <v>324.94</v>
      </c>
      <c r="H68" s="37"/>
    </row>
    <row r="69">
      <c r="A69" s="60" t="s">
        <v>148</v>
      </c>
      <c r="B69" s="60" t="s">
        <v>149</v>
      </c>
      <c r="C69" s="34" t="s">
        <v>2506</v>
      </c>
      <c r="D69" s="34" t="s">
        <v>44</v>
      </c>
      <c r="E69" s="68">
        <v>2161.67</v>
      </c>
      <c r="F69" s="36"/>
      <c r="G69" s="36">
        <f t="shared" si="5"/>
        <v>2161.67</v>
      </c>
      <c r="H69" s="37"/>
    </row>
    <row r="70">
      <c r="A70" s="60" t="s">
        <v>150</v>
      </c>
      <c r="B70" s="60" t="s">
        <v>151</v>
      </c>
      <c r="C70" s="34" t="s">
        <v>2506</v>
      </c>
      <c r="D70" s="34" t="s">
        <v>44</v>
      </c>
      <c r="E70" s="68">
        <v>1257.81</v>
      </c>
      <c r="F70" s="36"/>
      <c r="G70" s="36">
        <f t="shared" si="5"/>
        <v>1257.81</v>
      </c>
      <c r="H70" s="37"/>
    </row>
    <row r="71">
      <c r="A71" s="60" t="s">
        <v>152</v>
      </c>
      <c r="B71" s="60" t="s">
        <v>153</v>
      </c>
      <c r="C71" s="34" t="s">
        <v>2506</v>
      </c>
      <c r="D71" s="34" t="s">
        <v>44</v>
      </c>
      <c r="E71" s="68">
        <v>4655.4</v>
      </c>
      <c r="F71" s="36"/>
      <c r="G71" s="36">
        <f t="shared" si="5"/>
        <v>4655.4</v>
      </c>
      <c r="H71" s="37"/>
    </row>
    <row r="72">
      <c r="A72" s="60" t="s">
        <v>154</v>
      </c>
      <c r="B72" s="60" t="s">
        <v>155</v>
      </c>
      <c r="C72" s="34" t="s">
        <v>2506</v>
      </c>
      <c r="D72" s="34" t="s">
        <v>44</v>
      </c>
      <c r="E72" s="68">
        <v>1239.82</v>
      </c>
      <c r="F72" s="36"/>
      <c r="G72" s="36">
        <f t="shared" si="5"/>
        <v>1239.82</v>
      </c>
      <c r="H72" s="37"/>
    </row>
    <row r="73">
      <c r="A73" s="60" t="s">
        <v>156</v>
      </c>
      <c r="B73" s="60" t="s">
        <v>157</v>
      </c>
      <c r="C73" s="34" t="s">
        <v>2506</v>
      </c>
      <c r="D73" s="34" t="s">
        <v>44</v>
      </c>
      <c r="E73" s="68">
        <v>200.0</v>
      </c>
      <c r="F73" s="36"/>
      <c r="G73" s="36">
        <f t="shared" si="5"/>
        <v>200</v>
      </c>
      <c r="H73" s="37"/>
    </row>
    <row r="74">
      <c r="A74" s="60" t="s">
        <v>158</v>
      </c>
      <c r="B74" s="60" t="s">
        <v>159</v>
      </c>
      <c r="C74" s="34" t="s">
        <v>2506</v>
      </c>
      <c r="D74" s="34" t="s">
        <v>44</v>
      </c>
      <c r="E74" s="68">
        <v>1133.83</v>
      </c>
      <c r="F74" s="36"/>
      <c r="G74" s="36">
        <f t="shared" si="5"/>
        <v>1133.83</v>
      </c>
      <c r="H74" s="37"/>
    </row>
    <row r="75">
      <c r="A75" s="60" t="s">
        <v>160</v>
      </c>
      <c r="B75" s="60" t="s">
        <v>161</v>
      </c>
      <c r="C75" s="34" t="s">
        <v>2506</v>
      </c>
      <c r="D75" s="34" t="s">
        <v>44</v>
      </c>
      <c r="E75" s="68">
        <v>1171.83</v>
      </c>
      <c r="F75" s="36"/>
      <c r="G75" s="36">
        <f t="shared" si="5"/>
        <v>1171.83</v>
      </c>
      <c r="H75" s="37"/>
    </row>
    <row r="76">
      <c r="A76" s="60" t="s">
        <v>162</v>
      </c>
      <c r="B76" s="60" t="s">
        <v>163</v>
      </c>
      <c r="C76" s="34" t="s">
        <v>2506</v>
      </c>
      <c r="D76" s="34" t="s">
        <v>44</v>
      </c>
      <c r="E76" s="68">
        <v>663.9</v>
      </c>
      <c r="F76" s="36"/>
      <c r="G76" s="36">
        <f t="shared" si="5"/>
        <v>663.9</v>
      </c>
      <c r="H76" s="37"/>
    </row>
    <row r="77">
      <c r="A77" s="60" t="s">
        <v>168</v>
      </c>
      <c r="B77" s="60" t="s">
        <v>169</v>
      </c>
      <c r="C77" s="34" t="s">
        <v>2506</v>
      </c>
      <c r="D77" s="34" t="s">
        <v>44</v>
      </c>
      <c r="E77" s="68">
        <v>1067.87</v>
      </c>
      <c r="F77" s="36"/>
      <c r="G77" s="36">
        <f t="shared" si="5"/>
        <v>1067.87</v>
      </c>
      <c r="H77" s="37"/>
    </row>
    <row r="78">
      <c r="A78" s="60" t="s">
        <v>278</v>
      </c>
      <c r="B78" s="60" t="s">
        <v>279</v>
      </c>
      <c r="C78" s="34" t="s">
        <v>2509</v>
      </c>
      <c r="D78" s="34" t="s">
        <v>45</v>
      </c>
      <c r="E78" s="68">
        <v>2206.68</v>
      </c>
      <c r="F78" s="36"/>
      <c r="G78" s="36">
        <f t="shared" si="5"/>
        <v>2206.68</v>
      </c>
      <c r="H78" s="37"/>
    </row>
    <row r="79">
      <c r="A79" s="60" t="s">
        <v>280</v>
      </c>
      <c r="B79" s="60" t="s">
        <v>281</v>
      </c>
      <c r="C79" s="34" t="s">
        <v>2509</v>
      </c>
      <c r="D79" s="34" t="s">
        <v>45</v>
      </c>
      <c r="E79" s="68">
        <v>1699.99</v>
      </c>
      <c r="F79" s="36"/>
      <c r="G79" s="36">
        <f t="shared" si="5"/>
        <v>1699.99</v>
      </c>
      <c r="H79" s="37"/>
    </row>
    <row r="80">
      <c r="A80" s="60" t="s">
        <v>282</v>
      </c>
      <c r="B80" s="60" t="s">
        <v>283</v>
      </c>
      <c r="C80" s="34" t="s">
        <v>2509</v>
      </c>
      <c r="D80" s="34" t="s">
        <v>45</v>
      </c>
      <c r="E80" s="68">
        <v>799.85</v>
      </c>
      <c r="F80" s="36"/>
      <c r="G80" s="36">
        <f t="shared" si="5"/>
        <v>799.85</v>
      </c>
      <c r="H80" s="37"/>
    </row>
    <row r="81">
      <c r="A81" s="60" t="s">
        <v>284</v>
      </c>
      <c r="B81" s="60" t="s">
        <v>285</v>
      </c>
      <c r="C81" s="34" t="s">
        <v>2509</v>
      </c>
      <c r="D81" s="34" t="s">
        <v>45</v>
      </c>
      <c r="E81" s="68">
        <v>1152.23</v>
      </c>
      <c r="F81" s="36"/>
      <c r="G81" s="36">
        <f t="shared" si="5"/>
        <v>1152.23</v>
      </c>
      <c r="H81" s="37"/>
    </row>
    <row r="82">
      <c r="A82" s="60" t="s">
        <v>1769</v>
      </c>
      <c r="B82" s="60" t="s">
        <v>1770</v>
      </c>
      <c r="C82" s="34" t="s">
        <v>2509</v>
      </c>
      <c r="D82" s="34" t="s">
        <v>45</v>
      </c>
      <c r="E82" s="68">
        <v>1035.85</v>
      </c>
      <c r="F82" s="36"/>
      <c r="G82" s="36">
        <f t="shared" si="5"/>
        <v>1035.85</v>
      </c>
      <c r="H82" s="37"/>
    </row>
    <row r="83">
      <c r="A83" s="60" t="s">
        <v>286</v>
      </c>
      <c r="B83" s="60" t="s">
        <v>287</v>
      </c>
      <c r="C83" s="34" t="s">
        <v>2509</v>
      </c>
      <c r="D83" s="34" t="s">
        <v>45</v>
      </c>
      <c r="E83" s="68">
        <v>1196.32</v>
      </c>
      <c r="F83" s="36"/>
      <c r="G83" s="36">
        <f t="shared" si="5"/>
        <v>1196.32</v>
      </c>
      <c r="H83" s="37"/>
    </row>
    <row r="84">
      <c r="A84" s="60" t="s">
        <v>288</v>
      </c>
      <c r="B84" s="60" t="s">
        <v>289</v>
      </c>
      <c r="C84" s="34" t="s">
        <v>2509</v>
      </c>
      <c r="D84" s="34" t="s">
        <v>45</v>
      </c>
      <c r="E84" s="68">
        <v>1041.86</v>
      </c>
      <c r="F84" s="36"/>
      <c r="G84" s="36">
        <f t="shared" si="5"/>
        <v>1041.86</v>
      </c>
      <c r="H84" s="37"/>
    </row>
    <row r="85">
      <c r="A85" s="60" t="s">
        <v>290</v>
      </c>
      <c r="B85" s="60" t="s">
        <v>291</v>
      </c>
      <c r="C85" s="34" t="s">
        <v>2509</v>
      </c>
      <c r="D85" s="34" t="s">
        <v>45</v>
      </c>
      <c r="E85" s="68">
        <v>2127.72</v>
      </c>
      <c r="F85" s="36"/>
      <c r="G85" s="36">
        <f t="shared" si="5"/>
        <v>2127.72</v>
      </c>
      <c r="H85" s="37"/>
    </row>
    <row r="86">
      <c r="A86" s="60" t="s">
        <v>292</v>
      </c>
      <c r="B86" s="60" t="s">
        <v>293</v>
      </c>
      <c r="C86" s="34" t="s">
        <v>2509</v>
      </c>
      <c r="D86" s="34" t="s">
        <v>45</v>
      </c>
      <c r="E86" s="68">
        <v>529.86</v>
      </c>
      <c r="F86" s="36"/>
      <c r="G86" s="36">
        <f t="shared" si="5"/>
        <v>529.86</v>
      </c>
      <c r="H86" s="37"/>
    </row>
    <row r="87">
      <c r="A87" s="60" t="s">
        <v>294</v>
      </c>
      <c r="B87" s="60" t="s">
        <v>295</v>
      </c>
      <c r="C87" s="34" t="s">
        <v>2509</v>
      </c>
      <c r="D87" s="34" t="s">
        <v>45</v>
      </c>
      <c r="E87" s="68">
        <v>501.92</v>
      </c>
      <c r="F87" s="36"/>
      <c r="G87" s="36">
        <f t="shared" si="5"/>
        <v>501.92</v>
      </c>
      <c r="H87" s="37"/>
    </row>
    <row r="88">
      <c r="A88" s="60" t="s">
        <v>1771</v>
      </c>
      <c r="B88" s="60" t="s">
        <v>1772</v>
      </c>
      <c r="C88" s="34" t="s">
        <v>2509</v>
      </c>
      <c r="D88" s="34" t="s">
        <v>45</v>
      </c>
      <c r="E88" s="68">
        <v>4207.43</v>
      </c>
      <c r="F88" s="36"/>
      <c r="G88" s="36">
        <f t="shared" si="5"/>
        <v>4207.43</v>
      </c>
      <c r="H88" s="37"/>
    </row>
    <row r="89">
      <c r="A89" s="60" t="s">
        <v>296</v>
      </c>
      <c r="B89" s="60" t="s">
        <v>297</v>
      </c>
      <c r="C89" s="34" t="s">
        <v>2509</v>
      </c>
      <c r="D89" s="34" t="s">
        <v>45</v>
      </c>
      <c r="E89" s="68">
        <v>679.78</v>
      </c>
      <c r="F89" s="36"/>
      <c r="G89" s="36">
        <f t="shared" si="5"/>
        <v>679.78</v>
      </c>
      <c r="H89" s="37"/>
    </row>
    <row r="90">
      <c r="A90" s="60" t="s">
        <v>2443</v>
      </c>
      <c r="B90" s="60" t="s">
        <v>2444</v>
      </c>
      <c r="C90" s="34" t="s">
        <v>2509</v>
      </c>
      <c r="D90" s="34" t="s">
        <v>45</v>
      </c>
      <c r="E90" s="68">
        <v>409.93</v>
      </c>
      <c r="F90" s="36"/>
      <c r="G90" s="36">
        <f t="shared" si="5"/>
        <v>409.93</v>
      </c>
      <c r="H90" s="37"/>
    </row>
    <row r="91">
      <c r="A91" s="60" t="s">
        <v>300</v>
      </c>
      <c r="B91" s="60" t="s">
        <v>301</v>
      </c>
      <c r="C91" s="34" t="s">
        <v>2509</v>
      </c>
      <c r="D91" s="34" t="s">
        <v>45</v>
      </c>
      <c r="E91" s="68">
        <v>343.95</v>
      </c>
      <c r="F91" s="36"/>
      <c r="G91" s="36">
        <f t="shared" si="5"/>
        <v>343.95</v>
      </c>
      <c r="H91" s="37"/>
    </row>
    <row r="92">
      <c r="A92" s="60" t="s">
        <v>1415</v>
      </c>
      <c r="B92" s="60" t="s">
        <v>1416</v>
      </c>
      <c r="C92" s="34" t="s">
        <v>2509</v>
      </c>
      <c r="D92" s="34" t="s">
        <v>45</v>
      </c>
      <c r="E92" s="68">
        <v>2918.03</v>
      </c>
      <c r="F92" s="36"/>
      <c r="G92" s="36">
        <f t="shared" si="5"/>
        <v>2918.03</v>
      </c>
      <c r="H92" s="37"/>
    </row>
    <row r="93">
      <c r="A93" s="60" t="s">
        <v>302</v>
      </c>
      <c r="B93" s="60" t="s">
        <v>303</v>
      </c>
      <c r="C93" s="34" t="s">
        <v>2509</v>
      </c>
      <c r="D93" s="34" t="s">
        <v>45</v>
      </c>
      <c r="E93" s="68">
        <v>1935.75</v>
      </c>
      <c r="F93" s="36"/>
      <c r="G93" s="36">
        <f t="shared" si="5"/>
        <v>1935.75</v>
      </c>
      <c r="H93" s="37"/>
    </row>
    <row r="94">
      <c r="A94" s="60" t="s">
        <v>304</v>
      </c>
      <c r="B94" s="60" t="s">
        <v>305</v>
      </c>
      <c r="C94" s="34" t="s">
        <v>2509</v>
      </c>
      <c r="D94" s="34" t="s">
        <v>45</v>
      </c>
      <c r="E94" s="68">
        <v>2059.71</v>
      </c>
      <c r="F94" s="36"/>
      <c r="G94" s="36">
        <f t="shared" si="5"/>
        <v>2059.71</v>
      </c>
      <c r="H94" s="37"/>
    </row>
    <row r="95">
      <c r="A95" s="60" t="s">
        <v>1773</v>
      </c>
      <c r="B95" s="60" t="s">
        <v>1774</v>
      </c>
      <c r="C95" s="34" t="s">
        <v>2509</v>
      </c>
      <c r="D95" s="34" t="s">
        <v>45</v>
      </c>
      <c r="E95" s="68">
        <v>205.97</v>
      </c>
      <c r="F95" s="36"/>
      <c r="G95" s="36">
        <f t="shared" si="5"/>
        <v>205.97</v>
      </c>
      <c r="H95" s="37"/>
    </row>
    <row r="96">
      <c r="A96" s="60" t="s">
        <v>308</v>
      </c>
      <c r="B96" s="60" t="s">
        <v>309</v>
      </c>
      <c r="C96" s="34" t="s">
        <v>73</v>
      </c>
      <c r="D96" s="34" t="s">
        <v>52</v>
      </c>
      <c r="E96" s="68">
        <v>25381.93</v>
      </c>
      <c r="F96" s="36"/>
      <c r="G96" s="36">
        <f t="shared" si="5"/>
        <v>25381.93</v>
      </c>
      <c r="H96" s="37"/>
    </row>
    <row r="97">
      <c r="A97" s="60" t="s">
        <v>310</v>
      </c>
      <c r="B97" s="60" t="s">
        <v>311</v>
      </c>
      <c r="C97" s="34" t="s">
        <v>73</v>
      </c>
      <c r="D97" s="34" t="s">
        <v>52</v>
      </c>
      <c r="E97" s="68">
        <v>19329.37</v>
      </c>
      <c r="F97" s="36"/>
      <c r="G97" s="36">
        <f t="shared" si="5"/>
        <v>19329.37</v>
      </c>
      <c r="H97" s="37"/>
    </row>
    <row r="98">
      <c r="A98" s="60" t="s">
        <v>312</v>
      </c>
      <c r="B98" s="60" t="s">
        <v>313</v>
      </c>
      <c r="C98" s="34" t="s">
        <v>73</v>
      </c>
      <c r="D98" s="34" t="s">
        <v>52</v>
      </c>
      <c r="E98" s="68">
        <v>3438.03</v>
      </c>
      <c r="F98" s="36"/>
      <c r="G98" s="36">
        <f t="shared" si="5"/>
        <v>3438.03</v>
      </c>
      <c r="H98" s="37"/>
    </row>
    <row r="99">
      <c r="A99" s="60" t="s">
        <v>314</v>
      </c>
      <c r="B99" s="60" t="s">
        <v>315</v>
      </c>
      <c r="C99" s="34" t="s">
        <v>73</v>
      </c>
      <c r="D99" s="34" t="s">
        <v>52</v>
      </c>
      <c r="E99" s="68">
        <v>8474.36</v>
      </c>
      <c r="F99" s="36"/>
      <c r="G99" s="36">
        <f t="shared" si="5"/>
        <v>8474.36</v>
      </c>
      <c r="H99" s="37"/>
    </row>
    <row r="100">
      <c r="A100" s="60" t="s">
        <v>318</v>
      </c>
      <c r="B100" s="60" t="s">
        <v>319</v>
      </c>
      <c r="C100" s="34" t="s">
        <v>73</v>
      </c>
      <c r="D100" s="34" t="s">
        <v>52</v>
      </c>
      <c r="E100" s="68">
        <v>7743.45</v>
      </c>
      <c r="F100" s="36"/>
      <c r="G100" s="36">
        <f t="shared" si="5"/>
        <v>7743.45</v>
      </c>
      <c r="H100" s="37"/>
    </row>
    <row r="101">
      <c r="A101" s="60" t="s">
        <v>320</v>
      </c>
      <c r="B101" s="60" t="s">
        <v>321</v>
      </c>
      <c r="C101" s="34" t="s">
        <v>73</v>
      </c>
      <c r="D101" s="34" t="s">
        <v>52</v>
      </c>
      <c r="E101" s="68">
        <v>3223.25</v>
      </c>
      <c r="F101" s="36"/>
      <c r="G101" s="36">
        <f t="shared" si="5"/>
        <v>3223.25</v>
      </c>
      <c r="H101" s="37"/>
    </row>
    <row r="102">
      <c r="A102" s="60" t="s">
        <v>322</v>
      </c>
      <c r="B102" s="60" t="s">
        <v>323</v>
      </c>
      <c r="C102" s="34" t="s">
        <v>73</v>
      </c>
      <c r="D102" s="34" t="s">
        <v>52</v>
      </c>
      <c r="E102" s="68">
        <v>2151.58</v>
      </c>
      <c r="F102" s="36"/>
      <c r="G102" s="36">
        <f t="shared" si="5"/>
        <v>2151.58</v>
      </c>
      <c r="H102" s="37"/>
    </row>
    <row r="103">
      <c r="A103" s="60" t="s">
        <v>1612</v>
      </c>
      <c r="B103" s="60" t="s">
        <v>1613</v>
      </c>
      <c r="C103" s="34" t="s">
        <v>73</v>
      </c>
      <c r="D103" s="34" t="s">
        <v>52</v>
      </c>
      <c r="E103" s="68">
        <v>1939.89</v>
      </c>
      <c r="F103" s="36"/>
      <c r="G103" s="36">
        <f t="shared" si="5"/>
        <v>1939.89</v>
      </c>
      <c r="H103" s="37"/>
    </row>
    <row r="104">
      <c r="A104" s="60" t="s">
        <v>326</v>
      </c>
      <c r="B104" s="60" t="s">
        <v>327</v>
      </c>
      <c r="C104" s="34" t="s">
        <v>73</v>
      </c>
      <c r="D104" s="34" t="s">
        <v>52</v>
      </c>
      <c r="E104" s="68">
        <v>1019.99</v>
      </c>
      <c r="F104" s="36"/>
      <c r="G104" s="36">
        <f t="shared" si="5"/>
        <v>1019.99</v>
      </c>
      <c r="H104" s="37"/>
    </row>
    <row r="105">
      <c r="A105" s="60" t="s">
        <v>328</v>
      </c>
      <c r="B105" s="60" t="s">
        <v>329</v>
      </c>
      <c r="C105" s="34" t="s">
        <v>73</v>
      </c>
      <c r="D105" s="34" t="s">
        <v>52</v>
      </c>
      <c r="E105" s="68">
        <v>8031.36</v>
      </c>
      <c r="F105" s="36"/>
      <c r="G105" s="36">
        <f t="shared" si="5"/>
        <v>8031.36</v>
      </c>
      <c r="H105" s="37"/>
    </row>
    <row r="106">
      <c r="A106" s="60" t="s">
        <v>330</v>
      </c>
      <c r="B106" s="60" t="s">
        <v>331</v>
      </c>
      <c r="C106" s="34" t="s">
        <v>73</v>
      </c>
      <c r="D106" s="34" t="s">
        <v>52</v>
      </c>
      <c r="E106" s="68">
        <v>3399.98</v>
      </c>
      <c r="F106" s="36"/>
      <c r="G106" s="36">
        <f t="shared" si="5"/>
        <v>3399.98</v>
      </c>
      <c r="H106" s="37"/>
    </row>
    <row r="107">
      <c r="A107" s="60" t="s">
        <v>332</v>
      </c>
      <c r="B107" s="60" t="s">
        <v>333</v>
      </c>
      <c r="C107" s="34" t="s">
        <v>73</v>
      </c>
      <c r="D107" s="34" t="s">
        <v>52</v>
      </c>
      <c r="E107" s="68">
        <v>550.75</v>
      </c>
      <c r="F107" s="36"/>
      <c r="G107" s="36">
        <f t="shared" si="5"/>
        <v>550.75</v>
      </c>
      <c r="H107" s="37"/>
    </row>
    <row r="108">
      <c r="A108" s="60" t="s">
        <v>334</v>
      </c>
      <c r="B108" s="60" t="s">
        <v>335</v>
      </c>
      <c r="C108" s="34" t="s">
        <v>73</v>
      </c>
      <c r="D108" s="34" t="s">
        <v>52</v>
      </c>
      <c r="E108" s="68">
        <v>120824.26</v>
      </c>
      <c r="F108" s="36"/>
      <c r="G108" s="36">
        <f t="shared" si="5"/>
        <v>120824.26</v>
      </c>
      <c r="H108" s="37"/>
    </row>
    <row r="109">
      <c r="A109" s="60" t="s">
        <v>336</v>
      </c>
      <c r="B109" s="60" t="s">
        <v>337</v>
      </c>
      <c r="C109" s="34" t="s">
        <v>73</v>
      </c>
      <c r="D109" s="34" t="s">
        <v>52</v>
      </c>
      <c r="E109" s="68">
        <v>1745.53</v>
      </c>
      <c r="F109" s="36"/>
      <c r="G109" s="36">
        <f t="shared" si="5"/>
        <v>1745.53</v>
      </c>
      <c r="H109" s="37"/>
    </row>
    <row r="110">
      <c r="A110" s="60" t="s">
        <v>340</v>
      </c>
      <c r="B110" s="60" t="s">
        <v>341</v>
      </c>
      <c r="C110" s="34" t="s">
        <v>73</v>
      </c>
      <c r="D110" s="34" t="s">
        <v>52</v>
      </c>
      <c r="E110" s="68">
        <v>1232.04</v>
      </c>
      <c r="F110" s="36"/>
      <c r="G110" s="36">
        <f t="shared" si="5"/>
        <v>1232.04</v>
      </c>
      <c r="H110" s="37"/>
    </row>
    <row r="111">
      <c r="A111" s="60" t="s">
        <v>342</v>
      </c>
      <c r="B111" s="60" t="s">
        <v>343</v>
      </c>
      <c r="C111" s="34" t="s">
        <v>73</v>
      </c>
      <c r="D111" s="34" t="s">
        <v>52</v>
      </c>
      <c r="E111" s="68">
        <v>6325.0</v>
      </c>
      <c r="F111" s="36"/>
      <c r="G111" s="36">
        <f t="shared" si="5"/>
        <v>6325</v>
      </c>
      <c r="H111" s="37"/>
    </row>
    <row r="112">
      <c r="A112" s="60" t="s">
        <v>1616</v>
      </c>
      <c r="B112" s="60" t="s">
        <v>1617</v>
      </c>
      <c r="C112" s="34" t="s">
        <v>2447</v>
      </c>
      <c r="D112" s="34" t="s">
        <v>2269</v>
      </c>
      <c r="E112" s="68">
        <v>1000.6</v>
      </c>
      <c r="F112" s="36"/>
      <c r="G112" s="36">
        <f t="shared" si="5"/>
        <v>1000.6</v>
      </c>
      <c r="H112" s="37"/>
    </row>
    <row r="113">
      <c r="A113" s="60" t="s">
        <v>424</v>
      </c>
      <c r="B113" s="60" t="s">
        <v>425</v>
      </c>
      <c r="C113" s="34" t="s">
        <v>2447</v>
      </c>
      <c r="D113" s="34" t="s">
        <v>2269</v>
      </c>
      <c r="E113" s="68">
        <v>285.96</v>
      </c>
      <c r="F113" s="36"/>
      <c r="G113" s="36">
        <f t="shared" si="5"/>
        <v>285.96</v>
      </c>
      <c r="H113" s="37"/>
    </row>
    <row r="114">
      <c r="A114" s="60" t="s">
        <v>426</v>
      </c>
      <c r="B114" s="60" t="s">
        <v>427</v>
      </c>
      <c r="C114" s="34" t="s">
        <v>2447</v>
      </c>
      <c r="D114" s="34" t="s">
        <v>2269</v>
      </c>
      <c r="E114" s="68">
        <v>234.97</v>
      </c>
      <c r="F114" s="36"/>
      <c r="G114" s="36">
        <f t="shared" si="5"/>
        <v>234.97</v>
      </c>
      <c r="H114" s="37"/>
    </row>
    <row r="115">
      <c r="A115" s="60" t="s">
        <v>430</v>
      </c>
      <c r="B115" s="60" t="s">
        <v>431</v>
      </c>
      <c r="C115" s="34" t="s">
        <v>2447</v>
      </c>
      <c r="D115" s="34" t="s">
        <v>2269</v>
      </c>
      <c r="E115" s="68">
        <v>318.97</v>
      </c>
      <c r="F115" s="36"/>
      <c r="G115" s="36">
        <f t="shared" si="5"/>
        <v>318.97</v>
      </c>
      <c r="H115" s="37"/>
    </row>
    <row r="116">
      <c r="A116" s="60" t="s">
        <v>432</v>
      </c>
      <c r="B116" s="60" t="s">
        <v>433</v>
      </c>
      <c r="C116" s="34" t="s">
        <v>2447</v>
      </c>
      <c r="D116" s="34" t="s">
        <v>2269</v>
      </c>
      <c r="E116" s="68">
        <v>511.02</v>
      </c>
      <c r="F116" s="36"/>
      <c r="G116" s="36">
        <f t="shared" si="5"/>
        <v>511.02</v>
      </c>
      <c r="H116" s="37"/>
    </row>
    <row r="117">
      <c r="A117" s="60" t="s">
        <v>434</v>
      </c>
      <c r="B117" s="60" t="s">
        <v>435</v>
      </c>
      <c r="C117" s="34" t="s">
        <v>2447</v>
      </c>
      <c r="D117" s="34" t="s">
        <v>2269</v>
      </c>
      <c r="E117" s="68">
        <v>179.01</v>
      </c>
      <c r="F117" s="36"/>
      <c r="G117" s="36">
        <f t="shared" si="5"/>
        <v>179.01</v>
      </c>
      <c r="H117" s="37"/>
    </row>
    <row r="118">
      <c r="A118" s="60" t="s">
        <v>436</v>
      </c>
      <c r="B118" s="60" t="s">
        <v>437</v>
      </c>
      <c r="C118" s="34" t="s">
        <v>2447</v>
      </c>
      <c r="D118" s="34" t="s">
        <v>2269</v>
      </c>
      <c r="E118" s="68">
        <v>67.99</v>
      </c>
      <c r="F118" s="36"/>
      <c r="G118" s="36">
        <f t="shared" si="5"/>
        <v>67.99</v>
      </c>
      <c r="H118" s="37"/>
    </row>
    <row r="119">
      <c r="A119" s="60" t="s">
        <v>438</v>
      </c>
      <c r="B119" s="60" t="s">
        <v>439</v>
      </c>
      <c r="C119" s="34" t="s">
        <v>2447</v>
      </c>
      <c r="D119" s="34" t="s">
        <v>2269</v>
      </c>
      <c r="E119" s="68">
        <v>1022.04</v>
      </c>
      <c r="F119" s="36"/>
      <c r="G119" s="36">
        <f t="shared" si="5"/>
        <v>1022.04</v>
      </c>
      <c r="H119" s="37"/>
    </row>
    <row r="120">
      <c r="A120" s="60" t="s">
        <v>440</v>
      </c>
      <c r="B120" s="60" t="s">
        <v>441</v>
      </c>
      <c r="C120" s="34" t="s">
        <v>2447</v>
      </c>
      <c r="D120" s="34" t="s">
        <v>2269</v>
      </c>
      <c r="E120" s="68">
        <v>411.93</v>
      </c>
      <c r="F120" s="36"/>
      <c r="G120" s="36">
        <f t="shared" si="5"/>
        <v>411.93</v>
      </c>
      <c r="H120" s="37"/>
    </row>
    <row r="121">
      <c r="A121" s="60" t="s">
        <v>442</v>
      </c>
      <c r="B121" s="60" t="s">
        <v>443</v>
      </c>
      <c r="C121" s="34" t="s">
        <v>2447</v>
      </c>
      <c r="D121" s="34" t="s">
        <v>2269</v>
      </c>
      <c r="E121" s="68">
        <v>7497.27</v>
      </c>
      <c r="F121" s="36"/>
      <c r="G121" s="36">
        <f t="shared" si="5"/>
        <v>7497.27</v>
      </c>
      <c r="H121" s="37"/>
    </row>
    <row r="122">
      <c r="A122" s="60" t="s">
        <v>446</v>
      </c>
      <c r="B122" s="60" t="s">
        <v>447</v>
      </c>
      <c r="C122" s="34" t="s">
        <v>2447</v>
      </c>
      <c r="D122" s="34" t="s">
        <v>2269</v>
      </c>
      <c r="E122" s="68">
        <v>646.24</v>
      </c>
      <c r="F122" s="36"/>
      <c r="G122" s="36">
        <f t="shared" si="5"/>
        <v>646.24</v>
      </c>
      <c r="H122" s="37"/>
    </row>
    <row r="123">
      <c r="A123" s="60" t="s">
        <v>448</v>
      </c>
      <c r="B123" s="60" t="s">
        <v>449</v>
      </c>
      <c r="C123" s="34" t="s">
        <v>2447</v>
      </c>
      <c r="D123" s="34" t="s">
        <v>2269</v>
      </c>
      <c r="E123" s="68">
        <v>1096.41</v>
      </c>
      <c r="F123" s="36"/>
      <c r="G123" s="36">
        <f t="shared" si="5"/>
        <v>1096.41</v>
      </c>
      <c r="H123" s="37"/>
    </row>
    <row r="124">
      <c r="A124" s="60" t="s">
        <v>450</v>
      </c>
      <c r="B124" s="60" t="s">
        <v>451</v>
      </c>
      <c r="C124" s="34" t="s">
        <v>2447</v>
      </c>
      <c r="D124" s="34" t="s">
        <v>2269</v>
      </c>
      <c r="E124" s="68">
        <v>1723.8</v>
      </c>
      <c r="F124" s="36"/>
      <c r="G124" s="36">
        <f t="shared" si="5"/>
        <v>1723.8</v>
      </c>
      <c r="H124" s="37"/>
    </row>
    <row r="125">
      <c r="A125" s="60" t="s">
        <v>458</v>
      </c>
      <c r="B125" s="60" t="s">
        <v>459</v>
      </c>
      <c r="C125" s="34" t="s">
        <v>2447</v>
      </c>
      <c r="D125" s="34" t="s">
        <v>2269</v>
      </c>
      <c r="E125" s="68">
        <v>662.0</v>
      </c>
      <c r="F125" s="36"/>
      <c r="G125" s="36">
        <f t="shared" si="5"/>
        <v>662</v>
      </c>
      <c r="H125" s="37"/>
    </row>
    <row r="126">
      <c r="A126" s="60" t="s">
        <v>460</v>
      </c>
      <c r="B126" s="60" t="s">
        <v>461</v>
      </c>
      <c r="C126" s="34" t="s">
        <v>2447</v>
      </c>
      <c r="D126" s="34" t="s">
        <v>2269</v>
      </c>
      <c r="E126" s="68">
        <v>252.64</v>
      </c>
      <c r="F126" s="36"/>
      <c r="G126" s="36">
        <f t="shared" si="5"/>
        <v>252.64</v>
      </c>
      <c r="H126" s="37"/>
    </row>
    <row r="127">
      <c r="A127" s="60" t="s">
        <v>462</v>
      </c>
      <c r="B127" s="60" t="s">
        <v>463</v>
      </c>
      <c r="C127" s="34" t="s">
        <v>2447</v>
      </c>
      <c r="D127" s="34" t="s">
        <v>2269</v>
      </c>
      <c r="E127" s="68">
        <v>8742.89</v>
      </c>
      <c r="F127" s="36"/>
      <c r="G127" s="36">
        <f t="shared" si="5"/>
        <v>8742.89</v>
      </c>
      <c r="H127" s="37"/>
    </row>
    <row r="128">
      <c r="A128" s="60" t="s">
        <v>466</v>
      </c>
      <c r="B128" s="60" t="s">
        <v>467</v>
      </c>
      <c r="C128" s="34" t="s">
        <v>2447</v>
      </c>
      <c r="D128" s="34" t="s">
        <v>2269</v>
      </c>
      <c r="E128" s="68">
        <v>2282.02</v>
      </c>
      <c r="F128" s="36"/>
      <c r="G128" s="36">
        <f t="shared" si="5"/>
        <v>2282.02</v>
      </c>
      <c r="H128" s="37"/>
    </row>
    <row r="129">
      <c r="A129" s="60" t="s">
        <v>468</v>
      </c>
      <c r="B129" s="60" t="s">
        <v>469</v>
      </c>
      <c r="C129" s="34" t="s">
        <v>2447</v>
      </c>
      <c r="D129" s="34" t="s">
        <v>2269</v>
      </c>
      <c r="E129" s="68">
        <v>2221.49</v>
      </c>
      <c r="F129" s="36"/>
      <c r="G129" s="36">
        <f t="shared" si="5"/>
        <v>2221.49</v>
      </c>
      <c r="H129" s="37"/>
    </row>
    <row r="130">
      <c r="A130" s="60" t="s">
        <v>470</v>
      </c>
      <c r="B130" s="60" t="s">
        <v>471</v>
      </c>
      <c r="C130" s="34" t="s">
        <v>2447</v>
      </c>
      <c r="D130" s="34" t="s">
        <v>2269</v>
      </c>
      <c r="E130" s="68">
        <v>392.02</v>
      </c>
      <c r="F130" s="36"/>
      <c r="G130" s="36">
        <f t="shared" si="5"/>
        <v>392.02</v>
      </c>
      <c r="H130" s="37"/>
    </row>
    <row r="131">
      <c r="A131" s="60" t="s">
        <v>350</v>
      </c>
      <c r="B131" s="60" t="s">
        <v>351</v>
      </c>
      <c r="C131" s="34" t="s">
        <v>2447</v>
      </c>
      <c r="D131" s="34" t="s">
        <v>2269</v>
      </c>
      <c r="E131" s="68">
        <v>100.0</v>
      </c>
      <c r="F131" s="36"/>
      <c r="G131" s="36">
        <f t="shared" si="5"/>
        <v>100</v>
      </c>
      <c r="H131" s="37"/>
    </row>
    <row r="132">
      <c r="A132" s="60" t="s">
        <v>352</v>
      </c>
      <c r="B132" s="60" t="s">
        <v>353</v>
      </c>
      <c r="C132" s="34" t="s">
        <v>2447</v>
      </c>
      <c r="D132" s="34" t="s">
        <v>2269</v>
      </c>
      <c r="E132" s="68">
        <v>108.98</v>
      </c>
      <c r="F132" s="36"/>
      <c r="G132" s="36">
        <f t="shared" si="5"/>
        <v>108.98</v>
      </c>
      <c r="H132" s="37"/>
    </row>
    <row r="133">
      <c r="A133" s="60" t="s">
        <v>354</v>
      </c>
      <c r="B133" s="60" t="s">
        <v>355</v>
      </c>
      <c r="C133" s="34" t="s">
        <v>2447</v>
      </c>
      <c r="D133" s="34" t="s">
        <v>2269</v>
      </c>
      <c r="E133" s="68">
        <v>744.0</v>
      </c>
      <c r="F133" s="36"/>
      <c r="G133" s="36">
        <f t="shared" si="5"/>
        <v>744</v>
      </c>
      <c r="H133" s="37"/>
    </row>
    <row r="134">
      <c r="A134" s="60" t="s">
        <v>356</v>
      </c>
      <c r="B134" s="60" t="s">
        <v>357</v>
      </c>
      <c r="C134" s="34" t="s">
        <v>2447</v>
      </c>
      <c r="D134" s="34" t="s">
        <v>2269</v>
      </c>
      <c r="E134" s="68">
        <v>149.98</v>
      </c>
      <c r="F134" s="36"/>
      <c r="G134" s="36">
        <f t="shared" si="5"/>
        <v>149.98</v>
      </c>
      <c r="H134" s="37"/>
    </row>
    <row r="135">
      <c r="A135" s="60" t="s">
        <v>358</v>
      </c>
      <c r="B135" s="60" t="s">
        <v>359</v>
      </c>
      <c r="C135" s="34" t="s">
        <v>2447</v>
      </c>
      <c r="D135" s="34" t="s">
        <v>2269</v>
      </c>
      <c r="E135" s="68">
        <v>207.98</v>
      </c>
      <c r="F135" s="36"/>
      <c r="G135" s="36">
        <f t="shared" si="5"/>
        <v>207.98</v>
      </c>
      <c r="H135" s="37"/>
    </row>
    <row r="136">
      <c r="A136" s="60" t="s">
        <v>362</v>
      </c>
      <c r="B136" s="60" t="s">
        <v>363</v>
      </c>
      <c r="C136" s="34" t="s">
        <v>2447</v>
      </c>
      <c r="D136" s="34" t="s">
        <v>2269</v>
      </c>
      <c r="E136" s="68">
        <v>142.98</v>
      </c>
      <c r="F136" s="36"/>
      <c r="G136" s="36">
        <f t="shared" si="5"/>
        <v>142.98</v>
      </c>
      <c r="H136" s="37"/>
    </row>
    <row r="137">
      <c r="A137" s="60" t="s">
        <v>364</v>
      </c>
      <c r="B137" s="60" t="s">
        <v>365</v>
      </c>
      <c r="C137" s="34" t="s">
        <v>2447</v>
      </c>
      <c r="D137" s="34" t="s">
        <v>2269</v>
      </c>
      <c r="E137" s="68">
        <v>9892.56</v>
      </c>
      <c r="F137" s="36"/>
      <c r="G137" s="36">
        <f t="shared" si="5"/>
        <v>9892.56</v>
      </c>
      <c r="H137" s="37"/>
    </row>
    <row r="138">
      <c r="A138" s="60" t="s">
        <v>366</v>
      </c>
      <c r="B138" s="60" t="s">
        <v>367</v>
      </c>
      <c r="C138" s="34" t="s">
        <v>2447</v>
      </c>
      <c r="D138" s="34" t="s">
        <v>2269</v>
      </c>
      <c r="E138" s="68">
        <v>1328.83</v>
      </c>
      <c r="F138" s="36"/>
      <c r="G138" s="36">
        <f t="shared" si="5"/>
        <v>1328.83</v>
      </c>
      <c r="H138" s="37"/>
    </row>
    <row r="139">
      <c r="A139" s="60" t="s">
        <v>368</v>
      </c>
      <c r="B139" s="60" t="s">
        <v>1618</v>
      </c>
      <c r="C139" s="34" t="s">
        <v>2447</v>
      </c>
      <c r="D139" s="34" t="s">
        <v>2269</v>
      </c>
      <c r="E139" s="68">
        <v>7485.32</v>
      </c>
      <c r="F139" s="36"/>
      <c r="G139" s="36">
        <f t="shared" si="5"/>
        <v>7485.32</v>
      </c>
      <c r="H139" s="37"/>
    </row>
    <row r="140">
      <c r="A140" s="60" t="s">
        <v>716</v>
      </c>
      <c r="B140" s="60" t="s">
        <v>717</v>
      </c>
      <c r="C140" s="34" t="s">
        <v>2447</v>
      </c>
      <c r="D140" s="34" t="s">
        <v>2269</v>
      </c>
      <c r="E140" s="68">
        <v>460.03</v>
      </c>
      <c r="F140" s="36"/>
      <c r="G140" s="36">
        <f t="shared" si="5"/>
        <v>460.03</v>
      </c>
      <c r="H140" s="37"/>
    </row>
    <row r="141">
      <c r="A141" s="60" t="s">
        <v>370</v>
      </c>
      <c r="B141" s="60" t="s">
        <v>371</v>
      </c>
      <c r="C141" s="34" t="s">
        <v>2447</v>
      </c>
      <c r="D141" s="34" t="s">
        <v>2269</v>
      </c>
      <c r="E141" s="68">
        <v>4736.28</v>
      </c>
      <c r="F141" s="36"/>
      <c r="G141" s="36">
        <f t="shared" si="5"/>
        <v>4736.28</v>
      </c>
      <c r="H141" s="37"/>
    </row>
    <row r="142">
      <c r="A142" s="60" t="s">
        <v>376</v>
      </c>
      <c r="B142" s="60" t="s">
        <v>377</v>
      </c>
      <c r="C142" s="34" t="s">
        <v>2447</v>
      </c>
      <c r="D142" s="34" t="s">
        <v>2269</v>
      </c>
      <c r="E142" s="68">
        <v>679.88</v>
      </c>
      <c r="F142" s="36"/>
      <c r="G142" s="36">
        <f t="shared" si="5"/>
        <v>679.88</v>
      </c>
      <c r="H142" s="37"/>
    </row>
    <row r="143">
      <c r="A143" s="60" t="s">
        <v>382</v>
      </c>
      <c r="B143" s="60" t="s">
        <v>383</v>
      </c>
      <c r="C143" s="34" t="s">
        <v>2447</v>
      </c>
      <c r="D143" s="34" t="s">
        <v>2269</v>
      </c>
      <c r="E143" s="68">
        <v>101.0</v>
      </c>
      <c r="F143" s="36"/>
      <c r="G143" s="36">
        <f t="shared" si="5"/>
        <v>101</v>
      </c>
      <c r="H143" s="37"/>
    </row>
    <row r="144">
      <c r="A144" s="60" t="s">
        <v>1423</v>
      </c>
      <c r="B144" s="60" t="s">
        <v>1424</v>
      </c>
      <c r="C144" s="34" t="s">
        <v>2447</v>
      </c>
      <c r="D144" s="34" t="s">
        <v>2269</v>
      </c>
      <c r="E144" s="68">
        <v>100.04</v>
      </c>
      <c r="F144" s="36"/>
      <c r="G144" s="36">
        <f t="shared" si="5"/>
        <v>100.04</v>
      </c>
      <c r="H144" s="37"/>
    </row>
    <row r="145">
      <c r="A145" s="60" t="s">
        <v>384</v>
      </c>
      <c r="B145" s="60" t="s">
        <v>385</v>
      </c>
      <c r="C145" s="34" t="s">
        <v>2447</v>
      </c>
      <c r="D145" s="34" t="s">
        <v>2269</v>
      </c>
      <c r="E145" s="68">
        <v>2469.68</v>
      </c>
      <c r="F145" s="36"/>
      <c r="G145" s="36">
        <f t="shared" si="5"/>
        <v>2469.68</v>
      </c>
      <c r="H145" s="37"/>
    </row>
    <row r="146">
      <c r="A146" s="60" t="s">
        <v>386</v>
      </c>
      <c r="B146" s="60" t="s">
        <v>387</v>
      </c>
      <c r="C146" s="34" t="s">
        <v>2447</v>
      </c>
      <c r="D146" s="34" t="s">
        <v>2269</v>
      </c>
      <c r="E146" s="68">
        <v>333.96</v>
      </c>
      <c r="F146" s="36"/>
      <c r="G146" s="36">
        <f t="shared" si="5"/>
        <v>333.96</v>
      </c>
      <c r="H146" s="37"/>
    </row>
    <row r="147">
      <c r="A147" s="60" t="s">
        <v>388</v>
      </c>
      <c r="B147" s="60" t="s">
        <v>389</v>
      </c>
      <c r="C147" s="34" t="s">
        <v>2447</v>
      </c>
      <c r="D147" s="34" t="s">
        <v>2269</v>
      </c>
      <c r="E147" s="68">
        <v>1010.02</v>
      </c>
      <c r="F147" s="36"/>
      <c r="G147" s="36">
        <f t="shared" si="5"/>
        <v>1010.02</v>
      </c>
      <c r="H147" s="37"/>
    </row>
    <row r="148">
      <c r="A148" s="60" t="s">
        <v>746</v>
      </c>
      <c r="B148" s="60" t="s">
        <v>747</v>
      </c>
      <c r="C148" s="34" t="s">
        <v>2447</v>
      </c>
      <c r="D148" s="34" t="s">
        <v>2269</v>
      </c>
      <c r="E148" s="68">
        <v>119.97</v>
      </c>
      <c r="F148" s="36"/>
      <c r="G148" s="36">
        <f t="shared" si="5"/>
        <v>119.97</v>
      </c>
      <c r="H148" s="37"/>
    </row>
    <row r="149">
      <c r="A149" s="60" t="s">
        <v>390</v>
      </c>
      <c r="B149" s="60" t="s">
        <v>391</v>
      </c>
      <c r="C149" s="34" t="s">
        <v>2447</v>
      </c>
      <c r="D149" s="34" t="s">
        <v>2269</v>
      </c>
      <c r="E149" s="68">
        <v>1586.09</v>
      </c>
      <c r="F149" s="36"/>
      <c r="G149" s="36">
        <f t="shared" si="5"/>
        <v>1586.09</v>
      </c>
      <c r="H149" s="37"/>
    </row>
    <row r="150">
      <c r="A150" s="60" t="s">
        <v>392</v>
      </c>
      <c r="B150" s="60" t="s">
        <v>393</v>
      </c>
      <c r="C150" s="34" t="s">
        <v>2447</v>
      </c>
      <c r="D150" s="34" t="s">
        <v>2269</v>
      </c>
      <c r="E150" s="68">
        <v>739.69</v>
      </c>
      <c r="F150" s="36"/>
      <c r="G150" s="36">
        <f t="shared" si="5"/>
        <v>739.69</v>
      </c>
      <c r="H150" s="37"/>
    </row>
    <row r="151">
      <c r="A151" s="60" t="s">
        <v>396</v>
      </c>
      <c r="B151" s="60" t="s">
        <v>397</v>
      </c>
      <c r="C151" s="34" t="s">
        <v>2447</v>
      </c>
      <c r="D151" s="34" t="s">
        <v>2269</v>
      </c>
      <c r="E151" s="68">
        <v>518.99</v>
      </c>
      <c r="F151" s="36"/>
      <c r="G151" s="36">
        <f t="shared" si="5"/>
        <v>518.99</v>
      </c>
      <c r="H151" s="37"/>
    </row>
    <row r="152">
      <c r="A152" s="60" t="s">
        <v>748</v>
      </c>
      <c r="B152" s="60" t="s">
        <v>749</v>
      </c>
      <c r="C152" s="34" t="s">
        <v>2447</v>
      </c>
      <c r="D152" s="34" t="s">
        <v>2269</v>
      </c>
      <c r="E152" s="68">
        <v>84.99</v>
      </c>
      <c r="F152" s="36"/>
      <c r="G152" s="36">
        <f t="shared" si="5"/>
        <v>84.99</v>
      </c>
      <c r="H152" s="37"/>
    </row>
    <row r="153">
      <c r="A153" s="60" t="s">
        <v>400</v>
      </c>
      <c r="B153" s="60" t="s">
        <v>1621</v>
      </c>
      <c r="C153" s="34" t="s">
        <v>2447</v>
      </c>
      <c r="D153" s="34" t="s">
        <v>2269</v>
      </c>
      <c r="E153" s="68">
        <v>581.96</v>
      </c>
      <c r="F153" s="36"/>
      <c r="G153" s="36">
        <f t="shared" si="5"/>
        <v>581.96</v>
      </c>
      <c r="H153" s="37"/>
    </row>
    <row r="154">
      <c r="A154" s="60" t="s">
        <v>402</v>
      </c>
      <c r="B154" s="60" t="s">
        <v>403</v>
      </c>
      <c r="C154" s="34" t="s">
        <v>2447</v>
      </c>
      <c r="D154" s="34" t="s">
        <v>2269</v>
      </c>
      <c r="E154" s="68">
        <v>343.92</v>
      </c>
      <c r="F154" s="36"/>
      <c r="G154" s="36">
        <f t="shared" si="5"/>
        <v>343.92</v>
      </c>
      <c r="H154" s="37"/>
    </row>
    <row r="155">
      <c r="A155" s="60" t="s">
        <v>404</v>
      </c>
      <c r="B155" s="60" t="s">
        <v>405</v>
      </c>
      <c r="C155" s="34" t="s">
        <v>2447</v>
      </c>
      <c r="D155" s="34" t="s">
        <v>2269</v>
      </c>
      <c r="E155" s="68">
        <v>1215.58</v>
      </c>
      <c r="F155" s="36"/>
      <c r="G155" s="36">
        <f t="shared" si="5"/>
        <v>1215.58</v>
      </c>
      <c r="H155" s="37"/>
    </row>
    <row r="156">
      <c r="A156" s="60" t="s">
        <v>406</v>
      </c>
      <c r="B156" s="60" t="s">
        <v>407</v>
      </c>
      <c r="C156" s="34" t="s">
        <v>2447</v>
      </c>
      <c r="D156" s="34" t="s">
        <v>2269</v>
      </c>
      <c r="E156" s="68">
        <v>434.15</v>
      </c>
      <c r="F156" s="36"/>
      <c r="G156" s="36">
        <f t="shared" si="5"/>
        <v>434.15</v>
      </c>
      <c r="H156" s="37"/>
    </row>
    <row r="157">
      <c r="A157" s="60" t="s">
        <v>410</v>
      </c>
      <c r="B157" s="60" t="s">
        <v>1622</v>
      </c>
      <c r="C157" s="34" t="s">
        <v>2447</v>
      </c>
      <c r="D157" s="34" t="s">
        <v>2269</v>
      </c>
      <c r="E157" s="68">
        <v>242.98</v>
      </c>
      <c r="F157" s="36"/>
      <c r="G157" s="36">
        <f t="shared" si="5"/>
        <v>242.98</v>
      </c>
      <c r="H157" s="37"/>
    </row>
    <row r="158">
      <c r="A158" s="60" t="s">
        <v>412</v>
      </c>
      <c r="B158" s="60" t="s">
        <v>413</v>
      </c>
      <c r="C158" s="34" t="s">
        <v>2447</v>
      </c>
      <c r="D158" s="34" t="s">
        <v>2269</v>
      </c>
      <c r="E158" s="68">
        <v>1344.03</v>
      </c>
      <c r="F158" s="36"/>
      <c r="G158" s="36">
        <f t="shared" si="5"/>
        <v>1344.03</v>
      </c>
      <c r="H158" s="37"/>
    </row>
    <row r="159">
      <c r="A159" s="60" t="s">
        <v>472</v>
      </c>
      <c r="B159" s="60" t="s">
        <v>473</v>
      </c>
      <c r="C159" s="34" t="s">
        <v>2447</v>
      </c>
      <c r="D159" s="34" t="s">
        <v>53</v>
      </c>
      <c r="E159" s="68">
        <v>273.0</v>
      </c>
      <c r="F159" s="36"/>
      <c r="G159" s="36">
        <f t="shared" si="5"/>
        <v>273</v>
      </c>
      <c r="H159" s="37"/>
    </row>
    <row r="160">
      <c r="A160" s="60" t="s">
        <v>474</v>
      </c>
      <c r="B160" s="60" t="s">
        <v>475</v>
      </c>
      <c r="C160" s="34" t="s">
        <v>2447</v>
      </c>
      <c r="D160" s="34" t="s">
        <v>53</v>
      </c>
      <c r="E160" s="68">
        <v>47.28</v>
      </c>
      <c r="F160" s="36"/>
      <c r="G160" s="36">
        <f t="shared" si="5"/>
        <v>47.28</v>
      </c>
      <c r="H160" s="37"/>
    </row>
    <row r="161">
      <c r="A161" s="60" t="s">
        <v>476</v>
      </c>
      <c r="B161" s="60" t="s">
        <v>477</v>
      </c>
      <c r="C161" s="34" t="s">
        <v>2447</v>
      </c>
      <c r="D161" s="34" t="s">
        <v>53</v>
      </c>
      <c r="E161" s="68">
        <v>101.98</v>
      </c>
      <c r="F161" s="36"/>
      <c r="G161" s="36">
        <f t="shared" si="5"/>
        <v>101.98</v>
      </c>
      <c r="H161" s="37"/>
    </row>
    <row r="162">
      <c r="A162" s="60" t="s">
        <v>478</v>
      </c>
      <c r="B162" s="60" t="s">
        <v>479</v>
      </c>
      <c r="C162" s="34" t="s">
        <v>2447</v>
      </c>
      <c r="D162" s="34" t="s">
        <v>53</v>
      </c>
      <c r="E162" s="68">
        <v>292.96</v>
      </c>
      <c r="F162" s="36"/>
      <c r="G162" s="36">
        <f t="shared" si="5"/>
        <v>292.96</v>
      </c>
      <c r="H162" s="37"/>
    </row>
    <row r="163">
      <c r="A163" s="60" t="s">
        <v>480</v>
      </c>
      <c r="B163" s="60" t="s">
        <v>481</v>
      </c>
      <c r="C163" s="34" t="s">
        <v>2447</v>
      </c>
      <c r="D163" s="34" t="s">
        <v>53</v>
      </c>
      <c r="E163" s="68">
        <v>200.98</v>
      </c>
      <c r="F163" s="36"/>
      <c r="G163" s="36">
        <f t="shared" si="5"/>
        <v>200.98</v>
      </c>
      <c r="H163" s="37"/>
    </row>
    <row r="164">
      <c r="A164" s="60" t="s">
        <v>482</v>
      </c>
      <c r="B164" s="60" t="s">
        <v>483</v>
      </c>
      <c r="C164" s="34" t="s">
        <v>2447</v>
      </c>
      <c r="D164" s="34" t="s">
        <v>53</v>
      </c>
      <c r="E164" s="68">
        <v>217.97</v>
      </c>
      <c r="F164" s="36"/>
      <c r="G164" s="36">
        <f t="shared" si="5"/>
        <v>217.97</v>
      </c>
      <c r="H164" s="37"/>
    </row>
    <row r="165">
      <c r="A165" s="60" t="s">
        <v>484</v>
      </c>
      <c r="B165" s="60" t="s">
        <v>485</v>
      </c>
      <c r="C165" s="34" t="s">
        <v>2447</v>
      </c>
      <c r="D165" s="34" t="s">
        <v>53</v>
      </c>
      <c r="E165" s="68">
        <v>778.02</v>
      </c>
      <c r="F165" s="36"/>
      <c r="G165" s="36">
        <f t="shared" si="5"/>
        <v>778.02</v>
      </c>
      <c r="H165" s="37"/>
    </row>
    <row r="166">
      <c r="A166" s="60" t="s">
        <v>486</v>
      </c>
      <c r="B166" s="60" t="s">
        <v>487</v>
      </c>
      <c r="C166" s="34" t="s">
        <v>2447</v>
      </c>
      <c r="D166" s="34" t="s">
        <v>53</v>
      </c>
      <c r="E166" s="68">
        <v>468.98</v>
      </c>
      <c r="F166" s="36"/>
      <c r="G166" s="36">
        <f t="shared" si="5"/>
        <v>468.98</v>
      </c>
      <c r="H166" s="37"/>
    </row>
    <row r="167">
      <c r="A167" s="60" t="s">
        <v>488</v>
      </c>
      <c r="B167" s="60" t="s">
        <v>489</v>
      </c>
      <c r="C167" s="34" t="s">
        <v>2447</v>
      </c>
      <c r="D167" s="34" t="s">
        <v>53</v>
      </c>
      <c r="E167" s="68">
        <v>108.98</v>
      </c>
      <c r="F167" s="36"/>
      <c r="G167" s="36">
        <f t="shared" si="5"/>
        <v>108.98</v>
      </c>
      <c r="H167" s="37"/>
    </row>
    <row r="168">
      <c r="A168" s="60" t="s">
        <v>490</v>
      </c>
      <c r="B168" s="60" t="s">
        <v>491</v>
      </c>
      <c r="C168" s="34" t="s">
        <v>2447</v>
      </c>
      <c r="D168" s="34" t="s">
        <v>53</v>
      </c>
      <c r="E168" s="68">
        <v>285.96</v>
      </c>
      <c r="F168" s="36"/>
      <c r="G168" s="36">
        <f t="shared" si="5"/>
        <v>285.96</v>
      </c>
      <c r="H168" s="37"/>
    </row>
    <row r="169">
      <c r="A169" s="60" t="s">
        <v>492</v>
      </c>
      <c r="B169" s="60" t="s">
        <v>493</v>
      </c>
      <c r="C169" s="34" t="s">
        <v>2447</v>
      </c>
      <c r="D169" s="34" t="s">
        <v>53</v>
      </c>
      <c r="E169" s="68">
        <v>183.98</v>
      </c>
      <c r="F169" s="36"/>
      <c r="G169" s="36">
        <f t="shared" si="5"/>
        <v>183.98</v>
      </c>
      <c r="H169" s="37"/>
    </row>
    <row r="170">
      <c r="A170" s="60" t="s">
        <v>494</v>
      </c>
      <c r="B170" s="60" t="s">
        <v>495</v>
      </c>
      <c r="C170" s="34" t="s">
        <v>2447</v>
      </c>
      <c r="D170" s="34" t="s">
        <v>53</v>
      </c>
      <c r="E170" s="68">
        <v>91.98</v>
      </c>
      <c r="F170" s="36"/>
      <c r="G170" s="36">
        <f t="shared" si="5"/>
        <v>91.98</v>
      </c>
      <c r="H170" s="37"/>
    </row>
    <row r="171">
      <c r="A171" s="60" t="s">
        <v>496</v>
      </c>
      <c r="B171" s="60" t="s">
        <v>497</v>
      </c>
      <c r="C171" s="34" t="s">
        <v>2447</v>
      </c>
      <c r="D171" s="34" t="s">
        <v>53</v>
      </c>
      <c r="E171" s="68">
        <v>91.98</v>
      </c>
      <c r="F171" s="36"/>
      <c r="G171" s="36">
        <f t="shared" si="5"/>
        <v>91.98</v>
      </c>
      <c r="H171" s="37"/>
    </row>
    <row r="172">
      <c r="A172" s="60" t="s">
        <v>498</v>
      </c>
      <c r="B172" s="60" t="s">
        <v>499</v>
      </c>
      <c r="C172" s="34" t="s">
        <v>2447</v>
      </c>
      <c r="D172" s="34" t="s">
        <v>53</v>
      </c>
      <c r="E172" s="68">
        <v>443.95</v>
      </c>
      <c r="F172" s="36"/>
      <c r="G172" s="36">
        <f t="shared" si="5"/>
        <v>443.95</v>
      </c>
      <c r="H172" s="37"/>
    </row>
    <row r="173">
      <c r="A173" s="60" t="s">
        <v>500</v>
      </c>
      <c r="B173" s="60" t="s">
        <v>501</v>
      </c>
      <c r="C173" s="34" t="s">
        <v>2447</v>
      </c>
      <c r="D173" s="34" t="s">
        <v>53</v>
      </c>
      <c r="E173" s="68">
        <v>309.95</v>
      </c>
      <c r="F173" s="36"/>
      <c r="G173" s="36">
        <f t="shared" si="5"/>
        <v>309.95</v>
      </c>
      <c r="H173" s="37"/>
    </row>
    <row r="174">
      <c r="A174" s="60" t="s">
        <v>502</v>
      </c>
      <c r="B174" s="60" t="s">
        <v>503</v>
      </c>
      <c r="C174" s="34" t="s">
        <v>2447</v>
      </c>
      <c r="D174" s="34" t="s">
        <v>53</v>
      </c>
      <c r="E174" s="68">
        <v>53.98</v>
      </c>
      <c r="F174" s="36"/>
      <c r="G174" s="36">
        <f t="shared" si="5"/>
        <v>53.98</v>
      </c>
      <c r="H174" s="37"/>
    </row>
    <row r="175">
      <c r="A175" s="60" t="s">
        <v>504</v>
      </c>
      <c r="B175" s="60" t="s">
        <v>505</v>
      </c>
      <c r="C175" s="34" t="s">
        <v>2447</v>
      </c>
      <c r="D175" s="34" t="s">
        <v>53</v>
      </c>
      <c r="E175" s="68">
        <v>292.96</v>
      </c>
      <c r="F175" s="36"/>
      <c r="G175" s="36">
        <f t="shared" si="5"/>
        <v>292.96</v>
      </c>
      <c r="H175" s="37"/>
    </row>
    <row r="176">
      <c r="A176" s="60" t="s">
        <v>506</v>
      </c>
      <c r="B176" s="60" t="s">
        <v>507</v>
      </c>
      <c r="C176" s="34" t="s">
        <v>2447</v>
      </c>
      <c r="D176" s="34" t="s">
        <v>53</v>
      </c>
      <c r="E176" s="68">
        <v>1339.75</v>
      </c>
      <c r="F176" s="36"/>
      <c r="G176" s="36">
        <f t="shared" si="5"/>
        <v>1339.75</v>
      </c>
      <c r="H176" s="37"/>
    </row>
    <row r="177">
      <c r="A177" s="60" t="s">
        <v>508</v>
      </c>
      <c r="B177" s="60" t="s">
        <v>509</v>
      </c>
      <c r="C177" s="34" t="s">
        <v>2447</v>
      </c>
      <c r="D177" s="34" t="s">
        <v>53</v>
      </c>
      <c r="E177" s="68">
        <v>91.98</v>
      </c>
      <c r="F177" s="36"/>
      <c r="G177" s="36">
        <f t="shared" si="5"/>
        <v>91.98</v>
      </c>
      <c r="H177" s="37"/>
    </row>
    <row r="178">
      <c r="A178" s="60" t="s">
        <v>510</v>
      </c>
      <c r="B178" s="60" t="s">
        <v>511</v>
      </c>
      <c r="C178" s="34" t="s">
        <v>2447</v>
      </c>
      <c r="D178" s="34" t="s">
        <v>53</v>
      </c>
      <c r="E178" s="68">
        <v>415.96</v>
      </c>
      <c r="F178" s="36"/>
      <c r="G178" s="36">
        <f t="shared" si="5"/>
        <v>415.96</v>
      </c>
      <c r="H178" s="37"/>
    </row>
    <row r="179">
      <c r="A179" s="60" t="s">
        <v>1924</v>
      </c>
      <c r="B179" s="60" t="s">
        <v>1925</v>
      </c>
      <c r="C179" s="34" t="s">
        <v>2447</v>
      </c>
      <c r="D179" s="34" t="s">
        <v>53</v>
      </c>
      <c r="E179" s="68">
        <v>350.96</v>
      </c>
      <c r="F179" s="36"/>
      <c r="G179" s="36">
        <f t="shared" si="5"/>
        <v>350.96</v>
      </c>
      <c r="H179" s="37"/>
    </row>
    <row r="180">
      <c r="A180" s="60" t="s">
        <v>512</v>
      </c>
      <c r="B180" s="60" t="s">
        <v>513</v>
      </c>
      <c r="C180" s="34" t="s">
        <v>2447</v>
      </c>
      <c r="D180" s="34" t="s">
        <v>53</v>
      </c>
      <c r="E180" s="68">
        <v>276.0</v>
      </c>
      <c r="F180" s="36"/>
      <c r="G180" s="36">
        <f t="shared" si="5"/>
        <v>276</v>
      </c>
      <c r="H180" s="37"/>
    </row>
    <row r="181">
      <c r="A181" s="60" t="s">
        <v>514</v>
      </c>
      <c r="B181" s="60" t="s">
        <v>515</v>
      </c>
      <c r="C181" s="34" t="s">
        <v>2447</v>
      </c>
      <c r="D181" s="34" t="s">
        <v>53</v>
      </c>
      <c r="E181" s="68">
        <v>125.97</v>
      </c>
      <c r="F181" s="36"/>
      <c r="G181" s="36">
        <f t="shared" si="5"/>
        <v>125.97</v>
      </c>
      <c r="H181" s="37"/>
    </row>
    <row r="182">
      <c r="A182" s="60" t="s">
        <v>516</v>
      </c>
      <c r="B182" s="60" t="s">
        <v>517</v>
      </c>
      <c r="C182" s="34" t="s">
        <v>2447</v>
      </c>
      <c r="D182" s="34" t="s">
        <v>53</v>
      </c>
      <c r="E182" s="68">
        <v>302.98</v>
      </c>
      <c r="F182" s="36"/>
      <c r="G182" s="36">
        <f t="shared" si="5"/>
        <v>302.98</v>
      </c>
      <c r="H182" s="37"/>
    </row>
    <row r="183">
      <c r="A183" s="60" t="s">
        <v>518</v>
      </c>
      <c r="B183" s="60" t="s">
        <v>519</v>
      </c>
      <c r="C183" s="34" t="s">
        <v>2447</v>
      </c>
      <c r="D183" s="34" t="s">
        <v>53</v>
      </c>
      <c r="E183" s="68">
        <v>425.94</v>
      </c>
      <c r="F183" s="36"/>
      <c r="G183" s="36">
        <f t="shared" si="5"/>
        <v>425.94</v>
      </c>
      <c r="H183" s="37"/>
    </row>
    <row r="184">
      <c r="A184" s="60" t="s">
        <v>520</v>
      </c>
      <c r="B184" s="60" t="s">
        <v>521</v>
      </c>
      <c r="C184" s="34" t="s">
        <v>2447</v>
      </c>
      <c r="D184" s="34" t="s">
        <v>53</v>
      </c>
      <c r="E184" s="68">
        <v>220.96</v>
      </c>
      <c r="F184" s="36"/>
      <c r="G184" s="36">
        <f t="shared" si="5"/>
        <v>220.96</v>
      </c>
      <c r="H184" s="37"/>
    </row>
    <row r="185">
      <c r="A185" s="60" t="s">
        <v>522</v>
      </c>
      <c r="B185" s="60" t="s">
        <v>523</v>
      </c>
      <c r="C185" s="34" t="s">
        <v>2447</v>
      </c>
      <c r="D185" s="34" t="s">
        <v>53</v>
      </c>
      <c r="E185" s="68">
        <v>343.97</v>
      </c>
      <c r="F185" s="36"/>
      <c r="G185" s="36">
        <f t="shared" si="5"/>
        <v>343.97</v>
      </c>
      <c r="H185" s="37"/>
    </row>
    <row r="186">
      <c r="A186" s="60" t="s">
        <v>524</v>
      </c>
      <c r="B186" s="60" t="s">
        <v>525</v>
      </c>
      <c r="C186" s="34" t="s">
        <v>2447</v>
      </c>
      <c r="D186" s="34" t="s">
        <v>53</v>
      </c>
      <c r="E186" s="68">
        <v>8672.94</v>
      </c>
      <c r="F186" s="36"/>
      <c r="G186" s="36">
        <f t="shared" si="5"/>
        <v>8672.94</v>
      </c>
      <c r="H186" s="37"/>
    </row>
    <row r="187">
      <c r="A187" s="60" t="s">
        <v>1775</v>
      </c>
      <c r="B187" s="60" t="s">
        <v>1776</v>
      </c>
      <c r="C187" s="34" t="s">
        <v>2447</v>
      </c>
      <c r="D187" s="34" t="s">
        <v>53</v>
      </c>
      <c r="E187" s="68">
        <v>1610.0</v>
      </c>
      <c r="F187" s="36"/>
      <c r="G187" s="36">
        <f t="shared" si="5"/>
        <v>1610</v>
      </c>
      <c r="H187" s="37"/>
    </row>
    <row r="188">
      <c r="A188" s="60" t="s">
        <v>526</v>
      </c>
      <c r="B188" s="60" t="s">
        <v>527</v>
      </c>
      <c r="C188" s="34" t="s">
        <v>2447</v>
      </c>
      <c r="D188" s="34" t="s">
        <v>53</v>
      </c>
      <c r="E188" s="68">
        <v>108.98</v>
      </c>
      <c r="F188" s="36"/>
      <c r="G188" s="36">
        <f t="shared" si="5"/>
        <v>108.98</v>
      </c>
      <c r="H188" s="37"/>
    </row>
    <row r="189">
      <c r="A189" s="60" t="s">
        <v>528</v>
      </c>
      <c r="B189" s="60" t="s">
        <v>529</v>
      </c>
      <c r="C189" s="34" t="s">
        <v>2447</v>
      </c>
      <c r="D189" s="34" t="s">
        <v>53</v>
      </c>
      <c r="E189" s="68">
        <v>302.95</v>
      </c>
      <c r="F189" s="36"/>
      <c r="G189" s="36">
        <f t="shared" si="5"/>
        <v>302.95</v>
      </c>
      <c r="H189" s="37"/>
    </row>
    <row r="190">
      <c r="A190" s="60" t="s">
        <v>530</v>
      </c>
      <c r="B190" s="60" t="s">
        <v>531</v>
      </c>
      <c r="C190" s="34" t="s">
        <v>2447</v>
      </c>
      <c r="D190" s="34" t="s">
        <v>53</v>
      </c>
      <c r="E190" s="68">
        <v>511.02</v>
      </c>
      <c r="F190" s="36"/>
      <c r="G190" s="36">
        <f t="shared" si="5"/>
        <v>511.02</v>
      </c>
      <c r="H190" s="37"/>
    </row>
    <row r="191">
      <c r="A191" s="60" t="s">
        <v>532</v>
      </c>
      <c r="B191" s="60" t="s">
        <v>533</v>
      </c>
      <c r="C191" s="34" t="s">
        <v>2447</v>
      </c>
      <c r="D191" s="34" t="s">
        <v>53</v>
      </c>
      <c r="E191" s="68">
        <v>183.97</v>
      </c>
      <c r="F191" s="36"/>
      <c r="G191" s="36">
        <f t="shared" si="5"/>
        <v>183.97</v>
      </c>
      <c r="H191" s="37"/>
    </row>
    <row r="192">
      <c r="A192" s="60" t="s">
        <v>534</v>
      </c>
      <c r="B192" s="60" t="s">
        <v>535</v>
      </c>
      <c r="C192" s="34" t="s">
        <v>2447</v>
      </c>
      <c r="D192" s="34" t="s">
        <v>53</v>
      </c>
      <c r="E192" s="68">
        <v>50.99</v>
      </c>
      <c r="F192" s="36"/>
      <c r="G192" s="36">
        <f t="shared" si="5"/>
        <v>50.99</v>
      </c>
      <c r="H192" s="37"/>
    </row>
    <row r="193">
      <c r="A193" s="60" t="s">
        <v>536</v>
      </c>
      <c r="B193" s="60" t="s">
        <v>537</v>
      </c>
      <c r="C193" s="34" t="s">
        <v>2447</v>
      </c>
      <c r="D193" s="34" t="s">
        <v>53</v>
      </c>
      <c r="E193" s="68">
        <v>200.98</v>
      </c>
      <c r="F193" s="36"/>
      <c r="G193" s="36">
        <f t="shared" si="5"/>
        <v>200.98</v>
      </c>
      <c r="H193" s="37"/>
    </row>
    <row r="194">
      <c r="A194" s="60" t="s">
        <v>538</v>
      </c>
      <c r="B194" s="60" t="s">
        <v>539</v>
      </c>
      <c r="C194" s="34" t="s">
        <v>2447</v>
      </c>
      <c r="D194" s="34" t="s">
        <v>53</v>
      </c>
      <c r="E194" s="68">
        <v>275.96</v>
      </c>
      <c r="F194" s="36"/>
      <c r="G194" s="36">
        <f t="shared" si="5"/>
        <v>275.96</v>
      </c>
      <c r="H194" s="37"/>
    </row>
    <row r="195">
      <c r="A195" s="60" t="s">
        <v>540</v>
      </c>
      <c r="B195" s="60" t="s">
        <v>541</v>
      </c>
      <c r="C195" s="34" t="s">
        <v>2447</v>
      </c>
      <c r="D195" s="34" t="s">
        <v>53</v>
      </c>
      <c r="E195" s="68">
        <v>231.98</v>
      </c>
      <c r="F195" s="36"/>
      <c r="G195" s="36">
        <f t="shared" si="5"/>
        <v>231.98</v>
      </c>
      <c r="H195" s="37"/>
    </row>
    <row r="196">
      <c r="A196" s="60" t="s">
        <v>542</v>
      </c>
      <c r="B196" s="60" t="s">
        <v>543</v>
      </c>
      <c r="C196" s="34" t="s">
        <v>2447</v>
      </c>
      <c r="D196" s="34" t="s">
        <v>53</v>
      </c>
      <c r="E196" s="68">
        <v>374.96</v>
      </c>
      <c r="F196" s="36"/>
      <c r="G196" s="36">
        <f t="shared" si="5"/>
        <v>374.96</v>
      </c>
      <c r="H196" s="37"/>
    </row>
    <row r="197">
      <c r="A197" s="60" t="s">
        <v>544</v>
      </c>
      <c r="B197" s="60" t="s">
        <v>545</v>
      </c>
      <c r="C197" s="34" t="s">
        <v>2447</v>
      </c>
      <c r="D197" s="34" t="s">
        <v>53</v>
      </c>
      <c r="E197" s="68">
        <v>493.94</v>
      </c>
      <c r="F197" s="36"/>
      <c r="G197" s="36">
        <f t="shared" si="5"/>
        <v>493.94</v>
      </c>
      <c r="H197" s="37"/>
    </row>
    <row r="198">
      <c r="A198" s="60" t="s">
        <v>546</v>
      </c>
      <c r="B198" s="60" t="s">
        <v>547</v>
      </c>
      <c r="C198" s="34" t="s">
        <v>2447</v>
      </c>
      <c r="D198" s="34" t="s">
        <v>53</v>
      </c>
      <c r="E198" s="68">
        <v>251.96</v>
      </c>
      <c r="F198" s="36"/>
      <c r="G198" s="36">
        <f t="shared" si="5"/>
        <v>251.96</v>
      </c>
      <c r="H198" s="37"/>
    </row>
    <row r="199">
      <c r="A199" s="60" t="s">
        <v>548</v>
      </c>
      <c r="B199" s="60" t="s">
        <v>549</v>
      </c>
      <c r="C199" s="34" t="s">
        <v>2447</v>
      </c>
      <c r="D199" s="34" t="s">
        <v>53</v>
      </c>
      <c r="E199" s="68">
        <v>217.97</v>
      </c>
      <c r="F199" s="36"/>
      <c r="G199" s="36">
        <f t="shared" si="5"/>
        <v>217.97</v>
      </c>
      <c r="H199" s="37"/>
    </row>
    <row r="200">
      <c r="A200" s="60" t="s">
        <v>550</v>
      </c>
      <c r="B200" s="60" t="s">
        <v>551</v>
      </c>
      <c r="C200" s="34" t="s">
        <v>2447</v>
      </c>
      <c r="D200" s="34" t="s">
        <v>53</v>
      </c>
      <c r="E200" s="68">
        <v>309.95</v>
      </c>
      <c r="F200" s="36"/>
      <c r="G200" s="36">
        <f t="shared" si="5"/>
        <v>309.95</v>
      </c>
      <c r="H200" s="37"/>
    </row>
    <row r="201">
      <c r="A201" s="60" t="s">
        <v>1425</v>
      </c>
      <c r="B201" s="60" t="s">
        <v>1426</v>
      </c>
      <c r="C201" s="34" t="s">
        <v>2447</v>
      </c>
      <c r="D201" s="34" t="s">
        <v>53</v>
      </c>
      <c r="E201" s="68">
        <v>0.26</v>
      </c>
      <c r="F201" s="36"/>
      <c r="G201" s="36">
        <f t="shared" si="5"/>
        <v>0.26</v>
      </c>
      <c r="H201" s="37"/>
    </row>
    <row r="202">
      <c r="A202" s="60" t="s">
        <v>552</v>
      </c>
      <c r="B202" s="60" t="s">
        <v>553</v>
      </c>
      <c r="C202" s="34" t="s">
        <v>2447</v>
      </c>
      <c r="D202" s="34" t="s">
        <v>53</v>
      </c>
      <c r="E202" s="68">
        <v>3800.14</v>
      </c>
      <c r="F202" s="36"/>
      <c r="G202" s="36">
        <f t="shared" si="5"/>
        <v>3800.14</v>
      </c>
      <c r="H202" s="37"/>
    </row>
    <row r="203">
      <c r="A203" s="60" t="s">
        <v>554</v>
      </c>
      <c r="B203" s="60" t="s">
        <v>555</v>
      </c>
      <c r="C203" s="34" t="s">
        <v>2447</v>
      </c>
      <c r="D203" s="34" t="s">
        <v>53</v>
      </c>
      <c r="E203" s="68">
        <v>3795.0</v>
      </c>
      <c r="F203" s="36"/>
      <c r="G203" s="36">
        <f t="shared" si="5"/>
        <v>3795</v>
      </c>
      <c r="H203" s="37"/>
    </row>
    <row r="204">
      <c r="A204" s="60" t="s">
        <v>556</v>
      </c>
      <c r="B204" s="60" t="s">
        <v>557</v>
      </c>
      <c r="C204" s="34" t="s">
        <v>2447</v>
      </c>
      <c r="D204" s="34" t="s">
        <v>53</v>
      </c>
      <c r="E204" s="68">
        <v>183.98</v>
      </c>
      <c r="F204" s="36"/>
      <c r="G204" s="36">
        <f t="shared" si="5"/>
        <v>183.98</v>
      </c>
      <c r="H204" s="37"/>
    </row>
    <row r="205">
      <c r="A205" s="60" t="s">
        <v>558</v>
      </c>
      <c r="B205" s="60" t="s">
        <v>559</v>
      </c>
      <c r="C205" s="34" t="s">
        <v>2447</v>
      </c>
      <c r="D205" s="34" t="s">
        <v>53</v>
      </c>
      <c r="E205" s="68">
        <v>391.95</v>
      </c>
      <c r="F205" s="36"/>
      <c r="G205" s="36">
        <f t="shared" si="5"/>
        <v>391.95</v>
      </c>
      <c r="H205" s="37"/>
    </row>
    <row r="206">
      <c r="A206" s="60" t="s">
        <v>560</v>
      </c>
      <c r="B206" s="60" t="s">
        <v>561</v>
      </c>
      <c r="C206" s="34" t="s">
        <v>2447</v>
      </c>
      <c r="D206" s="34" t="s">
        <v>53</v>
      </c>
      <c r="E206" s="68">
        <v>458.92</v>
      </c>
      <c r="F206" s="36"/>
      <c r="G206" s="36">
        <f t="shared" si="5"/>
        <v>458.92</v>
      </c>
      <c r="H206" s="37"/>
    </row>
    <row r="207">
      <c r="A207" s="60" t="s">
        <v>562</v>
      </c>
      <c r="B207" s="60" t="s">
        <v>563</v>
      </c>
      <c r="C207" s="34" t="s">
        <v>2447</v>
      </c>
      <c r="D207" s="34" t="s">
        <v>53</v>
      </c>
      <c r="E207" s="68">
        <v>84.99</v>
      </c>
      <c r="F207" s="36"/>
      <c r="G207" s="36">
        <f t="shared" si="5"/>
        <v>84.99</v>
      </c>
      <c r="H207" s="37"/>
    </row>
    <row r="208">
      <c r="A208" s="60" t="s">
        <v>564</v>
      </c>
      <c r="B208" s="60" t="s">
        <v>565</v>
      </c>
      <c r="C208" s="34" t="s">
        <v>2447</v>
      </c>
      <c r="D208" s="34" t="s">
        <v>53</v>
      </c>
      <c r="E208" s="68">
        <v>108.98</v>
      </c>
      <c r="F208" s="36"/>
      <c r="G208" s="36">
        <f t="shared" si="5"/>
        <v>108.98</v>
      </c>
      <c r="H208" s="37"/>
    </row>
    <row r="209">
      <c r="A209" s="60" t="s">
        <v>566</v>
      </c>
      <c r="B209" s="60" t="s">
        <v>567</v>
      </c>
      <c r="C209" s="34" t="s">
        <v>2447</v>
      </c>
      <c r="D209" s="34" t="s">
        <v>53</v>
      </c>
      <c r="E209" s="68">
        <v>304.98</v>
      </c>
      <c r="F209" s="36"/>
      <c r="G209" s="36">
        <f t="shared" si="5"/>
        <v>304.98</v>
      </c>
      <c r="H209" s="37"/>
    </row>
    <row r="210">
      <c r="A210" s="60" t="s">
        <v>568</v>
      </c>
      <c r="B210" s="60" t="s">
        <v>569</v>
      </c>
      <c r="C210" s="34" t="s">
        <v>2447</v>
      </c>
      <c r="D210" s="34" t="s">
        <v>53</v>
      </c>
      <c r="E210" s="68">
        <v>2415.0</v>
      </c>
      <c r="F210" s="36"/>
      <c r="G210" s="36">
        <f t="shared" si="5"/>
        <v>2415</v>
      </c>
      <c r="H210" s="37"/>
    </row>
    <row r="211">
      <c r="A211" s="60" t="s">
        <v>570</v>
      </c>
      <c r="B211" s="60" t="s">
        <v>571</v>
      </c>
      <c r="C211" s="34" t="s">
        <v>2447</v>
      </c>
      <c r="D211" s="34" t="s">
        <v>53</v>
      </c>
      <c r="E211" s="68">
        <v>309.95</v>
      </c>
      <c r="F211" s="36"/>
      <c r="G211" s="36">
        <f t="shared" si="5"/>
        <v>309.95</v>
      </c>
      <c r="H211" s="37"/>
    </row>
    <row r="212">
      <c r="A212" s="60" t="s">
        <v>572</v>
      </c>
      <c r="B212" s="60" t="s">
        <v>573</v>
      </c>
      <c r="C212" s="34" t="s">
        <v>2447</v>
      </c>
      <c r="D212" s="34" t="s">
        <v>53</v>
      </c>
      <c r="E212" s="68">
        <v>115.99</v>
      </c>
      <c r="F212" s="36"/>
      <c r="G212" s="36">
        <f t="shared" si="5"/>
        <v>115.99</v>
      </c>
      <c r="H212" s="37"/>
    </row>
    <row r="213">
      <c r="A213" s="60" t="s">
        <v>574</v>
      </c>
      <c r="B213" s="60" t="s">
        <v>575</v>
      </c>
      <c r="C213" s="34" t="s">
        <v>2447</v>
      </c>
      <c r="D213" s="34" t="s">
        <v>53</v>
      </c>
      <c r="E213" s="68">
        <v>108.98</v>
      </c>
      <c r="F213" s="36"/>
      <c r="G213" s="36">
        <f t="shared" si="5"/>
        <v>108.98</v>
      </c>
      <c r="H213" s="37"/>
    </row>
    <row r="214">
      <c r="A214" s="60" t="s">
        <v>576</v>
      </c>
      <c r="B214" s="60" t="s">
        <v>577</v>
      </c>
      <c r="C214" s="34" t="s">
        <v>2447</v>
      </c>
      <c r="D214" s="34" t="s">
        <v>53</v>
      </c>
      <c r="E214" s="68">
        <v>91.98</v>
      </c>
      <c r="F214" s="36"/>
      <c r="G214" s="36">
        <f t="shared" si="5"/>
        <v>91.98</v>
      </c>
      <c r="H214" s="37"/>
    </row>
    <row r="215">
      <c r="A215" s="60" t="s">
        <v>578</v>
      </c>
      <c r="B215" s="60" t="s">
        <v>579</v>
      </c>
      <c r="C215" s="34" t="s">
        <v>2447</v>
      </c>
      <c r="D215" s="34" t="s">
        <v>53</v>
      </c>
      <c r="E215" s="68">
        <v>183.97</v>
      </c>
      <c r="F215" s="36"/>
      <c r="G215" s="36">
        <f t="shared" si="5"/>
        <v>183.97</v>
      </c>
      <c r="H215" s="37"/>
    </row>
    <row r="216">
      <c r="A216" s="60" t="s">
        <v>580</v>
      </c>
      <c r="B216" s="60" t="s">
        <v>581</v>
      </c>
      <c r="C216" s="34" t="s">
        <v>2447</v>
      </c>
      <c r="D216" s="34" t="s">
        <v>53</v>
      </c>
      <c r="E216" s="68">
        <v>166.98</v>
      </c>
      <c r="F216" s="36"/>
      <c r="G216" s="36">
        <f t="shared" si="5"/>
        <v>166.98</v>
      </c>
      <c r="H216" s="37"/>
    </row>
    <row r="217">
      <c r="A217" s="60" t="s">
        <v>582</v>
      </c>
      <c r="B217" s="60" t="s">
        <v>583</v>
      </c>
      <c r="C217" s="34" t="s">
        <v>2447</v>
      </c>
      <c r="D217" s="34" t="s">
        <v>53</v>
      </c>
      <c r="E217" s="68">
        <v>108.98</v>
      </c>
      <c r="F217" s="36"/>
      <c r="G217" s="36">
        <f t="shared" si="5"/>
        <v>108.98</v>
      </c>
      <c r="H217" s="37"/>
    </row>
    <row r="218">
      <c r="A218" s="60" t="s">
        <v>586</v>
      </c>
      <c r="B218" s="60" t="s">
        <v>587</v>
      </c>
      <c r="C218" s="34" t="s">
        <v>2447</v>
      </c>
      <c r="D218" s="34" t="s">
        <v>53</v>
      </c>
      <c r="E218" s="68">
        <v>217.97</v>
      </c>
      <c r="F218" s="36"/>
      <c r="G218" s="36">
        <f t="shared" si="5"/>
        <v>217.97</v>
      </c>
      <c r="H218" s="37"/>
    </row>
    <row r="219">
      <c r="A219" s="60" t="s">
        <v>2607</v>
      </c>
      <c r="B219" s="60" t="s">
        <v>2608</v>
      </c>
      <c r="C219" s="34" t="s">
        <v>2447</v>
      </c>
      <c r="D219" s="34" t="s">
        <v>53</v>
      </c>
      <c r="E219" s="68">
        <v>422.96</v>
      </c>
      <c r="F219" s="36"/>
      <c r="G219" s="36">
        <f t="shared" si="5"/>
        <v>422.96</v>
      </c>
      <c r="H219" s="37"/>
    </row>
    <row r="220">
      <c r="A220" s="60" t="s">
        <v>588</v>
      </c>
      <c r="B220" s="60" t="s">
        <v>589</v>
      </c>
      <c r="C220" s="34" t="s">
        <v>2447</v>
      </c>
      <c r="D220" s="34" t="s">
        <v>53</v>
      </c>
      <c r="E220" s="68">
        <v>527.93</v>
      </c>
      <c r="F220" s="36"/>
      <c r="G220" s="36">
        <f t="shared" si="5"/>
        <v>527.93</v>
      </c>
      <c r="H220" s="37"/>
    </row>
    <row r="221">
      <c r="A221" s="60" t="s">
        <v>1777</v>
      </c>
      <c r="B221" s="60" t="s">
        <v>1778</v>
      </c>
      <c r="C221" s="34" t="s">
        <v>2447</v>
      </c>
      <c r="D221" s="34" t="s">
        <v>53</v>
      </c>
      <c r="E221" s="68">
        <v>91.98</v>
      </c>
      <c r="F221" s="36"/>
      <c r="G221" s="36">
        <f t="shared" si="5"/>
        <v>91.98</v>
      </c>
      <c r="H221" s="37"/>
    </row>
    <row r="222">
      <c r="A222" s="60" t="s">
        <v>590</v>
      </c>
      <c r="B222" s="60" t="s">
        <v>591</v>
      </c>
      <c r="C222" s="34" t="s">
        <v>2447</v>
      </c>
      <c r="D222" s="34" t="s">
        <v>53</v>
      </c>
      <c r="E222" s="68">
        <v>108.98</v>
      </c>
      <c r="F222" s="36"/>
      <c r="G222" s="36">
        <f t="shared" si="5"/>
        <v>108.98</v>
      </c>
      <c r="H222" s="37"/>
    </row>
    <row r="223">
      <c r="A223" s="60" t="s">
        <v>592</v>
      </c>
      <c r="B223" s="60" t="s">
        <v>593</v>
      </c>
      <c r="C223" s="34" t="s">
        <v>2447</v>
      </c>
      <c r="D223" s="34" t="s">
        <v>53</v>
      </c>
      <c r="E223" s="68">
        <v>108.98</v>
      </c>
      <c r="F223" s="36"/>
      <c r="G223" s="36">
        <f t="shared" si="5"/>
        <v>108.98</v>
      </c>
      <c r="H223" s="37"/>
    </row>
    <row r="224">
      <c r="A224" s="60" t="s">
        <v>2609</v>
      </c>
      <c r="B224" s="60" t="s">
        <v>2610</v>
      </c>
      <c r="C224" s="34" t="s">
        <v>2447</v>
      </c>
      <c r="D224" s="34" t="s">
        <v>53</v>
      </c>
      <c r="E224" s="68">
        <v>-108.98</v>
      </c>
      <c r="F224" s="36"/>
      <c r="G224" s="36">
        <f t="shared" si="5"/>
        <v>-108.98</v>
      </c>
      <c r="H224" s="37"/>
    </row>
    <row r="225">
      <c r="A225" s="60" t="s">
        <v>594</v>
      </c>
      <c r="B225" s="60" t="s">
        <v>595</v>
      </c>
      <c r="C225" s="34" t="s">
        <v>2447</v>
      </c>
      <c r="D225" s="34" t="s">
        <v>53</v>
      </c>
      <c r="E225" s="68">
        <v>200.98</v>
      </c>
      <c r="F225" s="36"/>
      <c r="G225" s="36">
        <f t="shared" si="5"/>
        <v>200.98</v>
      </c>
      <c r="H225" s="37"/>
    </row>
    <row r="226">
      <c r="A226" s="60" t="s">
        <v>596</v>
      </c>
      <c r="B226" s="60" t="s">
        <v>597</v>
      </c>
      <c r="C226" s="34" t="s">
        <v>2447</v>
      </c>
      <c r="D226" s="34" t="s">
        <v>53</v>
      </c>
      <c r="E226" s="68">
        <v>108.98</v>
      </c>
      <c r="F226" s="36"/>
      <c r="G226" s="36">
        <f t="shared" si="5"/>
        <v>108.98</v>
      </c>
      <c r="H226" s="37"/>
    </row>
    <row r="227">
      <c r="A227" s="60" t="s">
        <v>598</v>
      </c>
      <c r="B227" s="60" t="s">
        <v>599</v>
      </c>
      <c r="C227" s="34" t="s">
        <v>2447</v>
      </c>
      <c r="D227" s="34" t="s">
        <v>53</v>
      </c>
      <c r="E227" s="68">
        <v>531.9</v>
      </c>
      <c r="F227" s="36"/>
      <c r="G227" s="36">
        <f t="shared" si="5"/>
        <v>531.9</v>
      </c>
      <c r="H227" s="37"/>
    </row>
    <row r="228">
      <c r="A228" s="60" t="s">
        <v>600</v>
      </c>
      <c r="B228" s="60" t="s">
        <v>601</v>
      </c>
      <c r="C228" s="34" t="s">
        <v>2447</v>
      </c>
      <c r="D228" s="34" t="s">
        <v>53</v>
      </c>
      <c r="E228" s="68">
        <v>166.98</v>
      </c>
      <c r="F228" s="36"/>
      <c r="G228" s="36">
        <f t="shared" si="5"/>
        <v>166.98</v>
      </c>
      <c r="H228" s="37"/>
    </row>
    <row r="229">
      <c r="A229" s="60" t="s">
        <v>602</v>
      </c>
      <c r="B229" s="60" t="s">
        <v>603</v>
      </c>
      <c r="C229" s="34" t="s">
        <v>2447</v>
      </c>
      <c r="D229" s="34" t="s">
        <v>53</v>
      </c>
      <c r="E229" s="68">
        <v>4448.09</v>
      </c>
      <c r="F229" s="36"/>
      <c r="G229" s="36">
        <f t="shared" si="5"/>
        <v>4448.09</v>
      </c>
      <c r="H229" s="37"/>
    </row>
    <row r="230">
      <c r="A230" s="60" t="s">
        <v>604</v>
      </c>
      <c r="B230" s="60" t="s">
        <v>605</v>
      </c>
      <c r="C230" s="34" t="s">
        <v>2447</v>
      </c>
      <c r="D230" s="34" t="s">
        <v>53</v>
      </c>
      <c r="E230" s="68">
        <v>108.98</v>
      </c>
      <c r="F230" s="36"/>
      <c r="G230" s="36">
        <f t="shared" si="5"/>
        <v>108.98</v>
      </c>
      <c r="H230" s="37"/>
    </row>
    <row r="231">
      <c r="A231" s="60" t="s">
        <v>606</v>
      </c>
      <c r="B231" s="60" t="s">
        <v>1942</v>
      </c>
      <c r="C231" s="34" t="s">
        <v>2447</v>
      </c>
      <c r="D231" s="34" t="s">
        <v>53</v>
      </c>
      <c r="E231" s="68">
        <v>2253.54</v>
      </c>
      <c r="F231" s="36"/>
      <c r="G231" s="36">
        <f t="shared" si="5"/>
        <v>2253.54</v>
      </c>
      <c r="H231" s="37"/>
    </row>
    <row r="232">
      <c r="A232" s="60" t="s">
        <v>608</v>
      </c>
      <c r="B232" s="60" t="s">
        <v>609</v>
      </c>
      <c r="C232" s="34" t="s">
        <v>2447</v>
      </c>
      <c r="D232" s="34" t="s">
        <v>53</v>
      </c>
      <c r="E232" s="68">
        <v>285.98</v>
      </c>
      <c r="F232" s="36"/>
      <c r="G232" s="36">
        <f t="shared" si="5"/>
        <v>285.98</v>
      </c>
      <c r="H232" s="37"/>
    </row>
    <row r="233">
      <c r="A233" s="60" t="s">
        <v>610</v>
      </c>
      <c r="B233" s="60" t="s">
        <v>611</v>
      </c>
      <c r="C233" s="34" t="s">
        <v>2447</v>
      </c>
      <c r="D233" s="34" t="s">
        <v>53</v>
      </c>
      <c r="E233" s="68">
        <v>414.0</v>
      </c>
      <c r="F233" s="36"/>
      <c r="G233" s="36">
        <f t="shared" si="5"/>
        <v>414</v>
      </c>
      <c r="H233" s="37"/>
    </row>
    <row r="234">
      <c r="A234" s="60" t="s">
        <v>612</v>
      </c>
      <c r="B234" s="60" t="s">
        <v>613</v>
      </c>
      <c r="C234" s="34" t="s">
        <v>2447</v>
      </c>
      <c r="D234" s="34" t="s">
        <v>53</v>
      </c>
      <c r="E234" s="68">
        <v>931.5</v>
      </c>
      <c r="F234" s="36"/>
      <c r="G234" s="36">
        <f t="shared" si="5"/>
        <v>931.5</v>
      </c>
      <c r="H234" s="37"/>
    </row>
    <row r="235">
      <c r="A235" s="60" t="s">
        <v>1947</v>
      </c>
      <c r="B235" s="60" t="s">
        <v>1948</v>
      </c>
      <c r="C235" s="34" t="s">
        <v>2447</v>
      </c>
      <c r="D235" s="34" t="s">
        <v>53</v>
      </c>
      <c r="E235" s="68">
        <v>217.97</v>
      </c>
      <c r="F235" s="36"/>
      <c r="G235" s="36">
        <f t="shared" si="5"/>
        <v>217.97</v>
      </c>
      <c r="H235" s="37"/>
    </row>
    <row r="236">
      <c r="A236" s="60" t="s">
        <v>614</v>
      </c>
      <c r="B236" s="60" t="s">
        <v>615</v>
      </c>
      <c r="C236" s="34" t="s">
        <v>2447</v>
      </c>
      <c r="D236" s="34" t="s">
        <v>53</v>
      </c>
      <c r="E236" s="68">
        <v>166.98</v>
      </c>
      <c r="F236" s="36"/>
      <c r="G236" s="36">
        <f t="shared" si="5"/>
        <v>166.98</v>
      </c>
      <c r="H236" s="37"/>
    </row>
    <row r="237">
      <c r="A237" s="60" t="s">
        <v>616</v>
      </c>
      <c r="B237" s="60" t="s">
        <v>617</v>
      </c>
      <c r="C237" s="34" t="s">
        <v>2447</v>
      </c>
      <c r="D237" s="34" t="s">
        <v>53</v>
      </c>
      <c r="E237" s="68">
        <v>108.98</v>
      </c>
      <c r="F237" s="36"/>
      <c r="G237" s="36">
        <f t="shared" si="5"/>
        <v>108.98</v>
      </c>
      <c r="H237" s="37"/>
    </row>
    <row r="238">
      <c r="A238" s="60" t="s">
        <v>618</v>
      </c>
      <c r="B238" s="60" t="s">
        <v>619</v>
      </c>
      <c r="C238" s="34" t="s">
        <v>2447</v>
      </c>
      <c r="D238" s="34" t="s">
        <v>53</v>
      </c>
      <c r="E238" s="68">
        <v>149.98</v>
      </c>
      <c r="F238" s="36"/>
      <c r="G238" s="36">
        <f t="shared" si="5"/>
        <v>149.98</v>
      </c>
      <c r="H238" s="37"/>
    </row>
    <row r="239">
      <c r="A239" s="60" t="s">
        <v>620</v>
      </c>
      <c r="B239" s="60" t="s">
        <v>621</v>
      </c>
      <c r="C239" s="34" t="s">
        <v>2447</v>
      </c>
      <c r="D239" s="34" t="s">
        <v>53</v>
      </c>
      <c r="E239" s="68">
        <v>367.95</v>
      </c>
      <c r="F239" s="36"/>
      <c r="G239" s="36">
        <f t="shared" si="5"/>
        <v>367.95</v>
      </c>
      <c r="H239" s="37"/>
    </row>
    <row r="240">
      <c r="A240" s="60" t="s">
        <v>622</v>
      </c>
      <c r="B240" s="60" t="s">
        <v>623</v>
      </c>
      <c r="C240" s="34" t="s">
        <v>2447</v>
      </c>
      <c r="D240" s="34" t="s">
        <v>53</v>
      </c>
      <c r="E240" s="68">
        <v>217.97</v>
      </c>
      <c r="F240" s="36"/>
      <c r="G240" s="36">
        <f t="shared" si="5"/>
        <v>217.97</v>
      </c>
      <c r="H240" s="37"/>
    </row>
    <row r="241">
      <c r="A241" s="60" t="s">
        <v>624</v>
      </c>
      <c r="B241" s="60" t="s">
        <v>625</v>
      </c>
      <c r="C241" s="34" t="s">
        <v>2447</v>
      </c>
      <c r="D241" s="34" t="s">
        <v>53</v>
      </c>
      <c r="E241" s="68">
        <v>1125.06</v>
      </c>
      <c r="F241" s="36"/>
      <c r="G241" s="36">
        <f t="shared" si="5"/>
        <v>1125.06</v>
      </c>
      <c r="H241" s="37"/>
    </row>
    <row r="242">
      <c r="A242" s="60" t="s">
        <v>626</v>
      </c>
      <c r="B242" s="60" t="s">
        <v>627</v>
      </c>
      <c r="C242" s="34" t="s">
        <v>2447</v>
      </c>
      <c r="D242" s="34" t="s">
        <v>53</v>
      </c>
      <c r="E242" s="68">
        <v>84.98</v>
      </c>
      <c r="F242" s="36"/>
      <c r="G242" s="36">
        <f t="shared" si="5"/>
        <v>84.98</v>
      </c>
      <c r="H242" s="37"/>
    </row>
    <row r="243">
      <c r="A243" s="60" t="s">
        <v>628</v>
      </c>
      <c r="B243" s="60" t="s">
        <v>629</v>
      </c>
      <c r="C243" s="34" t="s">
        <v>2447</v>
      </c>
      <c r="D243" s="34" t="s">
        <v>53</v>
      </c>
      <c r="E243" s="68">
        <v>149.98</v>
      </c>
      <c r="F243" s="36"/>
      <c r="G243" s="36">
        <f t="shared" si="5"/>
        <v>149.98</v>
      </c>
      <c r="H243" s="37"/>
    </row>
    <row r="244">
      <c r="A244" s="60" t="s">
        <v>630</v>
      </c>
      <c r="B244" s="60" t="s">
        <v>631</v>
      </c>
      <c r="C244" s="34" t="s">
        <v>2447</v>
      </c>
      <c r="D244" s="34" t="s">
        <v>53</v>
      </c>
      <c r="E244" s="68">
        <v>4087.9</v>
      </c>
      <c r="F244" s="36"/>
      <c r="G244" s="36">
        <f t="shared" si="5"/>
        <v>4087.9</v>
      </c>
      <c r="H244" s="37"/>
    </row>
    <row r="245">
      <c r="A245" s="60" t="s">
        <v>632</v>
      </c>
      <c r="B245" s="60" t="s">
        <v>633</v>
      </c>
      <c r="C245" s="34" t="s">
        <v>2447</v>
      </c>
      <c r="D245" s="34" t="s">
        <v>53</v>
      </c>
      <c r="E245" s="68">
        <v>2488.64</v>
      </c>
      <c r="F245" s="36"/>
      <c r="G245" s="36">
        <f t="shared" si="5"/>
        <v>2488.64</v>
      </c>
      <c r="H245" s="37"/>
    </row>
    <row r="246">
      <c r="A246" s="60" t="s">
        <v>634</v>
      </c>
      <c r="B246" s="60" t="s">
        <v>635</v>
      </c>
      <c r="C246" s="34" t="s">
        <v>2447</v>
      </c>
      <c r="D246" s="34" t="s">
        <v>53</v>
      </c>
      <c r="E246" s="68">
        <v>207.97</v>
      </c>
      <c r="F246" s="36"/>
      <c r="G246" s="36">
        <f t="shared" si="5"/>
        <v>207.97</v>
      </c>
      <c r="H246" s="37"/>
    </row>
    <row r="247">
      <c r="A247" s="60" t="s">
        <v>636</v>
      </c>
      <c r="B247" s="60" t="s">
        <v>637</v>
      </c>
      <c r="C247" s="34" t="s">
        <v>2447</v>
      </c>
      <c r="D247" s="34" t="s">
        <v>53</v>
      </c>
      <c r="E247" s="68">
        <v>511.02</v>
      </c>
      <c r="F247" s="36"/>
      <c r="G247" s="36">
        <f t="shared" si="5"/>
        <v>511.02</v>
      </c>
      <c r="H247" s="37"/>
    </row>
    <row r="248">
      <c r="A248" s="60" t="s">
        <v>638</v>
      </c>
      <c r="B248" s="60" t="s">
        <v>639</v>
      </c>
      <c r="C248" s="34" t="s">
        <v>2447</v>
      </c>
      <c r="D248" s="34" t="s">
        <v>53</v>
      </c>
      <c r="E248" s="68">
        <v>2891.15</v>
      </c>
      <c r="F248" s="36"/>
      <c r="G248" s="36">
        <f t="shared" si="5"/>
        <v>2891.15</v>
      </c>
      <c r="H248" s="37"/>
    </row>
    <row r="249">
      <c r="A249" s="60" t="s">
        <v>640</v>
      </c>
      <c r="B249" s="60" t="s">
        <v>641</v>
      </c>
      <c r="C249" s="34" t="s">
        <v>2447</v>
      </c>
      <c r="D249" s="34" t="s">
        <v>53</v>
      </c>
      <c r="E249" s="68">
        <v>7386.83</v>
      </c>
      <c r="F249" s="36"/>
      <c r="G249" s="36">
        <f t="shared" si="5"/>
        <v>7386.83</v>
      </c>
      <c r="H249" s="37"/>
    </row>
    <row r="250">
      <c r="A250" s="60" t="s">
        <v>642</v>
      </c>
      <c r="B250" s="60" t="s">
        <v>643</v>
      </c>
      <c r="C250" s="34" t="s">
        <v>2447</v>
      </c>
      <c r="D250" s="34" t="s">
        <v>53</v>
      </c>
      <c r="E250" s="68">
        <v>1552.05</v>
      </c>
      <c r="F250" s="36"/>
      <c r="G250" s="36">
        <f t="shared" si="5"/>
        <v>1552.05</v>
      </c>
      <c r="H250" s="37"/>
    </row>
    <row r="251">
      <c r="A251" s="60" t="s">
        <v>644</v>
      </c>
      <c r="B251" s="60" t="s">
        <v>645</v>
      </c>
      <c r="C251" s="34" t="s">
        <v>2447</v>
      </c>
      <c r="D251" s="34" t="s">
        <v>53</v>
      </c>
      <c r="E251" s="68">
        <v>4495.83</v>
      </c>
      <c r="F251" s="36"/>
      <c r="G251" s="36">
        <f t="shared" si="5"/>
        <v>4495.83</v>
      </c>
      <c r="H251" s="37"/>
    </row>
    <row r="252">
      <c r="A252" s="60" t="s">
        <v>646</v>
      </c>
      <c r="B252" s="60" t="s">
        <v>647</v>
      </c>
      <c r="C252" s="34" t="s">
        <v>2447</v>
      </c>
      <c r="D252" s="34" t="s">
        <v>53</v>
      </c>
      <c r="E252" s="68">
        <v>258.97</v>
      </c>
      <c r="F252" s="36"/>
      <c r="G252" s="36">
        <f t="shared" si="5"/>
        <v>258.97</v>
      </c>
      <c r="H252" s="37"/>
    </row>
    <row r="253">
      <c r="A253" s="60" t="s">
        <v>648</v>
      </c>
      <c r="B253" s="60" t="s">
        <v>649</v>
      </c>
      <c r="C253" s="34" t="s">
        <v>2447</v>
      </c>
      <c r="D253" s="34" t="s">
        <v>53</v>
      </c>
      <c r="E253" s="68">
        <v>2537.3</v>
      </c>
      <c r="F253" s="36"/>
      <c r="G253" s="36">
        <f t="shared" si="5"/>
        <v>2537.3</v>
      </c>
      <c r="H253" s="37"/>
    </row>
    <row r="254">
      <c r="A254" s="60" t="s">
        <v>650</v>
      </c>
      <c r="B254" s="60" t="s">
        <v>651</v>
      </c>
      <c r="C254" s="34" t="s">
        <v>2447</v>
      </c>
      <c r="D254" s="34" t="s">
        <v>53</v>
      </c>
      <c r="E254" s="68">
        <v>445.97</v>
      </c>
      <c r="F254" s="36"/>
      <c r="G254" s="36">
        <f t="shared" si="5"/>
        <v>445.97</v>
      </c>
      <c r="H254" s="37"/>
    </row>
    <row r="255">
      <c r="A255" s="60" t="s">
        <v>652</v>
      </c>
      <c r="B255" s="60" t="s">
        <v>653</v>
      </c>
      <c r="C255" s="34" t="s">
        <v>2447</v>
      </c>
      <c r="D255" s="34" t="s">
        <v>53</v>
      </c>
      <c r="E255" s="68">
        <v>275.96</v>
      </c>
      <c r="F255" s="36"/>
      <c r="G255" s="36">
        <f t="shared" si="5"/>
        <v>275.96</v>
      </c>
      <c r="H255" s="37"/>
    </row>
    <row r="256">
      <c r="A256" s="60" t="s">
        <v>654</v>
      </c>
      <c r="B256" s="60" t="s">
        <v>655</v>
      </c>
      <c r="C256" s="34" t="s">
        <v>2447</v>
      </c>
      <c r="D256" s="34" t="s">
        <v>53</v>
      </c>
      <c r="E256" s="68">
        <v>91.98</v>
      </c>
      <c r="F256" s="36"/>
      <c r="G256" s="36">
        <f t="shared" si="5"/>
        <v>91.98</v>
      </c>
      <c r="H256" s="37"/>
    </row>
    <row r="257">
      <c r="A257" s="60" t="s">
        <v>656</v>
      </c>
      <c r="B257" s="60" t="s">
        <v>657</v>
      </c>
      <c r="C257" s="34" t="s">
        <v>2447</v>
      </c>
      <c r="D257" s="34" t="s">
        <v>53</v>
      </c>
      <c r="E257" s="68">
        <v>91.98</v>
      </c>
      <c r="F257" s="36"/>
      <c r="G257" s="36">
        <f t="shared" si="5"/>
        <v>91.98</v>
      </c>
      <c r="H257" s="37"/>
    </row>
    <row r="258">
      <c r="A258" s="60" t="s">
        <v>658</v>
      </c>
      <c r="B258" s="60" t="s">
        <v>659</v>
      </c>
      <c r="C258" s="34" t="s">
        <v>2447</v>
      </c>
      <c r="D258" s="34" t="s">
        <v>53</v>
      </c>
      <c r="E258" s="68">
        <v>125.97</v>
      </c>
      <c r="F258" s="36"/>
      <c r="G258" s="36">
        <f t="shared" si="5"/>
        <v>125.97</v>
      </c>
      <c r="H258" s="37"/>
    </row>
    <row r="259">
      <c r="A259" s="60" t="s">
        <v>1427</v>
      </c>
      <c r="B259" s="60" t="s">
        <v>1428</v>
      </c>
      <c r="C259" s="34" t="s">
        <v>2447</v>
      </c>
      <c r="D259" s="34" t="s">
        <v>53</v>
      </c>
      <c r="E259" s="68">
        <v>1286.14</v>
      </c>
      <c r="F259" s="36"/>
      <c r="G259" s="36">
        <f t="shared" si="5"/>
        <v>1286.14</v>
      </c>
      <c r="H259" s="37"/>
    </row>
    <row r="260">
      <c r="A260" s="60" t="s">
        <v>660</v>
      </c>
      <c r="B260" s="60" t="s">
        <v>661</v>
      </c>
      <c r="C260" s="34" t="s">
        <v>2447</v>
      </c>
      <c r="D260" s="34" t="s">
        <v>53</v>
      </c>
      <c r="E260" s="68">
        <v>964.6</v>
      </c>
      <c r="F260" s="36"/>
      <c r="G260" s="36">
        <f t="shared" si="5"/>
        <v>964.6</v>
      </c>
      <c r="H260" s="37"/>
    </row>
    <row r="261">
      <c r="A261" s="60" t="s">
        <v>662</v>
      </c>
      <c r="B261" s="60" t="s">
        <v>663</v>
      </c>
      <c r="C261" s="34" t="s">
        <v>2447</v>
      </c>
      <c r="D261" s="34" t="s">
        <v>53</v>
      </c>
      <c r="E261" s="68">
        <v>108.98</v>
      </c>
      <c r="F261" s="36"/>
      <c r="G261" s="36">
        <f t="shared" si="5"/>
        <v>108.98</v>
      </c>
      <c r="H261" s="37"/>
    </row>
    <row r="262">
      <c r="A262" s="60" t="s">
        <v>664</v>
      </c>
      <c r="B262" s="60" t="s">
        <v>665</v>
      </c>
      <c r="C262" s="34" t="s">
        <v>2447</v>
      </c>
      <c r="D262" s="34" t="s">
        <v>53</v>
      </c>
      <c r="E262" s="68">
        <v>67.99</v>
      </c>
      <c r="F262" s="36"/>
      <c r="G262" s="36">
        <f t="shared" si="5"/>
        <v>67.99</v>
      </c>
      <c r="H262" s="37"/>
    </row>
    <row r="263">
      <c r="A263" s="60" t="s">
        <v>666</v>
      </c>
      <c r="B263" s="60" t="s">
        <v>667</v>
      </c>
      <c r="C263" s="34" t="s">
        <v>2447</v>
      </c>
      <c r="D263" s="34" t="s">
        <v>53</v>
      </c>
      <c r="E263" s="68">
        <v>192.86</v>
      </c>
      <c r="F263" s="36"/>
      <c r="G263" s="36">
        <f t="shared" si="5"/>
        <v>192.86</v>
      </c>
      <c r="H263" s="37"/>
    </row>
    <row r="264">
      <c r="A264" s="60" t="s">
        <v>668</v>
      </c>
      <c r="B264" s="60" t="s">
        <v>669</v>
      </c>
      <c r="C264" s="34" t="s">
        <v>2447</v>
      </c>
      <c r="D264" s="34" t="s">
        <v>53</v>
      </c>
      <c r="E264" s="68">
        <v>679.8</v>
      </c>
      <c r="F264" s="36"/>
      <c r="G264" s="36">
        <f t="shared" si="5"/>
        <v>679.8</v>
      </c>
      <c r="H264" s="37"/>
    </row>
    <row r="265">
      <c r="A265" s="60" t="s">
        <v>672</v>
      </c>
      <c r="B265" s="60" t="s">
        <v>673</v>
      </c>
      <c r="C265" s="34" t="s">
        <v>2447</v>
      </c>
      <c r="D265" s="34" t="s">
        <v>53</v>
      </c>
      <c r="E265" s="68">
        <v>643.07</v>
      </c>
      <c r="F265" s="36"/>
      <c r="G265" s="36">
        <f t="shared" si="5"/>
        <v>643.07</v>
      </c>
      <c r="H265" s="37"/>
    </row>
    <row r="266">
      <c r="A266" s="60" t="s">
        <v>1429</v>
      </c>
      <c r="B266" s="60" t="s">
        <v>1430</v>
      </c>
      <c r="C266" s="34" t="s">
        <v>2447</v>
      </c>
      <c r="D266" s="34" t="s">
        <v>53</v>
      </c>
      <c r="E266" s="68">
        <v>3490.78</v>
      </c>
      <c r="F266" s="36"/>
      <c r="G266" s="36">
        <f t="shared" si="5"/>
        <v>3490.78</v>
      </c>
      <c r="H266" s="37"/>
    </row>
    <row r="267">
      <c r="A267" s="60" t="s">
        <v>678</v>
      </c>
      <c r="B267" s="60" t="s">
        <v>679</v>
      </c>
      <c r="C267" s="34" t="s">
        <v>2447</v>
      </c>
      <c r="D267" s="34" t="s">
        <v>53</v>
      </c>
      <c r="E267" s="68">
        <v>200.98</v>
      </c>
      <c r="F267" s="36"/>
      <c r="G267" s="36">
        <f t="shared" si="5"/>
        <v>200.98</v>
      </c>
      <c r="H267" s="37"/>
    </row>
    <row r="268">
      <c r="A268" s="60" t="s">
        <v>680</v>
      </c>
      <c r="B268" s="60" t="s">
        <v>681</v>
      </c>
      <c r="C268" s="34" t="s">
        <v>2447</v>
      </c>
      <c r="D268" s="34" t="s">
        <v>53</v>
      </c>
      <c r="E268" s="68">
        <v>115.99</v>
      </c>
      <c r="F268" s="36"/>
      <c r="G268" s="36">
        <f t="shared" si="5"/>
        <v>115.99</v>
      </c>
      <c r="H268" s="37"/>
    </row>
    <row r="269">
      <c r="A269" s="60" t="s">
        <v>682</v>
      </c>
      <c r="B269" s="60" t="s">
        <v>683</v>
      </c>
      <c r="C269" s="34" t="s">
        <v>2447</v>
      </c>
      <c r="D269" s="34" t="s">
        <v>53</v>
      </c>
      <c r="E269" s="68">
        <v>3896.15</v>
      </c>
      <c r="F269" s="36"/>
      <c r="G269" s="36">
        <f t="shared" si="5"/>
        <v>3896.15</v>
      </c>
      <c r="H269" s="37"/>
    </row>
    <row r="270">
      <c r="A270" s="60" t="s">
        <v>684</v>
      </c>
      <c r="B270" s="60" t="s">
        <v>685</v>
      </c>
      <c r="C270" s="34" t="s">
        <v>2447</v>
      </c>
      <c r="D270" s="34" t="s">
        <v>53</v>
      </c>
      <c r="E270" s="68">
        <v>944.93</v>
      </c>
      <c r="F270" s="36"/>
      <c r="G270" s="36">
        <f t="shared" si="5"/>
        <v>944.93</v>
      </c>
      <c r="H270" s="37"/>
    </row>
    <row r="271">
      <c r="A271" s="60" t="s">
        <v>686</v>
      </c>
      <c r="B271" s="60" t="s">
        <v>687</v>
      </c>
      <c r="C271" s="34" t="s">
        <v>2447</v>
      </c>
      <c r="D271" s="34" t="s">
        <v>53</v>
      </c>
      <c r="E271" s="68">
        <v>711.91</v>
      </c>
      <c r="F271" s="36"/>
      <c r="G271" s="36">
        <f t="shared" si="5"/>
        <v>711.91</v>
      </c>
      <c r="H271" s="37"/>
    </row>
    <row r="272">
      <c r="A272" s="60" t="s">
        <v>1431</v>
      </c>
      <c r="B272" s="60" t="s">
        <v>1432</v>
      </c>
      <c r="C272" s="34" t="s">
        <v>84</v>
      </c>
      <c r="D272" s="34" t="s">
        <v>58</v>
      </c>
      <c r="E272" s="68">
        <v>2946.95</v>
      </c>
      <c r="F272" s="36"/>
      <c r="G272" s="36">
        <f t="shared" si="5"/>
        <v>2946.95</v>
      </c>
      <c r="H272" s="37"/>
    </row>
    <row r="273">
      <c r="A273" s="60" t="s">
        <v>696</v>
      </c>
      <c r="B273" s="60" t="s">
        <v>697</v>
      </c>
      <c r="C273" s="34" t="s">
        <v>84</v>
      </c>
      <c r="D273" s="34" t="s">
        <v>58</v>
      </c>
      <c r="E273" s="68">
        <v>2754.0</v>
      </c>
      <c r="F273" s="36"/>
      <c r="G273" s="36">
        <f t="shared" si="5"/>
        <v>2754</v>
      </c>
      <c r="H273" s="37"/>
    </row>
    <row r="274">
      <c r="A274" s="60" t="s">
        <v>698</v>
      </c>
      <c r="B274" s="60" t="s">
        <v>699</v>
      </c>
      <c r="C274" s="34" t="s">
        <v>84</v>
      </c>
      <c r="D274" s="34" t="s">
        <v>58</v>
      </c>
      <c r="E274" s="68">
        <v>222.0</v>
      </c>
      <c r="F274" s="36"/>
      <c r="G274" s="36">
        <f t="shared" si="5"/>
        <v>222</v>
      </c>
      <c r="H274" s="37"/>
    </row>
    <row r="275">
      <c r="A275" s="60" t="s">
        <v>704</v>
      </c>
      <c r="B275" s="60" t="s">
        <v>705</v>
      </c>
      <c r="C275" s="34" t="s">
        <v>84</v>
      </c>
      <c r="D275" s="34" t="s">
        <v>58</v>
      </c>
      <c r="E275" s="68">
        <v>630.0</v>
      </c>
      <c r="F275" s="36"/>
      <c r="G275" s="36">
        <f t="shared" si="5"/>
        <v>630</v>
      </c>
      <c r="H275" s="37"/>
    </row>
    <row r="276">
      <c r="A276" s="60" t="s">
        <v>1435</v>
      </c>
      <c r="B276" s="60" t="s">
        <v>1436</v>
      </c>
      <c r="C276" s="34" t="s">
        <v>84</v>
      </c>
      <c r="D276" s="34" t="s">
        <v>58</v>
      </c>
      <c r="E276" s="68">
        <v>607.0</v>
      </c>
      <c r="F276" s="36"/>
      <c r="G276" s="36">
        <f t="shared" si="5"/>
        <v>607</v>
      </c>
      <c r="H276" s="37"/>
    </row>
    <row r="277">
      <c r="A277" s="60" t="s">
        <v>1437</v>
      </c>
      <c r="B277" s="60" t="s">
        <v>1438</v>
      </c>
      <c r="C277" s="34" t="s">
        <v>84</v>
      </c>
      <c r="D277" s="34" t="s">
        <v>58</v>
      </c>
      <c r="E277" s="68">
        <v>626.0</v>
      </c>
      <c r="F277" s="36"/>
      <c r="G277" s="36">
        <f t="shared" si="5"/>
        <v>626</v>
      </c>
      <c r="H277" s="37"/>
    </row>
    <row r="278">
      <c r="A278" s="60" t="s">
        <v>1441</v>
      </c>
      <c r="B278" s="60" t="s">
        <v>1442</v>
      </c>
      <c r="C278" s="34" t="s">
        <v>84</v>
      </c>
      <c r="D278" s="34" t="s">
        <v>58</v>
      </c>
      <c r="E278" s="68">
        <v>309.0</v>
      </c>
      <c r="F278" s="36"/>
      <c r="G278" s="36">
        <f t="shared" si="5"/>
        <v>309</v>
      </c>
      <c r="H278" s="37"/>
    </row>
    <row r="279">
      <c r="A279" s="60" t="s">
        <v>708</v>
      </c>
      <c r="B279" s="60" t="s">
        <v>709</v>
      </c>
      <c r="C279" s="34" t="s">
        <v>84</v>
      </c>
      <c r="D279" s="34" t="s">
        <v>58</v>
      </c>
      <c r="E279" s="68">
        <v>822.0</v>
      </c>
      <c r="F279" s="36"/>
      <c r="G279" s="36">
        <f t="shared" si="5"/>
        <v>822</v>
      </c>
      <c r="H279" s="37"/>
    </row>
    <row r="280">
      <c r="A280" s="60" t="s">
        <v>718</v>
      </c>
      <c r="B280" s="60" t="s">
        <v>719</v>
      </c>
      <c r="C280" s="34" t="s">
        <v>2450</v>
      </c>
      <c r="D280" s="34" t="s">
        <v>51</v>
      </c>
      <c r="E280" s="68">
        <v>1410.49</v>
      </c>
      <c r="F280" s="36"/>
      <c r="G280" s="36">
        <f t="shared" si="5"/>
        <v>1410.49</v>
      </c>
      <c r="H280" s="37"/>
    </row>
    <row r="281">
      <c r="A281" s="60" t="s">
        <v>720</v>
      </c>
      <c r="B281" s="60" t="s">
        <v>721</v>
      </c>
      <c r="C281" s="34" t="s">
        <v>2450</v>
      </c>
      <c r="D281" s="34" t="s">
        <v>51</v>
      </c>
      <c r="E281" s="68">
        <v>1258.01</v>
      </c>
      <c r="F281" s="36"/>
      <c r="G281" s="36">
        <f t="shared" si="5"/>
        <v>1258.01</v>
      </c>
      <c r="H281" s="37"/>
    </row>
    <row r="282">
      <c r="A282" s="60" t="s">
        <v>722</v>
      </c>
      <c r="B282" s="60" t="s">
        <v>723</v>
      </c>
      <c r="C282" s="34" t="s">
        <v>2450</v>
      </c>
      <c r="D282" s="34" t="s">
        <v>51</v>
      </c>
      <c r="E282" s="68">
        <v>664.38</v>
      </c>
      <c r="F282" s="36"/>
      <c r="G282" s="36">
        <f t="shared" si="5"/>
        <v>664.38</v>
      </c>
      <c r="H282" s="37"/>
    </row>
    <row r="283">
      <c r="A283" s="60" t="s">
        <v>724</v>
      </c>
      <c r="B283" s="60" t="s">
        <v>725</v>
      </c>
      <c r="C283" s="34" t="s">
        <v>2450</v>
      </c>
      <c r="D283" s="34" t="s">
        <v>51</v>
      </c>
      <c r="E283" s="68">
        <v>142.98</v>
      </c>
      <c r="F283" s="36"/>
      <c r="G283" s="36">
        <f t="shared" si="5"/>
        <v>142.98</v>
      </c>
      <c r="H283" s="37"/>
    </row>
    <row r="284">
      <c r="A284" s="60" t="s">
        <v>726</v>
      </c>
      <c r="B284" s="60" t="s">
        <v>727</v>
      </c>
      <c r="C284" s="34" t="s">
        <v>2450</v>
      </c>
      <c r="D284" s="34" t="s">
        <v>51</v>
      </c>
      <c r="E284" s="68">
        <v>210.98</v>
      </c>
      <c r="F284" s="36"/>
      <c r="G284" s="36">
        <f t="shared" si="5"/>
        <v>210.98</v>
      </c>
      <c r="H284" s="37"/>
    </row>
    <row r="285">
      <c r="A285" s="60" t="s">
        <v>728</v>
      </c>
      <c r="B285" s="60" t="s">
        <v>729</v>
      </c>
      <c r="C285" s="34" t="s">
        <v>2450</v>
      </c>
      <c r="D285" s="34" t="s">
        <v>51</v>
      </c>
      <c r="E285" s="68">
        <v>183.02</v>
      </c>
      <c r="F285" s="36"/>
      <c r="G285" s="36">
        <f t="shared" si="5"/>
        <v>183.02</v>
      </c>
      <c r="H285" s="37"/>
    </row>
    <row r="286">
      <c r="A286" s="60" t="s">
        <v>730</v>
      </c>
      <c r="B286" s="60" t="s">
        <v>731</v>
      </c>
      <c r="C286" s="34" t="s">
        <v>2450</v>
      </c>
      <c r="D286" s="34" t="s">
        <v>51</v>
      </c>
      <c r="E286" s="68">
        <v>101.98</v>
      </c>
      <c r="F286" s="36"/>
      <c r="G286" s="36">
        <f t="shared" si="5"/>
        <v>101.98</v>
      </c>
      <c r="H286" s="37"/>
    </row>
    <row r="287">
      <c r="A287" s="60" t="s">
        <v>732</v>
      </c>
      <c r="B287" s="60" t="s">
        <v>733</v>
      </c>
      <c r="C287" s="34" t="s">
        <v>2450</v>
      </c>
      <c r="D287" s="34" t="s">
        <v>51</v>
      </c>
      <c r="E287" s="68">
        <v>91.98</v>
      </c>
      <c r="F287" s="36"/>
      <c r="G287" s="36">
        <f t="shared" si="5"/>
        <v>91.98</v>
      </c>
      <c r="H287" s="37"/>
    </row>
    <row r="288">
      <c r="A288" s="60" t="s">
        <v>734</v>
      </c>
      <c r="B288" s="60" t="s">
        <v>735</v>
      </c>
      <c r="C288" s="34" t="s">
        <v>2450</v>
      </c>
      <c r="D288" s="34" t="s">
        <v>51</v>
      </c>
      <c r="E288" s="68">
        <v>334.96</v>
      </c>
      <c r="F288" s="36"/>
      <c r="G288" s="36">
        <f t="shared" si="5"/>
        <v>334.96</v>
      </c>
      <c r="H288" s="37"/>
    </row>
    <row r="289">
      <c r="A289" s="60" t="s">
        <v>736</v>
      </c>
      <c r="B289" s="60" t="s">
        <v>737</v>
      </c>
      <c r="C289" s="34" t="s">
        <v>2450</v>
      </c>
      <c r="D289" s="34" t="s">
        <v>51</v>
      </c>
      <c r="E289" s="68">
        <v>735.35</v>
      </c>
      <c r="F289" s="36"/>
      <c r="G289" s="36">
        <f t="shared" si="5"/>
        <v>735.35</v>
      </c>
      <c r="H289" s="37"/>
    </row>
    <row r="290">
      <c r="A290" s="60" t="s">
        <v>738</v>
      </c>
      <c r="B290" s="60" t="s">
        <v>739</v>
      </c>
      <c r="C290" s="34" t="s">
        <v>2450</v>
      </c>
      <c r="D290" s="34" t="s">
        <v>51</v>
      </c>
      <c r="E290" s="68">
        <v>91.98</v>
      </c>
      <c r="F290" s="36"/>
      <c r="G290" s="36">
        <f t="shared" si="5"/>
        <v>91.98</v>
      </c>
      <c r="H290" s="37"/>
    </row>
    <row r="291">
      <c r="A291" s="60" t="s">
        <v>740</v>
      </c>
      <c r="B291" s="60" t="s">
        <v>741</v>
      </c>
      <c r="C291" s="34" t="s">
        <v>2450</v>
      </c>
      <c r="D291" s="34" t="s">
        <v>51</v>
      </c>
      <c r="E291" s="68">
        <v>883.04</v>
      </c>
      <c r="F291" s="36"/>
      <c r="G291" s="36">
        <f t="shared" si="5"/>
        <v>883.04</v>
      </c>
      <c r="H291" s="37"/>
    </row>
    <row r="292">
      <c r="A292" s="60" t="s">
        <v>744</v>
      </c>
      <c r="B292" s="60" t="s">
        <v>745</v>
      </c>
      <c r="C292" s="34" t="s">
        <v>2450</v>
      </c>
      <c r="D292" s="34" t="s">
        <v>51</v>
      </c>
      <c r="E292" s="68">
        <v>1225.97</v>
      </c>
      <c r="F292" s="36"/>
      <c r="G292" s="36">
        <f t="shared" si="5"/>
        <v>1225.97</v>
      </c>
      <c r="H292" s="37"/>
    </row>
    <row r="293">
      <c r="A293" s="60" t="s">
        <v>1786</v>
      </c>
      <c r="B293" s="60" t="s">
        <v>1787</v>
      </c>
      <c r="C293" s="34" t="s">
        <v>2450</v>
      </c>
      <c r="D293" s="34" t="s">
        <v>51</v>
      </c>
      <c r="E293" s="68">
        <v>882.0</v>
      </c>
      <c r="F293" s="36"/>
      <c r="G293" s="36">
        <f t="shared" si="5"/>
        <v>882</v>
      </c>
      <c r="H293" s="37"/>
    </row>
    <row r="294">
      <c r="A294" s="60" t="s">
        <v>2455</v>
      </c>
      <c r="B294" s="60" t="s">
        <v>2456</v>
      </c>
      <c r="C294" s="34" t="s">
        <v>2450</v>
      </c>
      <c r="D294" s="34" t="s">
        <v>51</v>
      </c>
      <c r="E294" s="68">
        <v>460.03</v>
      </c>
      <c r="F294" s="36"/>
      <c r="G294" s="36">
        <f t="shared" si="5"/>
        <v>460.03</v>
      </c>
      <c r="H294" s="37"/>
    </row>
    <row r="295">
      <c r="A295" s="60" t="s">
        <v>750</v>
      </c>
      <c r="B295" s="60" t="s">
        <v>751</v>
      </c>
      <c r="C295" s="34" t="s">
        <v>2450</v>
      </c>
      <c r="D295" s="34" t="s">
        <v>51</v>
      </c>
      <c r="E295" s="68">
        <v>159.97</v>
      </c>
      <c r="F295" s="36"/>
      <c r="G295" s="36">
        <f t="shared" si="5"/>
        <v>159.97</v>
      </c>
      <c r="H295" s="37"/>
    </row>
    <row r="296">
      <c r="A296" s="60" t="s">
        <v>752</v>
      </c>
      <c r="B296" s="60" t="s">
        <v>753</v>
      </c>
      <c r="C296" s="34" t="s">
        <v>2450</v>
      </c>
      <c r="D296" s="34" t="s">
        <v>51</v>
      </c>
      <c r="E296" s="68">
        <v>2730.22</v>
      </c>
      <c r="F296" s="36"/>
      <c r="G296" s="36">
        <f t="shared" si="5"/>
        <v>2730.22</v>
      </c>
      <c r="H296" s="37"/>
    </row>
    <row r="297">
      <c r="A297" s="60" t="s">
        <v>754</v>
      </c>
      <c r="B297" s="60" t="s">
        <v>755</v>
      </c>
      <c r="C297" s="34" t="s">
        <v>2450</v>
      </c>
      <c r="D297" s="34" t="s">
        <v>51</v>
      </c>
      <c r="E297" s="68">
        <v>732.0</v>
      </c>
      <c r="F297" s="36"/>
      <c r="G297" s="36">
        <f t="shared" si="5"/>
        <v>732</v>
      </c>
      <c r="H297" s="37"/>
    </row>
    <row r="298">
      <c r="A298" s="60" t="s">
        <v>756</v>
      </c>
      <c r="B298" s="60" t="s">
        <v>757</v>
      </c>
      <c r="C298" s="34" t="s">
        <v>2450</v>
      </c>
      <c r="D298" s="34" t="s">
        <v>51</v>
      </c>
      <c r="E298" s="68">
        <v>4577.26</v>
      </c>
      <c r="F298" s="36"/>
      <c r="G298" s="36">
        <f t="shared" si="5"/>
        <v>4577.26</v>
      </c>
      <c r="H298" s="37"/>
    </row>
    <row r="299">
      <c r="A299" s="60" t="s">
        <v>796</v>
      </c>
      <c r="B299" s="60" t="s">
        <v>797</v>
      </c>
      <c r="C299" s="34" t="s">
        <v>77</v>
      </c>
      <c r="D299" s="34" t="s">
        <v>47</v>
      </c>
      <c r="E299" s="68">
        <v>27374.33</v>
      </c>
      <c r="F299" s="36"/>
      <c r="G299" s="36">
        <f t="shared" si="5"/>
        <v>27374.33</v>
      </c>
      <c r="H299" s="37"/>
    </row>
    <row r="300">
      <c r="A300" s="60" t="s">
        <v>798</v>
      </c>
      <c r="B300" s="60" t="s">
        <v>799</v>
      </c>
      <c r="C300" s="34" t="s">
        <v>77</v>
      </c>
      <c r="D300" s="34" t="s">
        <v>47</v>
      </c>
      <c r="E300" s="68">
        <v>55862.94</v>
      </c>
      <c r="F300" s="36"/>
      <c r="G300" s="36">
        <f t="shared" si="5"/>
        <v>55862.94</v>
      </c>
      <c r="H300" s="37"/>
    </row>
    <row r="301">
      <c r="A301" s="60" t="s">
        <v>800</v>
      </c>
      <c r="B301" s="60" t="s">
        <v>801</v>
      </c>
      <c r="C301" s="34" t="s">
        <v>77</v>
      </c>
      <c r="D301" s="34" t="s">
        <v>47</v>
      </c>
      <c r="E301" s="68">
        <v>11754.67</v>
      </c>
      <c r="F301" s="36"/>
      <c r="G301" s="36">
        <f t="shared" si="5"/>
        <v>11754.67</v>
      </c>
      <c r="H301" s="37"/>
    </row>
    <row r="302">
      <c r="A302" s="60" t="s">
        <v>802</v>
      </c>
      <c r="B302" s="60" t="s">
        <v>803</v>
      </c>
      <c r="C302" s="34" t="s">
        <v>77</v>
      </c>
      <c r="D302" s="34" t="s">
        <v>47</v>
      </c>
      <c r="E302" s="68">
        <v>14556.0</v>
      </c>
      <c r="F302" s="36"/>
      <c r="G302" s="36">
        <f t="shared" si="5"/>
        <v>14556</v>
      </c>
      <c r="H302" s="37"/>
    </row>
    <row r="303">
      <c r="A303" s="60" t="s">
        <v>804</v>
      </c>
      <c r="B303" s="60" t="s">
        <v>805</v>
      </c>
      <c r="C303" s="34" t="s">
        <v>77</v>
      </c>
      <c r="D303" s="34" t="s">
        <v>47</v>
      </c>
      <c r="E303" s="68">
        <v>47893.48</v>
      </c>
      <c r="F303" s="36"/>
      <c r="G303" s="36">
        <f t="shared" si="5"/>
        <v>47893.48</v>
      </c>
      <c r="H303" s="37"/>
    </row>
    <row r="304">
      <c r="A304" s="60" t="s">
        <v>806</v>
      </c>
      <c r="B304" s="60" t="s">
        <v>807</v>
      </c>
      <c r="C304" s="34" t="s">
        <v>77</v>
      </c>
      <c r="D304" s="34" t="s">
        <v>47</v>
      </c>
      <c r="E304" s="68">
        <v>2323.0</v>
      </c>
      <c r="F304" s="36"/>
      <c r="G304" s="36">
        <f t="shared" si="5"/>
        <v>2323</v>
      </c>
      <c r="H304" s="37"/>
    </row>
    <row r="305">
      <c r="A305" s="60" t="s">
        <v>808</v>
      </c>
      <c r="B305" s="60" t="s">
        <v>809</v>
      </c>
      <c r="C305" s="34" t="s">
        <v>77</v>
      </c>
      <c r="D305" s="34" t="s">
        <v>47</v>
      </c>
      <c r="E305" s="68">
        <v>16741.0</v>
      </c>
      <c r="F305" s="36"/>
      <c r="G305" s="36">
        <f t="shared" si="5"/>
        <v>16741</v>
      </c>
      <c r="H305" s="37"/>
    </row>
    <row r="306">
      <c r="A306" s="60" t="s">
        <v>1625</v>
      </c>
      <c r="B306" s="60" t="s">
        <v>1626</v>
      </c>
      <c r="C306" s="34" t="s">
        <v>77</v>
      </c>
      <c r="D306" s="34" t="s">
        <v>47</v>
      </c>
      <c r="E306" s="68">
        <v>2.03</v>
      </c>
      <c r="F306" s="36"/>
      <c r="G306" s="36">
        <f t="shared" si="5"/>
        <v>2.03</v>
      </c>
      <c r="H306" s="37"/>
    </row>
    <row r="307">
      <c r="A307" s="60" t="s">
        <v>810</v>
      </c>
      <c r="B307" s="60" t="s">
        <v>811</v>
      </c>
      <c r="C307" s="34" t="s">
        <v>77</v>
      </c>
      <c r="D307" s="34" t="s">
        <v>47</v>
      </c>
      <c r="E307" s="68">
        <v>17569.9</v>
      </c>
      <c r="F307" s="36"/>
      <c r="G307" s="36">
        <f t="shared" si="5"/>
        <v>17569.9</v>
      </c>
      <c r="H307" s="37"/>
    </row>
    <row r="308">
      <c r="A308" s="60" t="s">
        <v>812</v>
      </c>
      <c r="B308" s="60" t="s">
        <v>813</v>
      </c>
      <c r="C308" s="34" t="s">
        <v>77</v>
      </c>
      <c r="D308" s="34" t="s">
        <v>47</v>
      </c>
      <c r="E308" s="68">
        <v>6741.01</v>
      </c>
      <c r="F308" s="36"/>
      <c r="G308" s="36">
        <f t="shared" si="5"/>
        <v>6741.01</v>
      </c>
      <c r="H308" s="37"/>
    </row>
    <row r="309">
      <c r="A309" s="60" t="s">
        <v>818</v>
      </c>
      <c r="B309" s="60" t="s">
        <v>819</v>
      </c>
      <c r="C309" s="34" t="s">
        <v>77</v>
      </c>
      <c r="D309" s="34" t="s">
        <v>47</v>
      </c>
      <c r="E309" s="68">
        <v>106772.94</v>
      </c>
      <c r="F309" s="36"/>
      <c r="G309" s="36">
        <f t="shared" si="5"/>
        <v>106772.94</v>
      </c>
      <c r="H309" s="37"/>
    </row>
    <row r="310">
      <c r="A310" s="60" t="s">
        <v>822</v>
      </c>
      <c r="B310" s="60" t="s">
        <v>823</v>
      </c>
      <c r="C310" s="34" t="s">
        <v>77</v>
      </c>
      <c r="D310" s="34" t="s">
        <v>47</v>
      </c>
      <c r="E310" s="68">
        <v>540.0</v>
      </c>
      <c r="F310" s="36"/>
      <c r="G310" s="36">
        <f t="shared" si="5"/>
        <v>540</v>
      </c>
      <c r="H310" s="37"/>
    </row>
    <row r="311">
      <c r="A311" s="60" t="s">
        <v>1629</v>
      </c>
      <c r="B311" s="60" t="s">
        <v>1630</v>
      </c>
      <c r="C311" s="34" t="s">
        <v>77</v>
      </c>
      <c r="D311" s="34" t="s">
        <v>47</v>
      </c>
      <c r="E311" s="68">
        <v>400.0</v>
      </c>
      <c r="F311" s="36"/>
      <c r="G311" s="36">
        <f t="shared" si="5"/>
        <v>400</v>
      </c>
      <c r="H311" s="37"/>
    </row>
    <row r="312">
      <c r="A312" s="60" t="s">
        <v>824</v>
      </c>
      <c r="B312" s="60" t="s">
        <v>825</v>
      </c>
      <c r="C312" s="34" t="s">
        <v>77</v>
      </c>
      <c r="D312" s="34" t="s">
        <v>47</v>
      </c>
      <c r="E312" s="68">
        <v>117.04</v>
      </c>
      <c r="F312" s="36"/>
      <c r="G312" s="36">
        <f t="shared" si="5"/>
        <v>117.04</v>
      </c>
      <c r="H312" s="37"/>
    </row>
    <row r="313">
      <c r="A313" s="60" t="s">
        <v>826</v>
      </c>
      <c r="B313" s="60" t="s">
        <v>827</v>
      </c>
      <c r="C313" s="34" t="s">
        <v>77</v>
      </c>
      <c r="D313" s="34" t="s">
        <v>47</v>
      </c>
      <c r="E313" s="68">
        <v>18000.0</v>
      </c>
      <c r="F313" s="36"/>
      <c r="G313" s="36">
        <f t="shared" si="5"/>
        <v>18000</v>
      </c>
      <c r="H313" s="37"/>
    </row>
    <row r="314">
      <c r="A314" s="60" t="s">
        <v>828</v>
      </c>
      <c r="B314" s="60" t="s">
        <v>829</v>
      </c>
      <c r="C314" s="34" t="s">
        <v>77</v>
      </c>
      <c r="D314" s="34" t="s">
        <v>47</v>
      </c>
      <c r="E314" s="68">
        <v>5402.79</v>
      </c>
      <c r="F314" s="36"/>
      <c r="G314" s="36">
        <f t="shared" si="5"/>
        <v>5402.79</v>
      </c>
      <c r="H314" s="37"/>
    </row>
    <row r="315">
      <c r="A315" s="60" t="s">
        <v>830</v>
      </c>
      <c r="B315" s="60" t="s">
        <v>831</v>
      </c>
      <c r="C315" s="34" t="s">
        <v>77</v>
      </c>
      <c r="D315" s="34" t="s">
        <v>47</v>
      </c>
      <c r="E315" s="68">
        <v>5402.0</v>
      </c>
      <c r="F315" s="36"/>
      <c r="G315" s="36">
        <f t="shared" si="5"/>
        <v>5402</v>
      </c>
      <c r="H315" s="37"/>
    </row>
    <row r="316">
      <c r="A316" s="60" t="s">
        <v>832</v>
      </c>
      <c r="B316" s="60" t="s">
        <v>833</v>
      </c>
      <c r="C316" s="34" t="s">
        <v>77</v>
      </c>
      <c r="D316" s="34" t="s">
        <v>47</v>
      </c>
      <c r="E316" s="68">
        <v>4121.9</v>
      </c>
      <c r="F316" s="36"/>
      <c r="G316" s="36">
        <f t="shared" si="5"/>
        <v>4121.9</v>
      </c>
      <c r="H316" s="37"/>
    </row>
    <row r="317">
      <c r="A317" s="60" t="s">
        <v>836</v>
      </c>
      <c r="B317" s="60" t="s">
        <v>837</v>
      </c>
      <c r="C317" s="34" t="s">
        <v>77</v>
      </c>
      <c r="D317" s="34" t="s">
        <v>47</v>
      </c>
      <c r="E317" s="68">
        <v>3548.0</v>
      </c>
      <c r="F317" s="36"/>
      <c r="G317" s="36">
        <f t="shared" si="5"/>
        <v>3548</v>
      </c>
      <c r="H317" s="37"/>
    </row>
    <row r="318">
      <c r="A318" s="60" t="s">
        <v>2611</v>
      </c>
      <c r="B318" s="60" t="s">
        <v>2612</v>
      </c>
      <c r="C318" s="34" t="s">
        <v>77</v>
      </c>
      <c r="D318" s="34" t="s">
        <v>47</v>
      </c>
      <c r="E318" s="68">
        <v>2520.0</v>
      </c>
      <c r="F318" s="36"/>
      <c r="G318" s="36">
        <f t="shared" si="5"/>
        <v>2520</v>
      </c>
      <c r="H318" s="37"/>
    </row>
    <row r="319">
      <c r="A319" s="60" t="s">
        <v>838</v>
      </c>
      <c r="B319" s="60" t="s">
        <v>839</v>
      </c>
      <c r="C319" s="34" t="s">
        <v>77</v>
      </c>
      <c r="D319" s="34" t="s">
        <v>47</v>
      </c>
      <c r="E319" s="68">
        <v>7202.27</v>
      </c>
      <c r="F319" s="36"/>
      <c r="G319" s="36">
        <f t="shared" si="5"/>
        <v>7202.27</v>
      </c>
      <c r="H319" s="37"/>
    </row>
    <row r="320">
      <c r="A320" s="60" t="s">
        <v>840</v>
      </c>
      <c r="B320" s="60" t="s">
        <v>1785</v>
      </c>
      <c r="C320" s="34" t="s">
        <v>77</v>
      </c>
      <c r="D320" s="34" t="s">
        <v>47</v>
      </c>
      <c r="E320" s="68">
        <v>4595.0</v>
      </c>
      <c r="F320" s="36"/>
      <c r="G320" s="36">
        <f t="shared" si="5"/>
        <v>4595</v>
      </c>
      <c r="H320" s="37"/>
    </row>
    <row r="321">
      <c r="A321" s="60" t="s">
        <v>842</v>
      </c>
      <c r="B321" s="60" t="s">
        <v>843</v>
      </c>
      <c r="C321" s="34" t="s">
        <v>77</v>
      </c>
      <c r="D321" s="34" t="s">
        <v>47</v>
      </c>
      <c r="E321" s="68">
        <v>1092.0</v>
      </c>
      <c r="F321" s="36"/>
      <c r="G321" s="36">
        <f t="shared" si="5"/>
        <v>1092</v>
      </c>
      <c r="H321" s="37"/>
    </row>
    <row r="322">
      <c r="A322" s="60" t="s">
        <v>844</v>
      </c>
      <c r="B322" s="60" t="s">
        <v>845</v>
      </c>
      <c r="C322" s="34" t="s">
        <v>77</v>
      </c>
      <c r="D322" s="34" t="s">
        <v>47</v>
      </c>
      <c r="E322" s="68">
        <v>38029.87</v>
      </c>
      <c r="F322" s="36"/>
      <c r="G322" s="36">
        <f t="shared" si="5"/>
        <v>38029.87</v>
      </c>
      <c r="H322" s="37"/>
    </row>
    <row r="323">
      <c r="A323" s="60" t="s">
        <v>766</v>
      </c>
      <c r="B323" s="60" t="s">
        <v>767</v>
      </c>
      <c r="C323" s="4" t="s">
        <v>79</v>
      </c>
      <c r="D323" s="34" t="s">
        <v>49</v>
      </c>
      <c r="E323" s="68">
        <v>38782.0</v>
      </c>
      <c r="F323" s="36"/>
      <c r="G323" s="36">
        <f t="shared" si="5"/>
        <v>38782</v>
      </c>
      <c r="H323" s="37"/>
    </row>
    <row r="324">
      <c r="A324" s="60" t="s">
        <v>768</v>
      </c>
      <c r="B324" s="60" t="s">
        <v>769</v>
      </c>
      <c r="C324" s="4" t="s">
        <v>79</v>
      </c>
      <c r="D324" s="34" t="s">
        <v>49</v>
      </c>
      <c r="E324" s="68">
        <v>46409.3</v>
      </c>
      <c r="F324" s="36"/>
      <c r="G324" s="36">
        <f t="shared" si="5"/>
        <v>46409.3</v>
      </c>
      <c r="H324" s="37"/>
    </row>
    <row r="325">
      <c r="A325" s="60" t="s">
        <v>770</v>
      </c>
      <c r="B325" s="60" t="s">
        <v>771</v>
      </c>
      <c r="C325" s="4" t="s">
        <v>79</v>
      </c>
      <c r="D325" s="34" t="s">
        <v>49</v>
      </c>
      <c r="E325" s="68">
        <v>54510.0</v>
      </c>
      <c r="F325" s="36"/>
      <c r="G325" s="36">
        <f t="shared" si="5"/>
        <v>54510</v>
      </c>
      <c r="H325" s="37"/>
    </row>
    <row r="326">
      <c r="A326" s="60" t="s">
        <v>772</v>
      </c>
      <c r="B326" s="60" t="s">
        <v>773</v>
      </c>
      <c r="C326" s="4" t="s">
        <v>79</v>
      </c>
      <c r="D326" s="34" t="s">
        <v>49</v>
      </c>
      <c r="E326" s="68">
        <v>79536.07</v>
      </c>
      <c r="F326" s="36"/>
      <c r="G326" s="36">
        <f t="shared" si="5"/>
        <v>79536.07</v>
      </c>
      <c r="H326" s="37"/>
    </row>
    <row r="327">
      <c r="A327" s="60" t="s">
        <v>774</v>
      </c>
      <c r="B327" s="60" t="s">
        <v>775</v>
      </c>
      <c r="C327" s="4" t="s">
        <v>79</v>
      </c>
      <c r="D327" s="34" t="s">
        <v>49</v>
      </c>
      <c r="E327" s="68">
        <v>535160.75</v>
      </c>
      <c r="F327" s="36"/>
      <c r="G327" s="36">
        <f t="shared" si="5"/>
        <v>535160.75</v>
      </c>
      <c r="H327" s="37"/>
    </row>
    <row r="328">
      <c r="A328" s="60" t="s">
        <v>776</v>
      </c>
      <c r="B328" s="60" t="s">
        <v>777</v>
      </c>
      <c r="C328" s="4" t="s">
        <v>79</v>
      </c>
      <c r="D328" s="34" t="s">
        <v>49</v>
      </c>
      <c r="E328" s="68">
        <v>80500.0</v>
      </c>
      <c r="F328" s="36"/>
      <c r="G328" s="36">
        <f t="shared" si="5"/>
        <v>80500</v>
      </c>
      <c r="H328" s="37"/>
    </row>
    <row r="329">
      <c r="A329" s="60" t="s">
        <v>778</v>
      </c>
      <c r="B329" s="60" t="s">
        <v>779</v>
      </c>
      <c r="C329" s="4" t="s">
        <v>79</v>
      </c>
      <c r="D329" s="34" t="s">
        <v>49</v>
      </c>
      <c r="E329" s="68">
        <v>32487.41</v>
      </c>
      <c r="F329" s="36"/>
      <c r="G329" s="36">
        <f t="shared" si="5"/>
        <v>32487.41</v>
      </c>
      <c r="H329" s="37"/>
    </row>
    <row r="330">
      <c r="A330" s="60" t="s">
        <v>780</v>
      </c>
      <c r="B330" s="60" t="s">
        <v>781</v>
      </c>
      <c r="C330" s="4" t="s">
        <v>79</v>
      </c>
      <c r="D330" s="34" t="s">
        <v>49</v>
      </c>
      <c r="E330" s="68">
        <v>195.5</v>
      </c>
      <c r="F330" s="36"/>
      <c r="G330" s="36">
        <f t="shared" si="5"/>
        <v>195.5</v>
      </c>
      <c r="H330" s="37"/>
    </row>
    <row r="331">
      <c r="A331" s="60" t="s">
        <v>782</v>
      </c>
      <c r="B331" s="60" t="s">
        <v>783</v>
      </c>
      <c r="C331" s="4" t="s">
        <v>79</v>
      </c>
      <c r="D331" s="34" t="s">
        <v>49</v>
      </c>
      <c r="E331" s="68">
        <v>97.75</v>
      </c>
      <c r="F331" s="36"/>
      <c r="G331" s="36">
        <f t="shared" si="5"/>
        <v>97.75</v>
      </c>
      <c r="H331" s="37"/>
    </row>
    <row r="332">
      <c r="A332" s="60" t="s">
        <v>784</v>
      </c>
      <c r="B332" s="60" t="s">
        <v>785</v>
      </c>
      <c r="C332" s="4" t="s">
        <v>79</v>
      </c>
      <c r="D332" s="34" t="s">
        <v>49</v>
      </c>
      <c r="E332" s="68">
        <v>20209.01</v>
      </c>
      <c r="F332" s="36"/>
      <c r="G332" s="36">
        <f t="shared" si="5"/>
        <v>20209.01</v>
      </c>
      <c r="H332" s="37"/>
    </row>
    <row r="333">
      <c r="A333" s="60" t="s">
        <v>786</v>
      </c>
      <c r="B333" s="60" t="s">
        <v>787</v>
      </c>
      <c r="C333" s="4" t="s">
        <v>79</v>
      </c>
      <c r="D333" s="34" t="s">
        <v>49</v>
      </c>
      <c r="E333" s="68">
        <v>920.0</v>
      </c>
      <c r="F333" s="36"/>
      <c r="G333" s="36">
        <f t="shared" si="5"/>
        <v>920</v>
      </c>
      <c r="H333" s="37"/>
    </row>
    <row r="334">
      <c r="A334" s="60" t="s">
        <v>788</v>
      </c>
      <c r="B334" s="60" t="s">
        <v>789</v>
      </c>
      <c r="C334" s="4" t="s">
        <v>79</v>
      </c>
      <c r="D334" s="34" t="s">
        <v>49</v>
      </c>
      <c r="E334" s="68">
        <v>84496.25</v>
      </c>
      <c r="F334" s="36"/>
      <c r="G334" s="36">
        <f t="shared" si="5"/>
        <v>84496.25</v>
      </c>
      <c r="H334" s="37"/>
    </row>
    <row r="335">
      <c r="A335" s="60" t="s">
        <v>790</v>
      </c>
      <c r="B335" s="60" t="s">
        <v>791</v>
      </c>
      <c r="C335" s="4" t="s">
        <v>79</v>
      </c>
      <c r="D335" s="34" t="s">
        <v>49</v>
      </c>
      <c r="E335" s="68">
        <v>27400.0</v>
      </c>
      <c r="F335" s="36"/>
      <c r="G335" s="36">
        <f t="shared" si="5"/>
        <v>27400</v>
      </c>
      <c r="H335" s="37"/>
    </row>
    <row r="336">
      <c r="A336" s="60" t="s">
        <v>792</v>
      </c>
      <c r="B336" s="60" t="s">
        <v>793</v>
      </c>
      <c r="C336" s="4" t="s">
        <v>79</v>
      </c>
      <c r="D336" s="34" t="s">
        <v>49</v>
      </c>
      <c r="E336" s="68">
        <v>48300.0</v>
      </c>
      <c r="F336" s="36"/>
      <c r="G336" s="36">
        <f t="shared" si="5"/>
        <v>48300</v>
      </c>
      <c r="H336" s="37"/>
    </row>
    <row r="337">
      <c r="A337" s="60" t="s">
        <v>1781</v>
      </c>
      <c r="B337" s="60" t="s">
        <v>1782</v>
      </c>
      <c r="C337" s="4" t="s">
        <v>79</v>
      </c>
      <c r="D337" s="34" t="s">
        <v>49</v>
      </c>
      <c r="E337" s="68">
        <v>149319.25</v>
      </c>
      <c r="F337" s="36"/>
      <c r="G337" s="36">
        <f t="shared" si="5"/>
        <v>149319.25</v>
      </c>
      <c r="H337" s="37"/>
    </row>
    <row r="338">
      <c r="A338" s="60" t="s">
        <v>344</v>
      </c>
      <c r="B338" s="60" t="s">
        <v>345</v>
      </c>
      <c r="C338" s="4" t="s">
        <v>79</v>
      </c>
      <c r="D338" s="34" t="s">
        <v>49</v>
      </c>
      <c r="E338" s="68">
        <v>12397.5</v>
      </c>
      <c r="F338" s="36"/>
      <c r="G338" s="36">
        <f t="shared" si="5"/>
        <v>12397.5</v>
      </c>
      <c r="H338" s="37"/>
    </row>
    <row r="339">
      <c r="A339" s="60" t="s">
        <v>794</v>
      </c>
      <c r="B339" s="60" t="s">
        <v>795</v>
      </c>
      <c r="C339" s="4" t="s">
        <v>79</v>
      </c>
      <c r="D339" s="34" t="s">
        <v>49</v>
      </c>
      <c r="E339" s="68">
        <v>223556.8</v>
      </c>
      <c r="F339" s="36"/>
      <c r="G339" s="36">
        <f t="shared" si="5"/>
        <v>223556.8</v>
      </c>
      <c r="H339" s="37"/>
    </row>
    <row r="340">
      <c r="A340" s="60" t="s">
        <v>848</v>
      </c>
      <c r="B340" s="60" t="s">
        <v>849</v>
      </c>
      <c r="C340" s="34" t="s">
        <v>75</v>
      </c>
      <c r="D340" s="34" t="s">
        <v>50</v>
      </c>
      <c r="E340" s="68">
        <v>364.03</v>
      </c>
      <c r="F340" s="36"/>
      <c r="G340" s="36">
        <f t="shared" si="5"/>
        <v>364.03</v>
      </c>
      <c r="H340" s="37"/>
    </row>
    <row r="341">
      <c r="A341" s="60" t="s">
        <v>850</v>
      </c>
      <c r="B341" s="60" t="s">
        <v>851</v>
      </c>
      <c r="C341" s="34" t="s">
        <v>75</v>
      </c>
      <c r="D341" s="34" t="s">
        <v>50</v>
      </c>
      <c r="E341" s="68">
        <v>366.02</v>
      </c>
      <c r="F341" s="36"/>
      <c r="G341" s="36">
        <f t="shared" si="5"/>
        <v>366.02</v>
      </c>
      <c r="H341" s="37"/>
    </row>
    <row r="342">
      <c r="A342" s="60" t="s">
        <v>852</v>
      </c>
      <c r="B342" s="60" t="s">
        <v>853</v>
      </c>
      <c r="C342" s="34" t="s">
        <v>75</v>
      </c>
      <c r="D342" s="34" t="s">
        <v>50</v>
      </c>
      <c r="E342" s="68">
        <v>300.02</v>
      </c>
      <c r="F342" s="36"/>
      <c r="G342" s="36">
        <f t="shared" si="5"/>
        <v>300.02</v>
      </c>
      <c r="H342" s="37"/>
    </row>
    <row r="343">
      <c r="A343" s="60" t="s">
        <v>854</v>
      </c>
      <c r="B343" s="60" t="s">
        <v>855</v>
      </c>
      <c r="C343" s="34" t="s">
        <v>75</v>
      </c>
      <c r="D343" s="34" t="s">
        <v>50</v>
      </c>
      <c r="E343" s="68">
        <v>500.0</v>
      </c>
      <c r="F343" s="36"/>
      <c r="G343" s="36">
        <f t="shared" si="5"/>
        <v>500</v>
      </c>
      <c r="H343" s="37"/>
    </row>
    <row r="344">
      <c r="A344" s="60" t="s">
        <v>856</v>
      </c>
      <c r="B344" s="60" t="s">
        <v>857</v>
      </c>
      <c r="C344" s="34" t="s">
        <v>75</v>
      </c>
      <c r="D344" s="34" t="s">
        <v>50</v>
      </c>
      <c r="E344" s="68">
        <v>300.02</v>
      </c>
      <c r="F344" s="36"/>
      <c r="G344" s="36">
        <f t="shared" si="5"/>
        <v>300.02</v>
      </c>
      <c r="H344" s="37"/>
    </row>
    <row r="345">
      <c r="A345" s="60" t="s">
        <v>858</v>
      </c>
      <c r="B345" s="60" t="s">
        <v>859</v>
      </c>
      <c r="C345" s="34" t="s">
        <v>75</v>
      </c>
      <c r="D345" s="34" t="s">
        <v>50</v>
      </c>
      <c r="E345" s="68">
        <v>185.98</v>
      </c>
      <c r="F345" s="36"/>
      <c r="G345" s="36">
        <f t="shared" si="5"/>
        <v>185.98</v>
      </c>
      <c r="H345" s="37"/>
    </row>
    <row r="346">
      <c r="A346" s="60" t="s">
        <v>860</v>
      </c>
      <c r="B346" s="60" t="s">
        <v>861</v>
      </c>
      <c r="C346" s="34" t="s">
        <v>75</v>
      </c>
      <c r="D346" s="34" t="s">
        <v>50</v>
      </c>
      <c r="E346" s="68">
        <v>197.84</v>
      </c>
      <c r="F346" s="36"/>
      <c r="G346" s="36">
        <f t="shared" si="5"/>
        <v>197.84</v>
      </c>
      <c r="H346" s="37"/>
    </row>
    <row r="347">
      <c r="A347" s="60" t="s">
        <v>862</v>
      </c>
      <c r="B347" s="60" t="s">
        <v>863</v>
      </c>
      <c r="C347" s="34" t="s">
        <v>75</v>
      </c>
      <c r="D347" s="34" t="s">
        <v>50</v>
      </c>
      <c r="E347" s="68">
        <v>159.97</v>
      </c>
      <c r="F347" s="36"/>
      <c r="G347" s="36">
        <f t="shared" si="5"/>
        <v>159.97</v>
      </c>
      <c r="H347" s="37"/>
    </row>
    <row r="348">
      <c r="A348" s="60" t="s">
        <v>1788</v>
      </c>
      <c r="B348" s="60" t="s">
        <v>1789</v>
      </c>
      <c r="C348" s="34" t="s">
        <v>75</v>
      </c>
      <c r="D348" s="34" t="s">
        <v>50</v>
      </c>
      <c r="E348" s="68">
        <v>199.97</v>
      </c>
      <c r="F348" s="36"/>
      <c r="G348" s="36">
        <f t="shared" si="5"/>
        <v>199.97</v>
      </c>
      <c r="H348" s="37"/>
    </row>
    <row r="349">
      <c r="A349" s="60" t="s">
        <v>864</v>
      </c>
      <c r="B349" s="60" t="s">
        <v>865</v>
      </c>
      <c r="C349" s="34" t="s">
        <v>75</v>
      </c>
      <c r="D349" s="34" t="s">
        <v>50</v>
      </c>
      <c r="E349" s="68">
        <v>199.91</v>
      </c>
      <c r="F349" s="36"/>
      <c r="G349" s="36">
        <f t="shared" si="5"/>
        <v>199.91</v>
      </c>
      <c r="H349" s="37"/>
    </row>
    <row r="350">
      <c r="A350" s="60" t="s">
        <v>866</v>
      </c>
      <c r="B350" s="60" t="s">
        <v>867</v>
      </c>
      <c r="C350" s="34" t="s">
        <v>75</v>
      </c>
      <c r="D350" s="34" t="s">
        <v>50</v>
      </c>
      <c r="E350" s="68">
        <v>199.91</v>
      </c>
      <c r="F350" s="36"/>
      <c r="G350" s="36">
        <f t="shared" si="5"/>
        <v>199.91</v>
      </c>
      <c r="H350" s="37"/>
    </row>
    <row r="351">
      <c r="A351" s="60" t="s">
        <v>868</v>
      </c>
      <c r="B351" s="60" t="s">
        <v>869</v>
      </c>
      <c r="C351" s="34" t="s">
        <v>75</v>
      </c>
      <c r="D351" s="34" t="s">
        <v>50</v>
      </c>
      <c r="E351" s="68">
        <v>482.3</v>
      </c>
      <c r="F351" s="36"/>
      <c r="G351" s="36">
        <f t="shared" si="5"/>
        <v>482.3</v>
      </c>
      <c r="H351" s="37"/>
    </row>
    <row r="352">
      <c r="A352" s="60" t="s">
        <v>870</v>
      </c>
      <c r="B352" s="60" t="s">
        <v>871</v>
      </c>
      <c r="C352" s="34" t="s">
        <v>75</v>
      </c>
      <c r="D352" s="34" t="s">
        <v>50</v>
      </c>
      <c r="E352" s="68">
        <v>482.3</v>
      </c>
      <c r="F352" s="36"/>
      <c r="G352" s="36">
        <f t="shared" si="5"/>
        <v>482.3</v>
      </c>
      <c r="H352" s="37"/>
    </row>
    <row r="353">
      <c r="A353" s="60" t="s">
        <v>872</v>
      </c>
      <c r="B353" s="60" t="s">
        <v>873</v>
      </c>
      <c r="C353" s="34" t="s">
        <v>75</v>
      </c>
      <c r="D353" s="34" t="s">
        <v>50</v>
      </c>
      <c r="E353" s="68">
        <v>562.02</v>
      </c>
      <c r="F353" s="36"/>
      <c r="G353" s="36">
        <f t="shared" si="5"/>
        <v>562.02</v>
      </c>
      <c r="H353" s="37"/>
    </row>
    <row r="354">
      <c r="A354" s="60" t="s">
        <v>874</v>
      </c>
      <c r="B354" s="60" t="s">
        <v>875</v>
      </c>
      <c r="C354" s="34" t="s">
        <v>75</v>
      </c>
      <c r="D354" s="34" t="s">
        <v>50</v>
      </c>
      <c r="E354" s="68">
        <v>242.98</v>
      </c>
      <c r="F354" s="36"/>
      <c r="G354" s="36">
        <f t="shared" si="5"/>
        <v>242.98</v>
      </c>
      <c r="H354" s="37"/>
    </row>
    <row r="355">
      <c r="A355" s="60" t="s">
        <v>876</v>
      </c>
      <c r="B355" s="60" t="s">
        <v>877</v>
      </c>
      <c r="C355" s="34" t="s">
        <v>75</v>
      </c>
      <c r="D355" s="34" t="s">
        <v>50</v>
      </c>
      <c r="E355" s="68">
        <v>290.0</v>
      </c>
      <c r="F355" s="36"/>
      <c r="G355" s="36">
        <f t="shared" si="5"/>
        <v>290</v>
      </c>
      <c r="H355" s="37"/>
    </row>
    <row r="356">
      <c r="A356" s="60" t="s">
        <v>878</v>
      </c>
      <c r="B356" s="60" t="s">
        <v>879</v>
      </c>
      <c r="C356" s="34" t="s">
        <v>75</v>
      </c>
      <c r="D356" s="34" t="s">
        <v>50</v>
      </c>
      <c r="E356" s="68">
        <v>482.3</v>
      </c>
      <c r="F356" s="36"/>
      <c r="G356" s="36">
        <f t="shared" si="5"/>
        <v>482.3</v>
      </c>
      <c r="H356" s="37"/>
    </row>
    <row r="357">
      <c r="A357" s="60" t="s">
        <v>880</v>
      </c>
      <c r="B357" s="60" t="s">
        <v>881</v>
      </c>
      <c r="C357" s="34" t="s">
        <v>75</v>
      </c>
      <c r="D357" s="34" t="s">
        <v>50</v>
      </c>
      <c r="E357" s="68">
        <v>546.04</v>
      </c>
      <c r="F357" s="36"/>
      <c r="G357" s="36">
        <f t="shared" si="5"/>
        <v>546.04</v>
      </c>
      <c r="H357" s="37"/>
    </row>
    <row r="358">
      <c r="A358" s="60" t="s">
        <v>882</v>
      </c>
      <c r="B358" s="60" t="s">
        <v>883</v>
      </c>
      <c r="C358" s="34" t="s">
        <v>75</v>
      </c>
      <c r="D358" s="34" t="s">
        <v>50</v>
      </c>
      <c r="E358" s="68">
        <v>200.02</v>
      </c>
      <c r="F358" s="36"/>
      <c r="G358" s="36">
        <f t="shared" si="5"/>
        <v>200.02</v>
      </c>
      <c r="H358" s="37"/>
    </row>
    <row r="359">
      <c r="A359" s="60" t="s">
        <v>884</v>
      </c>
      <c r="B359" s="60" t="s">
        <v>885</v>
      </c>
      <c r="C359" s="34" t="s">
        <v>75</v>
      </c>
      <c r="D359" s="34" t="s">
        <v>50</v>
      </c>
      <c r="E359" s="68">
        <v>192.86</v>
      </c>
      <c r="F359" s="36"/>
      <c r="G359" s="36">
        <f t="shared" si="5"/>
        <v>192.86</v>
      </c>
      <c r="H359" s="37"/>
    </row>
    <row r="360">
      <c r="A360" s="60" t="s">
        <v>886</v>
      </c>
      <c r="B360" s="60" t="s">
        <v>887</v>
      </c>
      <c r="C360" s="34" t="s">
        <v>75</v>
      </c>
      <c r="D360" s="34" t="s">
        <v>50</v>
      </c>
      <c r="E360" s="68">
        <v>300.0</v>
      </c>
      <c r="F360" s="36"/>
      <c r="G360" s="36">
        <f t="shared" si="5"/>
        <v>300</v>
      </c>
      <c r="H360" s="37"/>
    </row>
    <row r="361">
      <c r="A361" s="60" t="s">
        <v>888</v>
      </c>
      <c r="B361" s="60" t="s">
        <v>889</v>
      </c>
      <c r="C361" s="34" t="s">
        <v>75</v>
      </c>
      <c r="D361" s="34" t="s">
        <v>50</v>
      </c>
      <c r="E361" s="68">
        <v>775.1</v>
      </c>
      <c r="F361" s="36"/>
      <c r="G361" s="36">
        <f t="shared" si="5"/>
        <v>775.1</v>
      </c>
      <c r="H361" s="37"/>
    </row>
    <row r="362">
      <c r="A362" s="60" t="s">
        <v>890</v>
      </c>
      <c r="B362" s="60" t="s">
        <v>891</v>
      </c>
      <c r="C362" s="34" t="s">
        <v>75</v>
      </c>
      <c r="D362" s="34" t="s">
        <v>50</v>
      </c>
      <c r="E362" s="68">
        <v>782.03</v>
      </c>
      <c r="F362" s="36"/>
      <c r="G362" s="36">
        <f t="shared" si="5"/>
        <v>782.03</v>
      </c>
      <c r="H362" s="37"/>
    </row>
    <row r="363">
      <c r="A363" s="60" t="s">
        <v>892</v>
      </c>
      <c r="B363" s="60" t="s">
        <v>893</v>
      </c>
      <c r="C363" s="34" t="s">
        <v>75</v>
      </c>
      <c r="D363" s="34" t="s">
        <v>50</v>
      </c>
      <c r="E363" s="68">
        <v>433.55</v>
      </c>
      <c r="F363" s="36"/>
      <c r="G363" s="36">
        <f t="shared" si="5"/>
        <v>433.55</v>
      </c>
      <c r="H363" s="37"/>
    </row>
    <row r="364">
      <c r="A364" s="60" t="s">
        <v>894</v>
      </c>
      <c r="B364" s="60" t="s">
        <v>895</v>
      </c>
      <c r="C364" s="34" t="s">
        <v>75</v>
      </c>
      <c r="D364" s="34" t="s">
        <v>50</v>
      </c>
      <c r="E364" s="68">
        <v>435.85</v>
      </c>
      <c r="F364" s="36"/>
      <c r="G364" s="36">
        <f t="shared" si="5"/>
        <v>435.85</v>
      </c>
      <c r="H364" s="37"/>
    </row>
    <row r="365">
      <c r="A365" s="60" t="s">
        <v>896</v>
      </c>
      <c r="B365" s="60" t="s">
        <v>897</v>
      </c>
      <c r="C365" s="34" t="s">
        <v>75</v>
      </c>
      <c r="D365" s="34" t="s">
        <v>50</v>
      </c>
      <c r="E365" s="68">
        <v>636.93</v>
      </c>
      <c r="F365" s="36"/>
      <c r="G365" s="36">
        <f t="shared" si="5"/>
        <v>636.93</v>
      </c>
      <c r="H365" s="37"/>
    </row>
    <row r="366">
      <c r="A366" s="60" t="s">
        <v>898</v>
      </c>
      <c r="B366" s="60" t="s">
        <v>899</v>
      </c>
      <c r="C366" s="34" t="s">
        <v>75</v>
      </c>
      <c r="D366" s="34" t="s">
        <v>50</v>
      </c>
      <c r="E366" s="68">
        <v>1066.69</v>
      </c>
      <c r="F366" s="36"/>
      <c r="G366" s="36">
        <f t="shared" si="5"/>
        <v>1066.69</v>
      </c>
      <c r="H366" s="37"/>
    </row>
    <row r="367">
      <c r="A367" s="60" t="s">
        <v>900</v>
      </c>
      <c r="B367" s="60" t="s">
        <v>901</v>
      </c>
      <c r="C367" s="34" t="s">
        <v>75</v>
      </c>
      <c r="D367" s="34" t="s">
        <v>50</v>
      </c>
      <c r="E367" s="68">
        <v>200.0</v>
      </c>
      <c r="F367" s="36"/>
      <c r="G367" s="36">
        <f t="shared" si="5"/>
        <v>200</v>
      </c>
      <c r="H367" s="37"/>
    </row>
    <row r="368">
      <c r="A368" s="60" t="s">
        <v>902</v>
      </c>
      <c r="B368" s="60" t="s">
        <v>903</v>
      </c>
      <c r="C368" s="34" t="s">
        <v>75</v>
      </c>
      <c r="D368" s="34" t="s">
        <v>50</v>
      </c>
      <c r="E368" s="68">
        <v>68.98</v>
      </c>
      <c r="F368" s="36"/>
      <c r="G368" s="36">
        <f t="shared" si="5"/>
        <v>68.98</v>
      </c>
      <c r="H368" s="37"/>
    </row>
    <row r="369">
      <c r="A369" s="60" t="s">
        <v>904</v>
      </c>
      <c r="B369" s="60" t="s">
        <v>1633</v>
      </c>
      <c r="C369" s="34" t="s">
        <v>75</v>
      </c>
      <c r="D369" s="34" t="s">
        <v>50</v>
      </c>
      <c r="E369" s="68">
        <v>1271.01</v>
      </c>
      <c r="F369" s="36"/>
      <c r="G369" s="36">
        <f t="shared" si="5"/>
        <v>1271.01</v>
      </c>
      <c r="H369" s="37"/>
    </row>
    <row r="370">
      <c r="A370" s="60" t="s">
        <v>906</v>
      </c>
      <c r="B370" s="60" t="s">
        <v>907</v>
      </c>
      <c r="C370" s="34" t="s">
        <v>75</v>
      </c>
      <c r="D370" s="34" t="s">
        <v>50</v>
      </c>
      <c r="E370" s="68">
        <v>864.01</v>
      </c>
      <c r="F370" s="36"/>
      <c r="G370" s="36">
        <f t="shared" si="5"/>
        <v>864.01</v>
      </c>
      <c r="H370" s="37"/>
    </row>
    <row r="371">
      <c r="A371" s="60" t="s">
        <v>908</v>
      </c>
      <c r="B371" s="60" t="s">
        <v>909</v>
      </c>
      <c r="C371" s="34" t="s">
        <v>75</v>
      </c>
      <c r="D371" s="34" t="s">
        <v>50</v>
      </c>
      <c r="E371" s="68">
        <v>303.98</v>
      </c>
      <c r="F371" s="36"/>
      <c r="G371" s="36">
        <f t="shared" si="5"/>
        <v>303.98</v>
      </c>
      <c r="H371" s="37"/>
    </row>
    <row r="372">
      <c r="A372" s="60" t="s">
        <v>910</v>
      </c>
      <c r="B372" s="60" t="s">
        <v>911</v>
      </c>
      <c r="C372" s="34" t="s">
        <v>75</v>
      </c>
      <c r="D372" s="34" t="s">
        <v>50</v>
      </c>
      <c r="E372" s="68">
        <v>199.98</v>
      </c>
      <c r="F372" s="36"/>
      <c r="G372" s="36">
        <f t="shared" si="5"/>
        <v>199.98</v>
      </c>
      <c r="H372" s="37"/>
    </row>
    <row r="373">
      <c r="A373" s="107" t="s">
        <v>952</v>
      </c>
      <c r="B373" s="107" t="s">
        <v>953</v>
      </c>
      <c r="C373" s="34" t="s">
        <v>80</v>
      </c>
      <c r="D373" s="34" t="s">
        <v>46</v>
      </c>
      <c r="E373" s="108">
        <v>620.01</v>
      </c>
      <c r="F373" s="36"/>
      <c r="G373" s="36">
        <f t="shared" si="5"/>
        <v>620.01</v>
      </c>
      <c r="H373" s="37"/>
    </row>
    <row r="374">
      <c r="A374" s="107" t="s">
        <v>954</v>
      </c>
      <c r="B374" s="107" t="s">
        <v>1634</v>
      </c>
      <c r="C374" s="34" t="s">
        <v>80</v>
      </c>
      <c r="D374" s="34" t="s">
        <v>46</v>
      </c>
      <c r="E374" s="108">
        <v>6063.98</v>
      </c>
      <c r="F374" s="36"/>
      <c r="G374" s="36">
        <f t="shared" si="5"/>
        <v>6063.98</v>
      </c>
      <c r="H374" s="37"/>
    </row>
    <row r="375">
      <c r="A375" s="107" t="s">
        <v>956</v>
      </c>
      <c r="B375" s="107" t="s">
        <v>957</v>
      </c>
      <c r="C375" s="34" t="s">
        <v>80</v>
      </c>
      <c r="D375" s="34" t="s">
        <v>46</v>
      </c>
      <c r="E375" s="108">
        <v>1220.05</v>
      </c>
      <c r="F375" s="36"/>
      <c r="G375" s="36">
        <f t="shared" si="5"/>
        <v>1220.05</v>
      </c>
      <c r="H375" s="37"/>
    </row>
    <row r="376">
      <c r="A376" s="107" t="s">
        <v>1453</v>
      </c>
      <c r="B376" s="107" t="s">
        <v>1454</v>
      </c>
      <c r="C376" s="34" t="s">
        <v>80</v>
      </c>
      <c r="D376" s="34" t="s">
        <v>46</v>
      </c>
      <c r="E376" s="108">
        <v>4307.13</v>
      </c>
      <c r="F376" s="36"/>
      <c r="G376" s="36">
        <f t="shared" si="5"/>
        <v>4307.13</v>
      </c>
      <c r="H376" s="37"/>
    </row>
    <row r="377">
      <c r="A377" s="107" t="s">
        <v>998</v>
      </c>
      <c r="B377" s="107" t="s">
        <v>999</v>
      </c>
      <c r="C377" s="34" t="s">
        <v>80</v>
      </c>
      <c r="D377" s="34" t="s">
        <v>46</v>
      </c>
      <c r="E377" s="108">
        <v>2249.98</v>
      </c>
      <c r="F377" s="36"/>
      <c r="G377" s="36">
        <f t="shared" si="5"/>
        <v>2249.98</v>
      </c>
      <c r="H377" s="37"/>
    </row>
    <row r="378">
      <c r="A378" s="107" t="s">
        <v>962</v>
      </c>
      <c r="B378" s="107" t="s">
        <v>963</v>
      </c>
      <c r="C378" s="34" t="s">
        <v>80</v>
      </c>
      <c r="D378" s="34" t="s">
        <v>46</v>
      </c>
      <c r="E378" s="86">
        <v>12167.0</v>
      </c>
      <c r="F378" s="36"/>
      <c r="G378" s="36">
        <f t="shared" si="5"/>
        <v>12167</v>
      </c>
      <c r="H378" s="37"/>
    </row>
    <row r="379">
      <c r="A379" s="107" t="s">
        <v>964</v>
      </c>
      <c r="B379" s="107" t="s">
        <v>965</v>
      </c>
      <c r="C379" s="34" t="s">
        <v>80</v>
      </c>
      <c r="D379" s="34" t="s">
        <v>46</v>
      </c>
      <c r="E379" s="108">
        <v>83.98</v>
      </c>
      <c r="F379" s="36"/>
      <c r="G379" s="36">
        <f t="shared" si="5"/>
        <v>83.98</v>
      </c>
      <c r="H379" s="37"/>
    </row>
    <row r="380">
      <c r="A380" s="107" t="s">
        <v>1002</v>
      </c>
      <c r="B380" s="107" t="s">
        <v>1003</v>
      </c>
      <c r="C380" s="34" t="s">
        <v>80</v>
      </c>
      <c r="D380" s="34" t="s">
        <v>46</v>
      </c>
      <c r="E380" s="86">
        <v>392.93</v>
      </c>
      <c r="F380" s="36"/>
      <c r="G380" s="36">
        <f t="shared" si="5"/>
        <v>392.93</v>
      </c>
      <c r="H380" s="37"/>
    </row>
    <row r="381">
      <c r="A381" s="107" t="s">
        <v>966</v>
      </c>
      <c r="B381" s="107" t="s">
        <v>967</v>
      </c>
      <c r="C381" s="34" t="s">
        <v>80</v>
      </c>
      <c r="D381" s="34" t="s">
        <v>46</v>
      </c>
      <c r="E381" s="108">
        <v>1436.17</v>
      </c>
      <c r="F381" s="36"/>
      <c r="G381" s="36">
        <f t="shared" si="5"/>
        <v>1436.17</v>
      </c>
      <c r="H381" s="37"/>
    </row>
    <row r="382">
      <c r="A382" s="107" t="s">
        <v>2613</v>
      </c>
      <c r="B382" s="107" t="s">
        <v>2614</v>
      </c>
      <c r="C382" s="34" t="s">
        <v>80</v>
      </c>
      <c r="D382" s="34" t="s">
        <v>46</v>
      </c>
      <c r="E382" s="108">
        <v>696.02</v>
      </c>
      <c r="F382" s="36"/>
      <c r="G382" s="36">
        <f t="shared" si="5"/>
        <v>696.02</v>
      </c>
      <c r="H382" s="37"/>
    </row>
    <row r="383">
      <c r="A383" s="107" t="s">
        <v>968</v>
      </c>
      <c r="B383" s="107" t="s">
        <v>969</v>
      </c>
      <c r="C383" s="34" t="s">
        <v>80</v>
      </c>
      <c r="D383" s="34" t="s">
        <v>46</v>
      </c>
      <c r="E383" s="108">
        <v>466.97</v>
      </c>
      <c r="F383" s="36"/>
      <c r="G383" s="36">
        <f t="shared" si="5"/>
        <v>466.97</v>
      </c>
      <c r="H383" s="37"/>
    </row>
    <row r="384">
      <c r="A384" s="107" t="s">
        <v>1635</v>
      </c>
      <c r="B384" s="107" t="s">
        <v>1636</v>
      </c>
      <c r="C384" s="34" t="s">
        <v>80</v>
      </c>
      <c r="D384" s="34" t="s">
        <v>46</v>
      </c>
      <c r="E384" s="108">
        <v>450.0</v>
      </c>
      <c r="F384" s="36"/>
      <c r="G384" s="36">
        <f t="shared" si="5"/>
        <v>450</v>
      </c>
      <c r="H384" s="37"/>
    </row>
    <row r="385">
      <c r="A385" s="107" t="s">
        <v>1004</v>
      </c>
      <c r="B385" s="107" t="s">
        <v>1005</v>
      </c>
      <c r="C385" s="34" t="s">
        <v>80</v>
      </c>
      <c r="D385" s="34" t="s">
        <v>46</v>
      </c>
      <c r="E385" s="108">
        <v>225.0</v>
      </c>
      <c r="F385" s="36"/>
      <c r="G385" s="36">
        <f t="shared" si="5"/>
        <v>225</v>
      </c>
      <c r="H385" s="37"/>
    </row>
    <row r="386">
      <c r="A386" s="107" t="s">
        <v>1792</v>
      </c>
      <c r="B386" s="107" t="s">
        <v>1793</v>
      </c>
      <c r="C386" s="34" t="s">
        <v>80</v>
      </c>
      <c r="D386" s="34" t="s">
        <v>46</v>
      </c>
      <c r="E386" s="108">
        <v>170.0</v>
      </c>
      <c r="F386" s="36"/>
      <c r="G386" s="36">
        <f t="shared" si="5"/>
        <v>170</v>
      </c>
      <c r="H386" s="37"/>
    </row>
    <row r="387">
      <c r="A387" s="107" t="s">
        <v>1006</v>
      </c>
      <c r="B387" s="107" t="s">
        <v>1007</v>
      </c>
      <c r="C387" s="34" t="s">
        <v>80</v>
      </c>
      <c r="D387" s="34" t="s">
        <v>46</v>
      </c>
      <c r="E387" s="108">
        <v>1125.12</v>
      </c>
      <c r="F387" s="36"/>
      <c r="G387" s="36">
        <f t="shared" si="5"/>
        <v>1125.12</v>
      </c>
      <c r="H387" s="37"/>
    </row>
    <row r="388">
      <c r="A388" s="107" t="s">
        <v>2615</v>
      </c>
      <c r="B388" s="107" t="s">
        <v>2616</v>
      </c>
      <c r="C388" s="34" t="s">
        <v>80</v>
      </c>
      <c r="D388" s="34" t="s">
        <v>46</v>
      </c>
      <c r="E388" s="86">
        <v>183.98</v>
      </c>
      <c r="F388" s="36"/>
      <c r="G388" s="36">
        <f t="shared" si="5"/>
        <v>183.98</v>
      </c>
      <c r="H388" s="37"/>
    </row>
    <row r="389">
      <c r="A389" s="107" t="s">
        <v>974</v>
      </c>
      <c r="B389" s="107" t="s">
        <v>975</v>
      </c>
      <c r="C389" s="34" t="s">
        <v>80</v>
      </c>
      <c r="D389" s="34" t="s">
        <v>46</v>
      </c>
      <c r="E389" s="108">
        <v>657.92</v>
      </c>
      <c r="F389" s="36"/>
      <c r="G389" s="36">
        <f t="shared" si="5"/>
        <v>657.92</v>
      </c>
      <c r="H389" s="37"/>
    </row>
    <row r="390">
      <c r="A390" s="60" t="s">
        <v>918</v>
      </c>
      <c r="B390" s="60" t="s">
        <v>919</v>
      </c>
      <c r="C390" s="34" t="s">
        <v>75</v>
      </c>
      <c r="D390" s="34" t="s">
        <v>57</v>
      </c>
      <c r="E390" s="68">
        <v>50.99</v>
      </c>
      <c r="F390" s="36"/>
      <c r="G390" s="36">
        <f t="shared" si="5"/>
        <v>50.99</v>
      </c>
      <c r="H390" s="37"/>
    </row>
    <row r="391">
      <c r="A391" s="60" t="s">
        <v>920</v>
      </c>
      <c r="B391" s="60" t="s">
        <v>921</v>
      </c>
      <c r="C391" s="34" t="s">
        <v>75</v>
      </c>
      <c r="D391" s="34" t="s">
        <v>57</v>
      </c>
      <c r="E391" s="68">
        <v>125.97</v>
      </c>
      <c r="F391" s="36"/>
      <c r="G391" s="36">
        <f t="shared" si="5"/>
        <v>125.97</v>
      </c>
      <c r="H391" s="37"/>
    </row>
    <row r="392">
      <c r="A392" s="60" t="s">
        <v>922</v>
      </c>
      <c r="B392" s="60" t="s">
        <v>923</v>
      </c>
      <c r="C392" s="34" t="s">
        <v>75</v>
      </c>
      <c r="D392" s="34" t="s">
        <v>57</v>
      </c>
      <c r="E392" s="68">
        <v>217.97</v>
      </c>
      <c r="F392" s="36"/>
      <c r="G392" s="36">
        <f t="shared" si="5"/>
        <v>217.97</v>
      </c>
      <c r="H392" s="37"/>
    </row>
    <row r="393">
      <c r="A393" s="60" t="s">
        <v>924</v>
      </c>
      <c r="B393" s="60" t="s">
        <v>925</v>
      </c>
      <c r="C393" s="34" t="s">
        <v>75</v>
      </c>
      <c r="D393" s="34" t="s">
        <v>57</v>
      </c>
      <c r="E393" s="68">
        <v>108.98</v>
      </c>
      <c r="F393" s="36"/>
      <c r="G393" s="36">
        <f t="shared" si="5"/>
        <v>108.98</v>
      </c>
      <c r="H393" s="37"/>
    </row>
    <row r="394">
      <c r="A394" s="60" t="s">
        <v>926</v>
      </c>
      <c r="B394" s="60" t="s">
        <v>927</v>
      </c>
      <c r="C394" s="34" t="s">
        <v>75</v>
      </c>
      <c r="D394" s="34" t="s">
        <v>57</v>
      </c>
      <c r="E394" s="68">
        <v>108.98</v>
      </c>
      <c r="F394" s="36"/>
      <c r="G394" s="36">
        <f t="shared" si="5"/>
        <v>108.98</v>
      </c>
      <c r="H394" s="37"/>
    </row>
    <row r="395">
      <c r="A395" s="60" t="s">
        <v>928</v>
      </c>
      <c r="B395" s="60" t="s">
        <v>929</v>
      </c>
      <c r="C395" s="34" t="s">
        <v>75</v>
      </c>
      <c r="D395" s="34" t="s">
        <v>57</v>
      </c>
      <c r="E395" s="68">
        <v>108.98</v>
      </c>
      <c r="F395" s="36"/>
      <c r="G395" s="36">
        <f t="shared" si="5"/>
        <v>108.98</v>
      </c>
      <c r="H395" s="37"/>
    </row>
    <row r="396">
      <c r="A396" s="60" t="s">
        <v>930</v>
      </c>
      <c r="B396" s="60" t="s">
        <v>931</v>
      </c>
      <c r="C396" s="34" t="s">
        <v>75</v>
      </c>
      <c r="D396" s="34" t="s">
        <v>57</v>
      </c>
      <c r="E396" s="68">
        <v>108.98</v>
      </c>
      <c r="F396" s="36"/>
      <c r="G396" s="36">
        <f t="shared" si="5"/>
        <v>108.98</v>
      </c>
      <c r="H396" s="37"/>
    </row>
    <row r="397">
      <c r="A397" s="60" t="s">
        <v>932</v>
      </c>
      <c r="B397" s="60" t="s">
        <v>933</v>
      </c>
      <c r="C397" s="34" t="s">
        <v>75</v>
      </c>
      <c r="D397" s="34" t="s">
        <v>57</v>
      </c>
      <c r="E397" s="68">
        <v>108.98</v>
      </c>
      <c r="F397" s="36"/>
      <c r="G397" s="36">
        <f t="shared" si="5"/>
        <v>108.98</v>
      </c>
      <c r="H397" s="37"/>
    </row>
    <row r="398">
      <c r="A398" s="60" t="s">
        <v>934</v>
      </c>
      <c r="B398" s="60" t="s">
        <v>935</v>
      </c>
      <c r="C398" s="34" t="s">
        <v>75</v>
      </c>
      <c r="D398" s="34" t="s">
        <v>57</v>
      </c>
      <c r="E398" s="68">
        <v>522.0</v>
      </c>
      <c r="F398" s="36"/>
      <c r="G398" s="36">
        <f t="shared" si="5"/>
        <v>522</v>
      </c>
      <c r="H398" s="37"/>
    </row>
    <row r="399">
      <c r="A399" s="60" t="s">
        <v>936</v>
      </c>
      <c r="B399" s="60" t="s">
        <v>937</v>
      </c>
      <c r="C399" s="34" t="s">
        <v>75</v>
      </c>
      <c r="D399" s="34" t="s">
        <v>57</v>
      </c>
      <c r="E399" s="68">
        <v>108.98</v>
      </c>
      <c r="F399" s="36"/>
      <c r="G399" s="36">
        <f t="shared" si="5"/>
        <v>108.98</v>
      </c>
      <c r="H399" s="37"/>
    </row>
    <row r="400">
      <c r="A400" s="60" t="s">
        <v>938</v>
      </c>
      <c r="B400" s="60" t="s">
        <v>939</v>
      </c>
      <c r="C400" s="34" t="s">
        <v>75</v>
      </c>
      <c r="D400" s="34" t="s">
        <v>57</v>
      </c>
      <c r="E400" s="68">
        <v>429.93</v>
      </c>
      <c r="F400" s="36"/>
      <c r="G400" s="36">
        <f t="shared" si="5"/>
        <v>429.93</v>
      </c>
      <c r="H400" s="37"/>
    </row>
    <row r="401">
      <c r="A401" s="60" t="s">
        <v>940</v>
      </c>
      <c r="B401" s="60" t="s">
        <v>941</v>
      </c>
      <c r="C401" s="34" t="s">
        <v>75</v>
      </c>
      <c r="D401" s="34" t="s">
        <v>57</v>
      </c>
      <c r="E401" s="68">
        <v>1529.91</v>
      </c>
      <c r="F401" s="36"/>
      <c r="G401" s="36">
        <f t="shared" si="5"/>
        <v>1529.91</v>
      </c>
      <c r="H401" s="37"/>
    </row>
    <row r="402">
      <c r="A402" s="60" t="s">
        <v>942</v>
      </c>
      <c r="B402" s="60" t="s">
        <v>943</v>
      </c>
      <c r="C402" s="34" t="s">
        <v>75</v>
      </c>
      <c r="D402" s="34" t="s">
        <v>57</v>
      </c>
      <c r="E402" s="68">
        <v>86.96</v>
      </c>
      <c r="F402" s="36"/>
      <c r="G402" s="36">
        <f t="shared" si="5"/>
        <v>86.96</v>
      </c>
      <c r="H402" s="37"/>
    </row>
    <row r="403">
      <c r="A403" s="60" t="s">
        <v>944</v>
      </c>
      <c r="B403" s="60" t="s">
        <v>945</v>
      </c>
      <c r="C403" s="34" t="s">
        <v>75</v>
      </c>
      <c r="D403" s="34" t="s">
        <v>57</v>
      </c>
      <c r="E403" s="68">
        <v>176.97</v>
      </c>
      <c r="F403" s="36"/>
      <c r="G403" s="36">
        <f t="shared" si="5"/>
        <v>176.97</v>
      </c>
      <c r="H403" s="37"/>
    </row>
    <row r="404">
      <c r="A404" s="60" t="s">
        <v>946</v>
      </c>
      <c r="B404" s="60" t="s">
        <v>947</v>
      </c>
      <c r="C404" s="34" t="s">
        <v>75</v>
      </c>
      <c r="D404" s="34" t="s">
        <v>57</v>
      </c>
      <c r="E404" s="68">
        <v>159.97</v>
      </c>
      <c r="F404" s="36"/>
      <c r="G404" s="36">
        <f t="shared" si="5"/>
        <v>159.97</v>
      </c>
      <c r="H404" s="37"/>
    </row>
    <row r="405">
      <c r="A405" s="60" t="s">
        <v>2463</v>
      </c>
      <c r="B405" s="60" t="s">
        <v>2464</v>
      </c>
      <c r="C405" s="34" t="s">
        <v>75</v>
      </c>
      <c r="D405" s="34" t="s">
        <v>57</v>
      </c>
      <c r="E405" s="68">
        <v>108.98</v>
      </c>
      <c r="F405" s="36"/>
      <c r="G405" s="36">
        <f t="shared" si="5"/>
        <v>108.98</v>
      </c>
      <c r="H405" s="37"/>
    </row>
    <row r="406">
      <c r="A406" s="60" t="s">
        <v>948</v>
      </c>
      <c r="B406" s="60" t="s">
        <v>949</v>
      </c>
      <c r="C406" s="34" t="s">
        <v>75</v>
      </c>
      <c r="D406" s="34" t="s">
        <v>57</v>
      </c>
      <c r="E406" s="68">
        <v>159.97</v>
      </c>
      <c r="F406" s="36"/>
      <c r="G406" s="36">
        <f t="shared" si="5"/>
        <v>159.97</v>
      </c>
      <c r="H406" s="37"/>
    </row>
    <row r="407">
      <c r="A407" s="60" t="s">
        <v>950</v>
      </c>
      <c r="B407" s="60" t="s">
        <v>951</v>
      </c>
      <c r="C407" s="34" t="s">
        <v>75</v>
      </c>
      <c r="D407" s="34" t="s">
        <v>57</v>
      </c>
      <c r="E407" s="68">
        <v>142.98</v>
      </c>
      <c r="F407" s="36"/>
      <c r="G407" s="36">
        <f t="shared" si="5"/>
        <v>142.98</v>
      </c>
      <c r="H407" s="37"/>
    </row>
    <row r="408">
      <c r="A408" s="37"/>
      <c r="B408" s="37"/>
      <c r="C408" s="37"/>
      <c r="D408" s="37"/>
      <c r="E408" s="36"/>
      <c r="F408" s="36"/>
      <c r="G408" s="36" t="str">
        <f t="shared" si="5"/>
        <v/>
      </c>
      <c r="H408" s="37"/>
    </row>
    <row r="409">
      <c r="A409" s="37"/>
      <c r="B409" s="37"/>
      <c r="C409" s="37"/>
      <c r="D409" s="37"/>
      <c r="E409" s="36"/>
      <c r="F409" s="36"/>
      <c r="G409" s="36" t="str">
        <f t="shared" si="5"/>
        <v/>
      </c>
      <c r="H409" s="37"/>
    </row>
    <row r="410">
      <c r="A410" s="37"/>
      <c r="B410" s="37"/>
      <c r="C410" s="37"/>
      <c r="D410" s="37"/>
      <c r="E410" s="36"/>
      <c r="F410" s="36"/>
      <c r="G410" s="36" t="str">
        <f t="shared" si="5"/>
        <v/>
      </c>
      <c r="H410" s="37"/>
    </row>
    <row r="411">
      <c r="A411" s="37"/>
      <c r="B411" s="37"/>
      <c r="C411" s="37"/>
      <c r="D411" s="37"/>
      <c r="E411" s="36"/>
      <c r="F411" s="36"/>
      <c r="G411" s="36" t="str">
        <f t="shared" si="5"/>
        <v/>
      </c>
      <c r="H411" s="37"/>
    </row>
    <row r="412">
      <c r="A412" s="37"/>
      <c r="B412" s="37"/>
      <c r="C412" s="37"/>
      <c r="D412" s="37"/>
      <c r="E412" s="36"/>
      <c r="F412" s="36"/>
      <c r="G412" s="36" t="str">
        <f t="shared" si="5"/>
        <v/>
      </c>
      <c r="H412" s="37"/>
    </row>
    <row r="413">
      <c r="A413" s="37"/>
      <c r="B413" s="37"/>
      <c r="C413" s="37"/>
      <c r="D413" s="37"/>
      <c r="E413" s="36"/>
      <c r="F413" s="36"/>
      <c r="G413" s="36" t="str">
        <f t="shared" si="5"/>
        <v/>
      </c>
      <c r="H413" s="37"/>
    </row>
    <row r="414">
      <c r="A414" s="37"/>
      <c r="B414" s="37"/>
      <c r="C414" s="37"/>
      <c r="D414" s="37"/>
      <c r="E414" s="36"/>
      <c r="F414" s="36"/>
      <c r="G414" s="36" t="str">
        <f t="shared" si="5"/>
        <v/>
      </c>
      <c r="H414" s="37"/>
    </row>
    <row r="415">
      <c r="A415" s="37"/>
      <c r="B415" s="37"/>
      <c r="C415" s="37"/>
      <c r="D415" s="37"/>
      <c r="E415" s="36"/>
      <c r="F415" s="36"/>
      <c r="G415" s="36" t="str">
        <f t="shared" si="5"/>
        <v/>
      </c>
      <c r="H415" s="37"/>
    </row>
    <row r="416">
      <c r="A416" s="37"/>
      <c r="B416" s="37"/>
      <c r="C416" s="37"/>
      <c r="D416" s="37"/>
      <c r="E416" s="36"/>
      <c r="F416" s="36"/>
      <c r="G416" s="36" t="str">
        <f t="shared" si="5"/>
        <v/>
      </c>
      <c r="H416" s="37"/>
    </row>
    <row r="417">
      <c r="A417" s="37"/>
      <c r="B417" s="37"/>
      <c r="C417" s="37"/>
      <c r="D417" s="37"/>
      <c r="E417" s="36"/>
      <c r="F417" s="36"/>
      <c r="G417" s="36" t="str">
        <f t="shared" si="5"/>
        <v/>
      </c>
      <c r="H417" s="37"/>
    </row>
    <row r="418">
      <c r="A418" s="37"/>
      <c r="B418" s="37"/>
      <c r="C418" s="37"/>
      <c r="D418" s="37"/>
      <c r="E418" s="36"/>
      <c r="F418" s="36"/>
      <c r="G418" s="36" t="str">
        <f t="shared" si="5"/>
        <v/>
      </c>
      <c r="H418" s="37"/>
    </row>
    <row r="419">
      <c r="A419" s="37"/>
      <c r="B419" s="37"/>
      <c r="C419" s="37"/>
      <c r="D419" s="37"/>
      <c r="E419" s="36"/>
      <c r="F419" s="36"/>
      <c r="G419" s="36" t="str">
        <f t="shared" si="5"/>
        <v/>
      </c>
      <c r="H419" s="37"/>
    </row>
    <row r="420">
      <c r="A420" s="37"/>
      <c r="B420" s="37"/>
      <c r="C420" s="37"/>
      <c r="D420" s="37"/>
      <c r="E420" s="36"/>
      <c r="F420" s="36"/>
      <c r="G420" s="36" t="str">
        <f t="shared" si="5"/>
        <v/>
      </c>
      <c r="H420" s="37"/>
    </row>
    <row r="421">
      <c r="A421" s="37"/>
      <c r="B421" s="37"/>
      <c r="C421" s="37"/>
      <c r="D421" s="37"/>
      <c r="E421" s="36"/>
      <c r="F421" s="36"/>
      <c r="G421" s="36" t="str">
        <f t="shared" si="5"/>
        <v/>
      </c>
      <c r="H421" s="37"/>
    </row>
    <row r="422">
      <c r="A422" s="37"/>
      <c r="B422" s="37"/>
      <c r="C422" s="37"/>
      <c r="D422" s="37"/>
      <c r="E422" s="36"/>
      <c r="F422" s="36"/>
      <c r="G422" s="36" t="str">
        <f t="shared" si="5"/>
        <v/>
      </c>
      <c r="H422" s="37"/>
    </row>
    <row r="423">
      <c r="A423" s="37"/>
      <c r="B423" s="37"/>
      <c r="C423" s="37"/>
      <c r="D423" s="37"/>
      <c r="E423" s="36"/>
      <c r="F423" s="36"/>
      <c r="G423" s="36" t="str">
        <f t="shared" si="5"/>
        <v/>
      </c>
      <c r="H423" s="37"/>
    </row>
    <row r="424">
      <c r="A424" s="37"/>
      <c r="B424" s="37"/>
      <c r="C424" s="37"/>
      <c r="D424" s="37"/>
      <c r="E424" s="36"/>
      <c r="F424" s="36"/>
      <c r="G424" s="36" t="str">
        <f t="shared" si="5"/>
        <v/>
      </c>
      <c r="H424" s="37"/>
    </row>
    <row r="425">
      <c r="A425" s="37"/>
      <c r="B425" s="37"/>
      <c r="C425" s="37"/>
      <c r="D425" s="37"/>
      <c r="E425" s="36"/>
      <c r="F425" s="36"/>
      <c r="G425" s="36" t="str">
        <f t="shared" si="5"/>
        <v/>
      </c>
      <c r="H425" s="37"/>
    </row>
    <row r="426">
      <c r="A426" s="37"/>
      <c r="B426" s="37"/>
      <c r="C426" s="37"/>
      <c r="D426" s="37"/>
      <c r="E426" s="36"/>
      <c r="F426" s="36"/>
      <c r="G426" s="36" t="str">
        <f t="shared" si="5"/>
        <v/>
      </c>
      <c r="H426" s="37"/>
    </row>
    <row r="427">
      <c r="A427" s="37"/>
      <c r="B427" s="37"/>
      <c r="C427" s="37"/>
      <c r="D427" s="37"/>
      <c r="E427" s="36"/>
      <c r="F427" s="36"/>
      <c r="G427" s="36" t="str">
        <f t="shared" si="5"/>
        <v/>
      </c>
      <c r="H427" s="37"/>
    </row>
    <row r="428">
      <c r="A428" s="37"/>
      <c r="B428" s="37"/>
      <c r="C428" s="37"/>
      <c r="D428" s="37"/>
      <c r="E428" s="36"/>
      <c r="F428" s="36"/>
      <c r="G428" s="36" t="str">
        <f t="shared" si="5"/>
        <v/>
      </c>
      <c r="H428" s="37"/>
    </row>
    <row r="429">
      <c r="A429" s="37"/>
      <c r="B429" s="37"/>
      <c r="C429" s="37"/>
      <c r="D429" s="37"/>
      <c r="E429" s="36"/>
      <c r="F429" s="36"/>
      <c r="G429" s="36" t="str">
        <f t="shared" si="5"/>
        <v/>
      </c>
      <c r="H429" s="37"/>
    </row>
    <row r="430">
      <c r="A430" s="37"/>
      <c r="B430" s="37"/>
      <c r="C430" s="37"/>
      <c r="D430" s="37"/>
      <c r="E430" s="36"/>
      <c r="F430" s="36"/>
      <c r="G430" s="36" t="str">
        <f t="shared" si="5"/>
        <v/>
      </c>
      <c r="H430" s="37"/>
    </row>
    <row r="431">
      <c r="A431" s="37"/>
      <c r="B431" s="37"/>
      <c r="C431" s="37"/>
      <c r="D431" s="37"/>
      <c r="E431" s="36"/>
      <c r="F431" s="36"/>
      <c r="G431" s="36" t="str">
        <f t="shared" si="5"/>
        <v/>
      </c>
      <c r="H431" s="37"/>
    </row>
    <row r="432">
      <c r="A432" s="37"/>
      <c r="B432" s="37"/>
      <c r="C432" s="37"/>
      <c r="D432" s="37"/>
      <c r="E432" s="36"/>
      <c r="F432" s="36"/>
      <c r="G432" s="36" t="str">
        <f t="shared" si="5"/>
        <v/>
      </c>
      <c r="H432" s="37"/>
    </row>
    <row r="433">
      <c r="A433" s="37"/>
      <c r="B433" s="37"/>
      <c r="C433" s="37"/>
      <c r="D433" s="37"/>
      <c r="E433" s="36"/>
      <c r="F433" s="36"/>
      <c r="G433" s="36" t="str">
        <f t="shared" si="5"/>
        <v/>
      </c>
      <c r="H433" s="37"/>
    </row>
    <row r="434">
      <c r="A434" s="37"/>
      <c r="B434" s="37"/>
      <c r="C434" s="37"/>
      <c r="D434" s="37"/>
      <c r="E434" s="36"/>
      <c r="F434" s="36"/>
      <c r="G434" s="36" t="str">
        <f t="shared" si="5"/>
        <v/>
      </c>
      <c r="H434" s="37"/>
    </row>
    <row r="435">
      <c r="A435" s="37"/>
      <c r="B435" s="37"/>
      <c r="C435" s="37"/>
      <c r="D435" s="37"/>
      <c r="E435" s="36"/>
      <c r="F435" s="36"/>
      <c r="G435" s="36" t="str">
        <f t="shared" si="5"/>
        <v/>
      </c>
      <c r="H435" s="37"/>
    </row>
    <row r="436">
      <c r="A436" s="37"/>
      <c r="B436" s="37"/>
      <c r="C436" s="37"/>
      <c r="D436" s="37"/>
      <c r="E436" s="36"/>
      <c r="F436" s="36"/>
      <c r="G436" s="36" t="str">
        <f t="shared" si="5"/>
        <v/>
      </c>
      <c r="H436" s="37"/>
    </row>
    <row r="437">
      <c r="A437" s="37"/>
      <c r="B437" s="37"/>
      <c r="C437" s="37"/>
      <c r="D437" s="37"/>
      <c r="E437" s="36"/>
      <c r="F437" s="36"/>
      <c r="G437" s="36" t="str">
        <f t="shared" si="5"/>
        <v/>
      </c>
      <c r="H437" s="37"/>
    </row>
    <row r="438">
      <c r="A438" s="37"/>
      <c r="B438" s="37"/>
      <c r="C438" s="37"/>
      <c r="D438" s="37"/>
      <c r="E438" s="36"/>
      <c r="F438" s="36"/>
      <c r="G438" s="36" t="str">
        <f t="shared" si="5"/>
        <v/>
      </c>
      <c r="H438" s="37"/>
    </row>
    <row r="439">
      <c r="A439" s="37"/>
      <c r="B439" s="37"/>
      <c r="C439" s="37"/>
      <c r="D439" s="37"/>
      <c r="E439" s="36"/>
      <c r="F439" s="36"/>
      <c r="G439" s="36" t="str">
        <f t="shared" si="5"/>
        <v/>
      </c>
      <c r="H439" s="37"/>
    </row>
    <row r="440">
      <c r="A440" s="37"/>
      <c r="B440" s="37"/>
      <c r="C440" s="37"/>
      <c r="D440" s="37"/>
      <c r="E440" s="36"/>
      <c r="F440" s="36"/>
      <c r="G440" s="36" t="str">
        <f t="shared" si="5"/>
        <v/>
      </c>
      <c r="H440" s="37"/>
    </row>
    <row r="441">
      <c r="A441" s="37"/>
      <c r="B441" s="37"/>
      <c r="C441" s="37"/>
      <c r="D441" s="37"/>
      <c r="E441" s="36"/>
      <c r="F441" s="36"/>
      <c r="G441" s="36" t="str">
        <f t="shared" si="5"/>
        <v/>
      </c>
      <c r="H441" s="37"/>
    </row>
    <row r="442">
      <c r="A442" s="37"/>
      <c r="B442" s="37"/>
      <c r="C442" s="37"/>
      <c r="D442" s="37"/>
      <c r="E442" s="36"/>
      <c r="F442" s="36"/>
      <c r="G442" s="36" t="str">
        <f t="shared" si="5"/>
        <v/>
      </c>
      <c r="H442" s="37"/>
    </row>
    <row r="443">
      <c r="A443" s="37"/>
      <c r="B443" s="37"/>
      <c r="C443" s="37"/>
      <c r="D443" s="37"/>
      <c r="E443" s="36"/>
      <c r="F443" s="36"/>
      <c r="G443" s="36" t="str">
        <f t="shared" si="5"/>
        <v/>
      </c>
      <c r="H443" s="37"/>
    </row>
    <row r="444">
      <c r="A444" s="37"/>
      <c r="B444" s="37"/>
      <c r="C444" s="37"/>
      <c r="D444" s="37"/>
      <c r="E444" s="36"/>
      <c r="F444" s="36"/>
      <c r="G444" s="36" t="str">
        <f t="shared" si="5"/>
        <v/>
      </c>
      <c r="H444" s="37"/>
    </row>
    <row r="445">
      <c r="A445" s="37"/>
      <c r="B445" s="37"/>
      <c r="C445" s="37"/>
      <c r="D445" s="37"/>
      <c r="E445" s="36"/>
      <c r="F445" s="36"/>
      <c r="G445" s="36" t="str">
        <f t="shared" si="5"/>
        <v/>
      </c>
      <c r="H445" s="37"/>
    </row>
    <row r="446">
      <c r="A446" s="37"/>
      <c r="B446" s="37"/>
      <c r="C446" s="37"/>
      <c r="D446" s="37"/>
      <c r="E446" s="36"/>
      <c r="F446" s="36"/>
      <c r="G446" s="36" t="str">
        <f t="shared" si="5"/>
        <v/>
      </c>
      <c r="H446" s="37"/>
    </row>
    <row r="447">
      <c r="A447" s="37"/>
      <c r="B447" s="37"/>
      <c r="C447" s="37"/>
      <c r="D447" s="37"/>
      <c r="E447" s="36"/>
      <c r="F447" s="36"/>
      <c r="G447" s="36" t="str">
        <f t="shared" si="5"/>
        <v/>
      </c>
      <c r="H447" s="37"/>
    </row>
    <row r="448">
      <c r="A448" s="37"/>
      <c r="B448" s="37"/>
      <c r="C448" s="37"/>
      <c r="D448" s="37"/>
      <c r="E448" s="36"/>
      <c r="F448" s="36"/>
      <c r="G448" s="36" t="str">
        <f t="shared" si="5"/>
        <v/>
      </c>
      <c r="H448" s="37"/>
    </row>
    <row r="449">
      <c r="A449" s="37"/>
      <c r="B449" s="37"/>
      <c r="C449" s="37"/>
      <c r="D449" s="37"/>
      <c r="E449" s="36"/>
      <c r="F449" s="36"/>
      <c r="G449" s="36" t="str">
        <f t="shared" si="5"/>
        <v/>
      </c>
      <c r="H449" s="37"/>
    </row>
    <row r="450">
      <c r="A450" s="37"/>
      <c r="B450" s="37"/>
      <c r="C450" s="37"/>
      <c r="D450" s="37"/>
      <c r="E450" s="36"/>
      <c r="F450" s="36"/>
      <c r="G450" s="36" t="str">
        <f t="shared" si="5"/>
        <v/>
      </c>
      <c r="H450" s="37"/>
    </row>
    <row r="451">
      <c r="A451" s="37"/>
      <c r="B451" s="37"/>
      <c r="C451" s="37"/>
      <c r="D451" s="37"/>
      <c r="E451" s="36"/>
      <c r="F451" s="36"/>
      <c r="G451" s="36" t="str">
        <f t="shared" si="5"/>
        <v/>
      </c>
      <c r="H451" s="37"/>
    </row>
    <row r="452">
      <c r="A452" s="37"/>
      <c r="B452" s="37"/>
      <c r="C452" s="37"/>
      <c r="D452" s="37"/>
      <c r="E452" s="36"/>
      <c r="F452" s="36"/>
      <c r="G452" s="36" t="str">
        <f t="shared" si="5"/>
        <v/>
      </c>
      <c r="H452" s="37"/>
    </row>
    <row r="453">
      <c r="A453" s="37"/>
      <c r="B453" s="37"/>
      <c r="C453" s="37"/>
      <c r="D453" s="37"/>
      <c r="E453" s="36"/>
      <c r="F453" s="36"/>
      <c r="G453" s="36" t="str">
        <f t="shared" si="5"/>
        <v/>
      </c>
      <c r="H453" s="37"/>
    </row>
    <row r="454">
      <c r="A454" s="37"/>
      <c r="B454" s="37"/>
      <c r="C454" s="37"/>
      <c r="D454" s="37"/>
      <c r="E454" s="36"/>
      <c r="F454" s="36"/>
      <c r="G454" s="36" t="str">
        <f t="shared" si="5"/>
        <v/>
      </c>
      <c r="H454" s="37"/>
    </row>
    <row r="455">
      <c r="A455" s="37"/>
      <c r="B455" s="37"/>
      <c r="C455" s="37"/>
      <c r="D455" s="37"/>
      <c r="E455" s="36"/>
      <c r="F455" s="36"/>
      <c r="G455" s="36" t="str">
        <f t="shared" si="5"/>
        <v/>
      </c>
      <c r="H455" s="37"/>
    </row>
    <row r="456">
      <c r="A456" s="37"/>
      <c r="B456" s="37"/>
      <c r="C456" s="37"/>
      <c r="D456" s="37"/>
      <c r="E456" s="36"/>
      <c r="F456" s="36"/>
      <c r="G456" s="36" t="str">
        <f t="shared" si="5"/>
        <v/>
      </c>
      <c r="H456" s="37"/>
    </row>
    <row r="457">
      <c r="A457" s="37"/>
      <c r="B457" s="37"/>
      <c r="C457" s="37"/>
      <c r="D457" s="37"/>
      <c r="E457" s="36"/>
      <c r="F457" s="36"/>
      <c r="G457" s="36" t="str">
        <f t="shared" si="5"/>
        <v/>
      </c>
      <c r="H457" s="37"/>
    </row>
    <row r="458">
      <c r="A458" s="37"/>
      <c r="B458" s="37"/>
      <c r="C458" s="37"/>
      <c r="D458" s="37"/>
      <c r="E458" s="36"/>
      <c r="F458" s="36"/>
      <c r="G458" s="36" t="str">
        <f t="shared" si="5"/>
        <v/>
      </c>
      <c r="H458" s="37"/>
    </row>
    <row r="459">
      <c r="A459" s="37"/>
      <c r="B459" s="37"/>
      <c r="C459" s="37"/>
      <c r="D459" s="37"/>
      <c r="E459" s="36"/>
      <c r="F459" s="36"/>
      <c r="G459" s="36" t="str">
        <f t="shared" si="5"/>
        <v/>
      </c>
      <c r="H459" s="37"/>
    </row>
    <row r="460">
      <c r="A460" s="37"/>
      <c r="B460" s="37"/>
      <c r="C460" s="37"/>
      <c r="D460" s="37"/>
      <c r="E460" s="36"/>
      <c r="F460" s="36"/>
      <c r="G460" s="36" t="str">
        <f t="shared" si="5"/>
        <v/>
      </c>
      <c r="H460" s="37"/>
    </row>
    <row r="461">
      <c r="A461" s="37"/>
      <c r="B461" s="37"/>
      <c r="C461" s="37"/>
      <c r="D461" s="37"/>
      <c r="E461" s="36"/>
      <c r="F461" s="36"/>
      <c r="G461" s="36" t="str">
        <f t="shared" si="5"/>
        <v/>
      </c>
      <c r="H461" s="37"/>
    </row>
    <row r="462">
      <c r="A462" s="37"/>
      <c r="B462" s="37"/>
      <c r="C462" s="37"/>
      <c r="D462" s="37"/>
      <c r="E462" s="36"/>
      <c r="F462" s="36"/>
      <c r="G462" s="36" t="str">
        <f t="shared" si="5"/>
        <v/>
      </c>
      <c r="H462" s="37"/>
    </row>
    <row r="463">
      <c r="A463" s="37"/>
      <c r="B463" s="37"/>
      <c r="C463" s="37"/>
      <c r="D463" s="37"/>
      <c r="E463" s="36"/>
      <c r="F463" s="36"/>
      <c r="G463" s="36" t="str">
        <f t="shared" si="5"/>
        <v/>
      </c>
      <c r="H463" s="37"/>
    </row>
    <row r="464">
      <c r="A464" s="37"/>
      <c r="B464" s="37"/>
      <c r="C464" s="37"/>
      <c r="D464" s="37"/>
      <c r="E464" s="36"/>
      <c r="F464" s="36"/>
      <c r="G464" s="36" t="str">
        <f t="shared" si="5"/>
        <v/>
      </c>
      <c r="H464" s="37"/>
    </row>
    <row r="465">
      <c r="A465" s="37"/>
      <c r="B465" s="37"/>
      <c r="C465" s="37"/>
      <c r="D465" s="37"/>
      <c r="E465" s="36"/>
      <c r="F465" s="36"/>
      <c r="G465" s="36" t="str">
        <f t="shared" si="5"/>
        <v/>
      </c>
      <c r="H465" s="37"/>
    </row>
    <row r="466">
      <c r="A466" s="37"/>
      <c r="B466" s="37"/>
      <c r="C466" s="37"/>
      <c r="D466" s="37"/>
      <c r="E466" s="36"/>
      <c r="F466" s="36"/>
      <c r="G466" s="36" t="str">
        <f t="shared" si="5"/>
        <v/>
      </c>
      <c r="H466" s="37"/>
    </row>
    <row r="467">
      <c r="A467" s="37"/>
      <c r="B467" s="37"/>
      <c r="C467" s="37"/>
      <c r="D467" s="37"/>
      <c r="E467" s="36"/>
      <c r="F467" s="36"/>
      <c r="G467" s="36" t="str">
        <f t="shared" si="5"/>
        <v/>
      </c>
      <c r="H467" s="37"/>
    </row>
    <row r="468">
      <c r="A468" s="37"/>
      <c r="B468" s="37"/>
      <c r="C468" s="37"/>
      <c r="D468" s="37"/>
      <c r="E468" s="36"/>
      <c r="F468" s="36"/>
      <c r="G468" s="36" t="str">
        <f t="shared" si="5"/>
        <v/>
      </c>
      <c r="H468" s="37"/>
    </row>
    <row r="469">
      <c r="A469" s="37"/>
      <c r="B469" s="37"/>
      <c r="C469" s="37"/>
      <c r="D469" s="37"/>
      <c r="E469" s="36"/>
      <c r="F469" s="36"/>
      <c r="G469" s="36" t="str">
        <f t="shared" si="5"/>
        <v/>
      </c>
      <c r="H469" s="37"/>
    </row>
    <row r="470">
      <c r="A470" s="37"/>
      <c r="B470" s="37"/>
      <c r="C470" s="37"/>
      <c r="D470" s="37"/>
      <c r="E470" s="36"/>
      <c r="F470" s="36"/>
      <c r="G470" s="36" t="str">
        <f t="shared" si="5"/>
        <v/>
      </c>
      <c r="H470" s="37"/>
    </row>
    <row r="471">
      <c r="A471" s="37"/>
      <c r="B471" s="37"/>
      <c r="C471" s="37"/>
      <c r="D471" s="37"/>
      <c r="E471" s="36"/>
      <c r="F471" s="36"/>
      <c r="G471" s="36" t="str">
        <f t="shared" si="5"/>
        <v/>
      </c>
      <c r="H471" s="37"/>
    </row>
    <row r="472">
      <c r="A472" s="37"/>
      <c r="B472" s="37"/>
      <c r="C472" s="37"/>
      <c r="D472" s="37"/>
      <c r="E472" s="36"/>
      <c r="F472" s="36"/>
      <c r="G472" s="36" t="str">
        <f t="shared" si="5"/>
        <v/>
      </c>
      <c r="H472" s="37"/>
    </row>
    <row r="473">
      <c r="A473" s="37"/>
      <c r="B473" s="37"/>
      <c r="C473" s="37"/>
      <c r="D473" s="37"/>
      <c r="E473" s="36"/>
      <c r="F473" s="36"/>
      <c r="G473" s="36" t="str">
        <f t="shared" si="5"/>
        <v/>
      </c>
      <c r="H473" s="37"/>
    </row>
    <row r="474">
      <c r="A474" s="37"/>
      <c r="B474" s="37"/>
      <c r="C474" s="37"/>
      <c r="D474" s="37"/>
      <c r="E474" s="36"/>
      <c r="F474" s="36"/>
      <c r="G474" s="36" t="str">
        <f t="shared" si="5"/>
        <v/>
      </c>
      <c r="H474" s="37"/>
    </row>
    <row r="475">
      <c r="A475" s="37"/>
      <c r="B475" s="37"/>
      <c r="C475" s="37"/>
      <c r="D475" s="37"/>
      <c r="E475" s="36"/>
      <c r="F475" s="36"/>
      <c r="G475" s="36" t="str">
        <f t="shared" si="5"/>
        <v/>
      </c>
      <c r="H475" s="37"/>
    </row>
    <row r="476">
      <c r="A476" s="37"/>
      <c r="B476" s="37"/>
      <c r="C476" s="37"/>
      <c r="D476" s="37"/>
      <c r="E476" s="36"/>
      <c r="F476" s="36"/>
      <c r="G476" s="36" t="str">
        <f t="shared" si="5"/>
        <v/>
      </c>
      <c r="H476" s="37"/>
    </row>
    <row r="477">
      <c r="A477" s="37"/>
      <c r="B477" s="37"/>
      <c r="C477" s="37"/>
      <c r="D477" s="37"/>
      <c r="E477" s="36"/>
      <c r="F477" s="36"/>
      <c r="G477" s="36" t="str">
        <f t="shared" si="5"/>
        <v/>
      </c>
      <c r="H477" s="37"/>
    </row>
    <row r="478">
      <c r="A478" s="37"/>
      <c r="B478" s="37"/>
      <c r="C478" s="37"/>
      <c r="D478" s="37"/>
      <c r="E478" s="36"/>
      <c r="F478" s="36"/>
      <c r="G478" s="36" t="str">
        <f t="shared" si="5"/>
        <v/>
      </c>
      <c r="H478" s="37"/>
    </row>
    <row r="479">
      <c r="A479" s="37"/>
      <c r="B479" s="37"/>
      <c r="C479" s="37"/>
      <c r="D479" s="37"/>
      <c r="E479" s="36"/>
      <c r="F479" s="36"/>
      <c r="G479" s="36" t="str">
        <f t="shared" si="5"/>
        <v/>
      </c>
      <c r="H479" s="37"/>
    </row>
    <row r="480">
      <c r="A480" s="37"/>
      <c r="B480" s="37"/>
      <c r="C480" s="37"/>
      <c r="D480" s="37"/>
      <c r="E480" s="36"/>
      <c r="F480" s="36"/>
      <c r="G480" s="36" t="str">
        <f t="shared" si="5"/>
        <v/>
      </c>
      <c r="H480" s="37"/>
    </row>
    <row r="481">
      <c r="A481" s="37"/>
      <c r="B481" s="37"/>
      <c r="C481" s="37"/>
      <c r="D481" s="37"/>
      <c r="E481" s="36"/>
      <c r="F481" s="36"/>
      <c r="G481" s="36" t="str">
        <f t="shared" si="5"/>
        <v/>
      </c>
      <c r="H481" s="37"/>
    </row>
    <row r="482">
      <c r="A482" s="37"/>
      <c r="B482" s="37"/>
      <c r="C482" s="37"/>
      <c r="D482" s="37"/>
      <c r="E482" s="36"/>
      <c r="F482" s="36"/>
      <c r="G482" s="36" t="str">
        <f t="shared" si="5"/>
        <v/>
      </c>
      <c r="H482" s="37"/>
    </row>
    <row r="483">
      <c r="A483" s="37"/>
      <c r="B483" s="37"/>
      <c r="C483" s="37"/>
      <c r="D483" s="37"/>
      <c r="E483" s="36"/>
      <c r="F483" s="36"/>
      <c r="G483" s="36" t="str">
        <f t="shared" si="5"/>
        <v/>
      </c>
      <c r="H483" s="37"/>
    </row>
    <row r="484">
      <c r="A484" s="37"/>
      <c r="B484" s="37"/>
      <c r="C484" s="37"/>
      <c r="D484" s="37"/>
      <c r="E484" s="36"/>
      <c r="F484" s="36"/>
      <c r="G484" s="36" t="str">
        <f t="shared" si="5"/>
        <v/>
      </c>
      <c r="H484" s="37"/>
    </row>
    <row r="485">
      <c r="A485" s="37"/>
      <c r="B485" s="37"/>
      <c r="C485" s="37"/>
      <c r="D485" s="37"/>
      <c r="E485" s="36"/>
      <c r="F485" s="36"/>
      <c r="G485" s="36" t="str">
        <f t="shared" si="5"/>
        <v/>
      </c>
      <c r="H485" s="37"/>
    </row>
    <row r="486">
      <c r="A486" s="37"/>
      <c r="B486" s="37"/>
      <c r="C486" s="37"/>
      <c r="D486" s="37"/>
      <c r="E486" s="36"/>
      <c r="F486" s="36"/>
      <c r="G486" s="36" t="str">
        <f t="shared" si="5"/>
        <v/>
      </c>
      <c r="H486" s="37"/>
    </row>
    <row r="487">
      <c r="A487" s="37"/>
      <c r="B487" s="37"/>
      <c r="C487" s="37"/>
      <c r="D487" s="37"/>
      <c r="E487" s="36"/>
      <c r="F487" s="36"/>
      <c r="G487" s="36" t="str">
        <f t="shared" si="5"/>
        <v/>
      </c>
      <c r="H487" s="37"/>
    </row>
    <row r="488">
      <c r="A488" s="37"/>
      <c r="B488" s="37"/>
      <c r="C488" s="37"/>
      <c r="D488" s="37"/>
      <c r="E488" s="36"/>
      <c r="F488" s="36"/>
      <c r="G488" s="36" t="str">
        <f t="shared" si="5"/>
        <v/>
      </c>
      <c r="H488" s="37"/>
    </row>
    <row r="489">
      <c r="A489" s="37"/>
      <c r="B489" s="37"/>
      <c r="C489" s="37"/>
      <c r="D489" s="37"/>
      <c r="E489" s="36"/>
      <c r="F489" s="36"/>
      <c r="G489" s="36" t="str">
        <f t="shared" si="5"/>
        <v/>
      </c>
      <c r="H489" s="37"/>
    </row>
    <row r="490">
      <c r="A490" s="37"/>
      <c r="B490" s="37"/>
      <c r="C490" s="37"/>
      <c r="D490" s="37"/>
      <c r="E490" s="36"/>
      <c r="F490" s="36"/>
      <c r="G490" s="36" t="str">
        <f t="shared" si="5"/>
        <v/>
      </c>
      <c r="H490" s="37"/>
    </row>
    <row r="491">
      <c r="A491" s="37"/>
      <c r="B491" s="37"/>
      <c r="C491" s="37"/>
      <c r="D491" s="37"/>
      <c r="E491" s="36"/>
      <c r="F491" s="36"/>
      <c r="G491" s="36" t="str">
        <f t="shared" si="5"/>
        <v/>
      </c>
      <c r="H491" s="37"/>
    </row>
    <row r="492">
      <c r="A492" s="37"/>
      <c r="B492" s="37"/>
      <c r="C492" s="37"/>
      <c r="D492" s="37"/>
      <c r="E492" s="36"/>
      <c r="F492" s="36"/>
      <c r="G492" s="36" t="str">
        <f t="shared" si="5"/>
        <v/>
      </c>
      <c r="H492" s="37"/>
    </row>
    <row r="493">
      <c r="A493" s="37"/>
      <c r="B493" s="37"/>
      <c r="C493" s="37"/>
      <c r="D493" s="37"/>
      <c r="E493" s="36"/>
      <c r="F493" s="36"/>
      <c r="G493" s="36" t="str">
        <f t="shared" si="5"/>
        <v/>
      </c>
      <c r="H493" s="37"/>
    </row>
    <row r="494">
      <c r="A494" s="37"/>
      <c r="B494" s="37"/>
      <c r="C494" s="37"/>
      <c r="D494" s="37"/>
      <c r="E494" s="36"/>
      <c r="F494" s="36"/>
      <c r="G494" s="36" t="str">
        <f t="shared" si="5"/>
        <v/>
      </c>
      <c r="H494" s="37"/>
    </row>
    <row r="495">
      <c r="A495" s="37"/>
      <c r="B495" s="37"/>
      <c r="C495" s="37"/>
      <c r="D495" s="37"/>
      <c r="E495" s="36"/>
      <c r="F495" s="36"/>
      <c r="G495" s="36" t="str">
        <f t="shared" si="5"/>
        <v/>
      </c>
      <c r="H495" s="37"/>
    </row>
    <row r="496">
      <c r="A496" s="37"/>
      <c r="B496" s="37"/>
      <c r="C496" s="37"/>
      <c r="D496" s="37"/>
      <c r="E496" s="36"/>
      <c r="F496" s="36"/>
      <c r="G496" s="36" t="str">
        <f t="shared" si="5"/>
        <v/>
      </c>
      <c r="H496" s="37"/>
    </row>
    <row r="497">
      <c r="A497" s="37"/>
      <c r="B497" s="37"/>
      <c r="C497" s="37"/>
      <c r="D497" s="37"/>
      <c r="E497" s="36"/>
      <c r="F497" s="36"/>
      <c r="G497" s="36" t="str">
        <f t="shared" si="5"/>
        <v/>
      </c>
      <c r="H497" s="37"/>
    </row>
    <row r="498">
      <c r="A498" s="37"/>
      <c r="B498" s="37"/>
      <c r="C498" s="37"/>
      <c r="D498" s="37"/>
      <c r="E498" s="36"/>
      <c r="F498" s="36"/>
      <c r="G498" s="36" t="str">
        <f t="shared" si="5"/>
        <v/>
      </c>
      <c r="H498" s="37"/>
    </row>
    <row r="499">
      <c r="A499" s="37"/>
      <c r="B499" s="37"/>
      <c r="C499" s="37"/>
      <c r="D499" s="37"/>
      <c r="E499" s="36"/>
      <c r="F499" s="36"/>
      <c r="G499" s="36" t="str">
        <f t="shared" si="5"/>
        <v/>
      </c>
      <c r="H499" s="37"/>
    </row>
    <row r="500">
      <c r="A500" s="37"/>
      <c r="B500" s="37"/>
      <c r="C500" s="37"/>
      <c r="D500" s="37"/>
      <c r="E500" s="36"/>
      <c r="F500" s="36"/>
      <c r="G500" s="36" t="str">
        <f t="shared" si="5"/>
        <v/>
      </c>
      <c r="H500" s="37"/>
    </row>
    <row r="501">
      <c r="A501" s="37"/>
      <c r="B501" s="37"/>
      <c r="C501" s="37"/>
      <c r="D501" s="37"/>
      <c r="E501" s="36"/>
      <c r="F501" s="36"/>
      <c r="G501" s="36" t="str">
        <f t="shared" si="5"/>
        <v/>
      </c>
      <c r="H501" s="37"/>
    </row>
    <row r="502">
      <c r="C502" s="5"/>
      <c r="D502" s="5"/>
      <c r="E502" s="6"/>
      <c r="F502" s="6"/>
      <c r="G502" s="6"/>
    </row>
    <row r="503">
      <c r="A503" s="25" t="s">
        <v>1018</v>
      </c>
      <c r="B503" s="64"/>
      <c r="C503" s="64"/>
      <c r="D503" s="64"/>
      <c r="E503" s="59">
        <f t="shared" ref="E503:G503" si="6">SUM(E19:E501)</f>
        <v>2399787.77</v>
      </c>
      <c r="F503" s="59">
        <f t="shared" si="6"/>
        <v>0</v>
      </c>
      <c r="G503" s="59">
        <f t="shared" si="6"/>
        <v>2399787.77</v>
      </c>
      <c r="H503" s="64"/>
    </row>
  </sheetData>
  <mergeCells count="2">
    <mergeCell ref="A1:H1"/>
    <mergeCell ref="A3:D3"/>
  </mergeCells>
  <dataValidations>
    <dataValidation type="list" allowBlank="1" sqref="C19:C502">
      <formula1>Settings!$E$15:$E$38</formula1>
    </dataValidation>
    <dataValidation type="list" allowBlank="1" sqref="D19:D502">
      <formula1>Settings!$C$15:$C$30</formula1>
    </dataValidation>
  </dataValidations>
  <drawing r:id="rId1"/>
</worksheet>
</file>